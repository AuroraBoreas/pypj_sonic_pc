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rora_Boreas\Desktop\pypj_sonic_pc\20210805 QA_weekly_report\reports\"/>
    </mc:Choice>
  </mc:AlternateContent>
  <xr:revisionPtr revIDLastSave="0" documentId="13_ncr:1_{C0E3991D-BA20-462C-8CD9-A9D2F1E41B19}" xr6:coauthVersionLast="47" xr6:coauthVersionMax="47" xr10:uidLastSave="{00000000-0000-0000-0000-000000000000}"/>
  <bookViews>
    <workbookView xWindow="-120" yWindow="-120" windowWidth="29040" windowHeight="16440" tabRatio="635" activeTab="12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TVPlantPmod" sheetId="11" state="hidden" r:id="rId5"/>
    <sheet name="Monthly_TVPlantPmod" sheetId="12" state="hidden" r:id="rId6"/>
    <sheet name="Weekly_TVPlant" sheetId="9" state="hidden" r:id="rId7"/>
    <sheet name="Monthly_TVPlant" sheetId="10" state="hidden" r:id="rId8"/>
    <sheet name="Weekly_All" sheetId="7" state="hidden" r:id="rId9"/>
    <sheet name="Monthly_All" sheetId="8" state="hidden" r:id="rId10"/>
    <sheet name="Weekly_PmodClassify" sheetId="15" state="hidden" r:id="rId11"/>
    <sheet name="Monthly_PmodClassify" sheetId="16" state="hidden" r:id="rId12"/>
    <sheet name="Report" sheetId="5" r:id="rId13"/>
    <sheet name="Ref" sheetId="4" state="hidden" r:id="rId14"/>
  </sheets>
  <definedNames>
    <definedName name="_xlnm._FilterDatabase" localSheetId="0" hidden="1">defects!$A$1:$X$697</definedName>
    <definedName name="_xlnm._FilterDatabase" localSheetId="1" hidden="1">inputs!$A$1:$N$1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6" l="1"/>
  <c r="AT12" i="16" s="1"/>
  <c r="B3" i="16"/>
  <c r="AB4" i="16" s="1"/>
  <c r="C1" i="16"/>
  <c r="AJ9" i="16" s="1"/>
  <c r="B1" i="16"/>
  <c r="B3" i="15"/>
  <c r="C1" i="15"/>
  <c r="CJ6" i="15" s="1"/>
  <c r="B1" i="15"/>
  <c r="AU4" i="15"/>
  <c r="EB4" i="15"/>
  <c r="AS3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F6" i="16" l="1"/>
  <c r="AQ9" i="15"/>
  <c r="DF6" i="15"/>
  <c r="Y6" i="15"/>
  <c r="C6" i="15"/>
  <c r="AM4" i="16"/>
  <c r="AL4" i="16"/>
  <c r="AK4" i="16"/>
  <c r="AJ4" i="16"/>
  <c r="DX10" i="15"/>
  <c r="Y10" i="16"/>
  <c r="AK9" i="16"/>
  <c r="Z9" i="16"/>
  <c r="EJ4" i="15"/>
  <c r="EI4" i="15"/>
  <c r="Y9" i="16"/>
  <c r="AA4" i="16"/>
  <c r="X9" i="16"/>
  <c r="L4" i="15"/>
  <c r="O4" i="16"/>
  <c r="N9" i="16"/>
  <c r="K4" i="15"/>
  <c r="M4" i="16"/>
  <c r="Z8" i="16"/>
  <c r="L4" i="16"/>
  <c r="O8" i="16"/>
  <c r="O18" i="16" s="1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L19" i="16" s="1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AT7" i="16" s="1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AT8" i="16" s="1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AT10" i="16" s="1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AT4" i="16" s="1"/>
  <c r="AT14" i="16" s="1"/>
  <c r="EF4" i="15"/>
  <c r="AX6" i="15"/>
  <c r="FE6" i="15"/>
  <c r="DP7" i="15"/>
  <c r="CA8" i="15"/>
  <c r="AE9" i="15"/>
  <c r="EJ9" i="15"/>
  <c r="BW10" i="15"/>
  <c r="DU10" i="15"/>
  <c r="S4" i="15"/>
  <c r="N6" i="15"/>
  <c r="N5" i="15" s="1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AT9" i="16" s="1"/>
  <c r="AT19" i="16" s="1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EK5" i="15" s="1"/>
  <c r="H9" i="15"/>
  <c r="AO9" i="15"/>
  <c r="BO9" i="15"/>
  <c r="CV9" i="15"/>
  <c r="DV9" i="15"/>
  <c r="DV5" i="15" s="1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CX5" i="15" s="1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R5" i="15" s="1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EF5" i="15" s="1"/>
  <c r="AY6" i="15"/>
  <c r="DW9" i="15"/>
  <c r="CT7" i="15"/>
  <c r="CZ4" i="15"/>
  <c r="BY10" i="15"/>
  <c r="DU9" i="15"/>
  <c r="DC8" i="15"/>
  <c r="DC5" i="15" s="1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CI5" i="15" s="1"/>
  <c r="AS5" i="16" s="1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BE5" i="15" s="1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EN5" i="15" s="1"/>
  <c r="CS10" i="15"/>
  <c r="AO10" i="15"/>
  <c r="EP9" i="15"/>
  <c r="BN9" i="15"/>
  <c r="BN5" i="15" s="1"/>
  <c r="EJ8" i="15"/>
  <c r="BC8" i="15"/>
  <c r="DR7" i="15"/>
  <c r="DR5" i="15" s="1"/>
  <c r="AK7" i="15"/>
  <c r="DG6" i="15"/>
  <c r="Z6" i="15"/>
  <c r="AN6" i="16"/>
  <c r="AB6" i="16"/>
  <c r="P6" i="16"/>
  <c r="Y8" i="16"/>
  <c r="M8" i="16"/>
  <c r="M18" i="16" s="1"/>
  <c r="AL7" i="16"/>
  <c r="Z7" i="16"/>
  <c r="Z17" i="16" s="1"/>
  <c r="N7" i="16"/>
  <c r="AM6" i="16"/>
  <c r="AA6" i="16"/>
  <c r="O6" i="16"/>
  <c r="AH10" i="16"/>
  <c r="V10" i="16"/>
  <c r="J10" i="16"/>
  <c r="J20" i="16" s="1"/>
  <c r="AI9" i="16"/>
  <c r="W9" i="16"/>
  <c r="K9" i="16"/>
  <c r="K19" i="16" s="1"/>
  <c r="AJ8" i="16"/>
  <c r="X8" i="16"/>
  <c r="X18" i="16" s="1"/>
  <c r="L8" i="16"/>
  <c r="AK7" i="16"/>
  <c r="AK17" i="16" s="1"/>
  <c r="Y7" i="16"/>
  <c r="Y17" i="16" s="1"/>
  <c r="M7" i="16"/>
  <c r="M17" i="16" s="1"/>
  <c r="AL6" i="16"/>
  <c r="Z6" i="16"/>
  <c r="N6" i="16"/>
  <c r="AG10" i="16"/>
  <c r="U10" i="16"/>
  <c r="I10" i="16"/>
  <c r="I20" i="16" s="1"/>
  <c r="AH9" i="16"/>
  <c r="V9" i="16"/>
  <c r="J9" i="16"/>
  <c r="AI8" i="16"/>
  <c r="W8" i="16"/>
  <c r="K8" i="16"/>
  <c r="AJ7" i="16"/>
  <c r="X7" i="16"/>
  <c r="X17" i="16" s="1"/>
  <c r="L7" i="16"/>
  <c r="L17" i="16" s="1"/>
  <c r="AK6" i="16"/>
  <c r="Y6" i="16"/>
  <c r="M6" i="16"/>
  <c r="AI4" i="16"/>
  <c r="AI14" i="16" s="1"/>
  <c r="W4" i="16"/>
  <c r="W20" i="16" s="1"/>
  <c r="K4" i="16"/>
  <c r="K20" i="16" s="1"/>
  <c r="AF10" i="16"/>
  <c r="T10" i="16"/>
  <c r="H10" i="16"/>
  <c r="AG9" i="16"/>
  <c r="U9" i="16"/>
  <c r="I9" i="16"/>
  <c r="I19" i="16" s="1"/>
  <c r="AH8" i="16"/>
  <c r="V8" i="16"/>
  <c r="J8" i="16"/>
  <c r="J18" i="16" s="1"/>
  <c r="AI7" i="16"/>
  <c r="AI17" i="16" s="1"/>
  <c r="W7" i="16"/>
  <c r="W17" i="16" s="1"/>
  <c r="K7" i="16"/>
  <c r="K17" i="16" s="1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I18" i="16" s="1"/>
  <c r="AH7" i="16"/>
  <c r="V7" i="16"/>
  <c r="J7" i="16"/>
  <c r="J17" i="16" s="1"/>
  <c r="AI6" i="16"/>
  <c r="W6" i="16"/>
  <c r="K6" i="16"/>
  <c r="AG4" i="16"/>
  <c r="AG14" i="16" s="1"/>
  <c r="U4" i="16"/>
  <c r="I4" i="16"/>
  <c r="I14" i="16" s="1"/>
  <c r="AP10" i="16"/>
  <c r="AD10" i="16"/>
  <c r="R10" i="16"/>
  <c r="F10" i="16"/>
  <c r="AE9" i="16"/>
  <c r="S9" i="16"/>
  <c r="G9" i="16"/>
  <c r="AF8" i="16"/>
  <c r="T8" i="16"/>
  <c r="T18" i="16" s="1"/>
  <c r="H8" i="16"/>
  <c r="AG7" i="16"/>
  <c r="U7" i="16"/>
  <c r="I7" i="16"/>
  <c r="I17" i="16" s="1"/>
  <c r="AH6" i="16"/>
  <c r="V6" i="16"/>
  <c r="J6" i="16"/>
  <c r="AF4" i="16"/>
  <c r="T4" i="16"/>
  <c r="H4" i="16"/>
  <c r="H17" i="16" s="1"/>
  <c r="AO10" i="16"/>
  <c r="AC10" i="16"/>
  <c r="Q10" i="16"/>
  <c r="AP9" i="16"/>
  <c r="AD9" i="16"/>
  <c r="R9" i="16"/>
  <c r="F9" i="16"/>
  <c r="AE8" i="16"/>
  <c r="S8" i="16"/>
  <c r="G8" i="16"/>
  <c r="AF7" i="16"/>
  <c r="T7" i="16"/>
  <c r="H7" i="16"/>
  <c r="AG6" i="16"/>
  <c r="AG16" i="16" s="1"/>
  <c r="U6" i="16"/>
  <c r="U16" i="16" s="1"/>
  <c r="I6" i="16"/>
  <c r="I16" i="16" s="1"/>
  <c r="AE4" i="16"/>
  <c r="S4" i="16"/>
  <c r="G4" i="16"/>
  <c r="AN10" i="16"/>
  <c r="AB10" i="16"/>
  <c r="P10" i="16"/>
  <c r="AO9" i="16"/>
  <c r="AC9" i="16"/>
  <c r="Q9" i="16"/>
  <c r="AP8" i="16"/>
  <c r="AD8" i="16"/>
  <c r="R8" i="16"/>
  <c r="F8" i="16"/>
  <c r="AE7" i="16"/>
  <c r="S7" i="16"/>
  <c r="G7" i="16"/>
  <c r="AF6" i="16"/>
  <c r="T6" i="16"/>
  <c r="H6" i="16"/>
  <c r="AP4" i="16"/>
  <c r="AP14" i="16" s="1"/>
  <c r="AD4" i="16"/>
  <c r="AD14" i="16" s="1"/>
  <c r="R4" i="16"/>
  <c r="R14" i="16" s="1"/>
  <c r="F4" i="16"/>
  <c r="F14" i="16" s="1"/>
  <c r="AM10" i="16"/>
  <c r="AM20" i="16" s="1"/>
  <c r="AA10" i="16"/>
  <c r="O10" i="16"/>
  <c r="O20" i="16" s="1"/>
  <c r="AN9" i="16"/>
  <c r="AB9" i="16"/>
  <c r="P9" i="16"/>
  <c r="P19" i="16" s="1"/>
  <c r="AO8" i="16"/>
  <c r="AC8" i="16"/>
  <c r="Q8" i="16"/>
  <c r="AP7" i="16"/>
  <c r="AD7" i="16"/>
  <c r="R7" i="16"/>
  <c r="F7" i="16"/>
  <c r="AE6" i="16"/>
  <c r="S6" i="16"/>
  <c r="S16" i="16" s="1"/>
  <c r="G6" i="16"/>
  <c r="AO4" i="16"/>
  <c r="AC4" i="16"/>
  <c r="Q4" i="16"/>
  <c r="AL10" i="16"/>
  <c r="AL20" i="16" s="1"/>
  <c r="Z10" i="16"/>
  <c r="Z20" i="16" s="1"/>
  <c r="N10" i="16"/>
  <c r="AM9" i="16"/>
  <c r="AA9" i="16"/>
  <c r="AA19" i="16" s="1"/>
  <c r="O9" i="16"/>
  <c r="O19" i="16" s="1"/>
  <c r="AN8" i="16"/>
  <c r="AB8" i="16"/>
  <c r="AB18" i="16" s="1"/>
  <c r="P8" i="16"/>
  <c r="AO7" i="16"/>
  <c r="AC7" i="16"/>
  <c r="Q7" i="16"/>
  <c r="AP6" i="16"/>
  <c r="AD6" i="16"/>
  <c r="R6" i="16"/>
  <c r="EC5" i="15"/>
  <c r="AS10" i="16"/>
  <c r="DP5" i="15"/>
  <c r="BK5" i="15"/>
  <c r="BZ5" i="15"/>
  <c r="AD5" i="15"/>
  <c r="CC5" i="15"/>
  <c r="ET5" i="15"/>
  <c r="BB5" i="15"/>
  <c r="ER5" i="15"/>
  <c r="DT5" i="15"/>
  <c r="W19" i="16"/>
  <c r="K14" i="16"/>
  <c r="BM5" i="15"/>
  <c r="W14" i="16"/>
  <c r="Z18" i="16"/>
  <c r="X20" i="16"/>
  <c r="Z14" i="16"/>
  <c r="AT17" i="16"/>
  <c r="AJ5" i="15"/>
  <c r="V5" i="15"/>
  <c r="F5" i="15"/>
  <c r="L20" i="16"/>
  <c r="AT18" i="16"/>
  <c r="AT6" i="16"/>
  <c r="AT16" i="16" s="1"/>
  <c r="ED5" i="15"/>
  <c r="CQ5" i="15"/>
  <c r="U14" i="16"/>
  <c r="AS4" i="16"/>
  <c r="AS14" i="16" s="1"/>
  <c r="AS8" i="16"/>
  <c r="AR3" i="16"/>
  <c r="AS9" i="16"/>
  <c r="AS12" i="16"/>
  <c r="AS7" i="16"/>
  <c r="O17" i="16"/>
  <c r="C2" i="16"/>
  <c r="AE14" i="16"/>
  <c r="D2" i="16"/>
  <c r="M14" i="16"/>
  <c r="AK14" i="16"/>
  <c r="O14" i="16"/>
  <c r="AA14" i="16"/>
  <c r="AM14" i="16"/>
  <c r="N14" i="16"/>
  <c r="M20" i="16"/>
  <c r="M19" i="16"/>
  <c r="L18" i="16"/>
  <c r="L14" i="16"/>
  <c r="AM18" i="16"/>
  <c r="H19" i="16"/>
  <c r="AK18" i="16"/>
  <c r="Y18" i="16"/>
  <c r="U20" i="16"/>
  <c r="AL19" i="16"/>
  <c r="Z19" i="16"/>
  <c r="X19" i="16"/>
  <c r="DI5" i="15" l="1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P17" i="16"/>
  <c r="FD5" i="15"/>
  <c r="AK5" i="16"/>
  <c r="AK15" i="16" s="1"/>
  <c r="U17" i="16"/>
  <c r="J19" i="16"/>
  <c r="ES5" i="15"/>
  <c r="U18" i="16"/>
  <c r="CJ5" i="15"/>
  <c r="AT5" i="16" s="1"/>
  <c r="AT15" i="16" s="1"/>
  <c r="R17" i="16"/>
  <c r="AD18" i="16"/>
  <c r="H5" i="16"/>
  <c r="H15" i="16" s="1"/>
  <c r="CS5" i="15"/>
  <c r="Y5" i="16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T20" i="16"/>
  <c r="AC5" i="16"/>
  <c r="AF5" i="16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P5" i="16"/>
  <c r="AP15" i="16" s="1"/>
  <c r="AJ5" i="16"/>
  <c r="AJ15" i="16" s="1"/>
  <c r="L16" i="16"/>
  <c r="F18" i="16"/>
  <c r="Z5" i="16"/>
  <c r="Z15" i="16" s="1"/>
  <c r="AG20" i="16"/>
  <c r="H18" i="16"/>
  <c r="F5" i="16"/>
  <c r="K5" i="16"/>
  <c r="M5" i="16"/>
  <c r="AI20" i="16"/>
  <c r="R5" i="16"/>
  <c r="R15" i="16" s="1"/>
  <c r="W5" i="16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AS15" i="16"/>
  <c r="AS19" i="16"/>
  <c r="AS18" i="16"/>
  <c r="M16" i="16"/>
  <c r="M15" i="16"/>
  <c r="Q16" i="16"/>
  <c r="AF18" i="16"/>
  <c r="Y16" i="16"/>
  <c r="Y15" i="16"/>
  <c r="H14" i="16"/>
  <c r="H16" i="16"/>
  <c r="AR5" i="15"/>
  <c r="AJ14" i="16"/>
  <c r="AJ16" i="16"/>
  <c r="AC15" i="16"/>
  <c r="AC16" i="16"/>
  <c r="AK16" i="16"/>
  <c r="X16" i="16"/>
  <c r="AN16" i="16"/>
  <c r="AN14" i="16"/>
  <c r="AN18" i="16"/>
  <c r="D4" i="16"/>
  <c r="D3" i="16"/>
  <c r="D12" i="16" s="1"/>
  <c r="AR10" i="16"/>
  <c r="AR4" i="16"/>
  <c r="AR14" i="16" s="1"/>
  <c r="AR8" i="16"/>
  <c r="AR9" i="16"/>
  <c r="AR7" i="16"/>
  <c r="AR6" i="16"/>
  <c r="AR12" i="16"/>
  <c r="AF5" i="15"/>
  <c r="R19" i="16"/>
  <c r="AB19" i="16"/>
  <c r="AB20" i="16"/>
  <c r="AB14" i="16"/>
  <c r="AU5" i="15"/>
  <c r="T5" i="15"/>
  <c r="AP19" i="16"/>
  <c r="H20" i="16"/>
  <c r="AV10" i="16"/>
  <c r="CH5" i="15"/>
  <c r="AR5" i="16" s="1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AS20" i="16"/>
  <c r="G16" i="16"/>
  <c r="AF15" i="16"/>
  <c r="AM16" i="16"/>
  <c r="AM15" i="16"/>
  <c r="T14" i="16"/>
  <c r="T16" i="16"/>
  <c r="T20" i="16"/>
  <c r="AV8" i="16"/>
  <c r="G18" i="16"/>
  <c r="AP16" i="16"/>
  <c r="T19" i="16"/>
  <c r="AO14" i="16"/>
  <c r="AO17" i="16"/>
  <c r="AO19" i="16"/>
  <c r="P17" i="16"/>
  <c r="L15" i="16"/>
  <c r="R20" i="16"/>
  <c r="AE19" i="16"/>
  <c r="AE15" i="16"/>
  <c r="P18" i="16"/>
  <c r="AA16" i="16"/>
  <c r="K16" i="16"/>
  <c r="K15" i="16"/>
  <c r="AF19" i="16"/>
  <c r="AC14" i="16"/>
  <c r="AC19" i="16"/>
  <c r="AN17" i="16"/>
  <c r="AP20" i="16"/>
  <c r="N17" i="16"/>
  <c r="AE16" i="16"/>
  <c r="AN20" i="16"/>
  <c r="V16" i="16"/>
  <c r="BD5" i="15"/>
  <c r="W16" i="16"/>
  <c r="W15" i="16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O15" i="16"/>
  <c r="O16" i="16"/>
  <c r="AJ20" i="16"/>
  <c r="AS17" i="16"/>
  <c r="AV9" i="16"/>
  <c r="AB17" i="16"/>
  <c r="AS16" i="16"/>
  <c r="AK20" i="16"/>
  <c r="AR16" i="16" l="1"/>
  <c r="AR17" i="16"/>
  <c r="AR15" i="16"/>
  <c r="AR18" i="16"/>
  <c r="AR19" i="16"/>
  <c r="AR20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S3" i="14" s="1"/>
  <c r="AS26" i="14" s="1"/>
  <c r="AT3" i="12"/>
  <c r="B3" i="11"/>
  <c r="B3" i="12"/>
  <c r="C1" i="12"/>
  <c r="B1" i="12"/>
  <c r="C1" i="11"/>
  <c r="B1" i="11"/>
  <c r="B3" i="10"/>
  <c r="B3" i="9"/>
  <c r="B1" i="10"/>
  <c r="B1" i="9"/>
  <c r="B3" i="13"/>
  <c r="EG9" i="13" s="1"/>
  <c r="B3" i="14"/>
  <c r="B1" i="14"/>
  <c r="B1" i="13"/>
  <c r="EN8" i="13"/>
  <c r="AV9" i="13"/>
  <c r="DU9" i="13"/>
  <c r="EE9" i="13"/>
  <c r="EY9" i="13"/>
  <c r="EZ9" i="13"/>
  <c r="C10" i="13"/>
  <c r="N10" i="13"/>
  <c r="P10" i="13"/>
  <c r="AA10" i="13"/>
  <c r="AF10" i="13"/>
  <c r="AI10" i="13"/>
  <c r="AR10" i="13"/>
  <c r="AS10" i="13"/>
  <c r="AY10" i="13"/>
  <c r="AZ10" i="13"/>
  <c r="BG10" i="13"/>
  <c r="BP10" i="13"/>
  <c r="BQ10" i="13"/>
  <c r="BW10" i="13"/>
  <c r="CB10" i="13"/>
  <c r="CE10" i="13"/>
  <c r="CN10" i="13"/>
  <c r="CO10" i="13"/>
  <c r="CU10" i="13"/>
  <c r="CV10" i="13"/>
  <c r="DC10" i="13"/>
  <c r="DL10" i="13"/>
  <c r="DM10" i="13"/>
  <c r="DS10" i="13"/>
  <c r="DX10" i="13"/>
  <c r="EA10" i="13"/>
  <c r="EJ10" i="13"/>
  <c r="EK10" i="13"/>
  <c r="EQ10" i="13"/>
  <c r="ER10" i="13"/>
  <c r="EW10" i="13"/>
  <c r="EY10" i="13"/>
  <c r="E11" i="13"/>
  <c r="F11" i="13"/>
  <c r="L11" i="13"/>
  <c r="Q11" i="13"/>
  <c r="S11" i="13"/>
  <c r="T11" i="13"/>
  <c r="AC11" i="13"/>
  <c r="AD11" i="13"/>
  <c r="AF11" i="13"/>
  <c r="AI11" i="13"/>
  <c r="AJ11" i="13"/>
  <c r="AK11" i="13"/>
  <c r="AP11" i="13"/>
  <c r="AV11" i="13"/>
  <c r="AW11" i="13"/>
  <c r="BA11" i="13"/>
  <c r="BE11" i="13"/>
  <c r="BG11" i="13"/>
  <c r="BH11" i="13"/>
  <c r="BM11" i="13"/>
  <c r="BQ11" i="13"/>
  <c r="BR11" i="13"/>
  <c r="BT11" i="13"/>
  <c r="CB11" i="13"/>
  <c r="CC11" i="13"/>
  <c r="CD11" i="13"/>
  <c r="CE11" i="13"/>
  <c r="CN11" i="13"/>
  <c r="CO11" i="13"/>
  <c r="CQ11" i="13"/>
  <c r="CW11" i="13"/>
  <c r="CX11" i="13"/>
  <c r="CY11" i="13"/>
  <c r="DA11" i="13"/>
  <c r="DJ11" i="13"/>
  <c r="DK11" i="13"/>
  <c r="DL11" i="13"/>
  <c r="DP11" i="13"/>
  <c r="DU11" i="13"/>
  <c r="DV11" i="13"/>
  <c r="DX11" i="13"/>
  <c r="DZ11" i="13"/>
  <c r="EB11" i="13"/>
  <c r="EC11" i="13"/>
  <c r="EH11" i="13"/>
  <c r="EJ11" i="13"/>
  <c r="EM11" i="13"/>
  <c r="EN11" i="13"/>
  <c r="EO11" i="13"/>
  <c r="ES11" i="13"/>
  <c r="ET11" i="13"/>
  <c r="EU11" i="13"/>
  <c r="EW11" i="13"/>
  <c r="EY11" i="13"/>
  <c r="EZ11" i="13"/>
  <c r="FA11" i="13"/>
  <c r="FE11" i="13"/>
  <c r="D12" i="13"/>
  <c r="E12" i="13"/>
  <c r="F12" i="13"/>
  <c r="G12" i="13"/>
  <c r="I12" i="13"/>
  <c r="J12" i="13"/>
  <c r="N12" i="13"/>
  <c r="O12" i="13"/>
  <c r="P12" i="13"/>
  <c r="Q12" i="13"/>
  <c r="R12" i="13"/>
  <c r="T12" i="13"/>
  <c r="U12" i="13"/>
  <c r="V12" i="13"/>
  <c r="AA12" i="13"/>
  <c r="AB12" i="13"/>
  <c r="AC12" i="13"/>
  <c r="AD12" i="13"/>
  <c r="AE12" i="13"/>
  <c r="AF12" i="13"/>
  <c r="AG12" i="13"/>
  <c r="AH12" i="13"/>
  <c r="AM12" i="13"/>
  <c r="AN12" i="13"/>
  <c r="AP12" i="13"/>
  <c r="AQ12" i="13"/>
  <c r="AR12" i="13"/>
  <c r="AS12" i="13"/>
  <c r="AT12" i="13"/>
  <c r="AX12" i="13"/>
  <c r="AY12" i="13"/>
  <c r="AZ12" i="13"/>
  <c r="BA12" i="13"/>
  <c r="BB12" i="13"/>
  <c r="BC12" i="13"/>
  <c r="BE12" i="13"/>
  <c r="BF12" i="13"/>
  <c r="BJ12" i="13"/>
  <c r="BK12" i="13"/>
  <c r="BL12" i="13"/>
  <c r="BM12" i="13"/>
  <c r="BN12" i="13"/>
  <c r="BO12" i="13"/>
  <c r="BP12" i="13"/>
  <c r="BQ12" i="13"/>
  <c r="BR12" i="13"/>
  <c r="BW12" i="13"/>
  <c r="BX12" i="13"/>
  <c r="BY12" i="13"/>
  <c r="BZ12" i="13"/>
  <c r="CA12" i="13"/>
  <c r="CB12" i="13"/>
  <c r="CC12" i="13"/>
  <c r="CD12" i="13"/>
  <c r="CH12" i="13"/>
  <c r="CI12" i="13"/>
  <c r="CJ12" i="13"/>
  <c r="CL12" i="13"/>
  <c r="CM12" i="13"/>
  <c r="CN12" i="13"/>
  <c r="CO12" i="13"/>
  <c r="CP12" i="13"/>
  <c r="CT12" i="13"/>
  <c r="CU12" i="13"/>
  <c r="CV12" i="13"/>
  <c r="CW12" i="13"/>
  <c r="CX12" i="13"/>
  <c r="CY12" i="13"/>
  <c r="DA12" i="13"/>
  <c r="DB12" i="13"/>
  <c r="DF12" i="13"/>
  <c r="DG12" i="13"/>
  <c r="DH12" i="13"/>
  <c r="DI12" i="13"/>
  <c r="DJ12" i="13"/>
  <c r="DK12" i="13"/>
  <c r="DL12" i="13"/>
  <c r="DM12" i="13"/>
  <c r="DN12" i="13"/>
  <c r="DS12" i="13"/>
  <c r="DT12" i="13"/>
  <c r="DU12" i="13"/>
  <c r="DV12" i="13"/>
  <c r="DW12" i="13"/>
  <c r="DX12" i="13"/>
  <c r="DY12" i="13"/>
  <c r="DZ12" i="13"/>
  <c r="ED12" i="13"/>
  <c r="EE12" i="13"/>
  <c r="EF12" i="13"/>
  <c r="EH12" i="13"/>
  <c r="EI12" i="13"/>
  <c r="EJ12" i="13"/>
  <c r="EK12" i="13"/>
  <c r="EL12" i="13"/>
  <c r="EP12" i="13"/>
  <c r="EQ12" i="13"/>
  <c r="ER12" i="13"/>
  <c r="ES12" i="13"/>
  <c r="ET12" i="13"/>
  <c r="EU12" i="13"/>
  <c r="EW12" i="13"/>
  <c r="EX12" i="13"/>
  <c r="FB12" i="13"/>
  <c r="FC12" i="13"/>
  <c r="FD12" i="13"/>
  <c r="FE12" i="13"/>
  <c r="C13" i="13"/>
  <c r="D13" i="13"/>
  <c r="E13" i="13"/>
  <c r="F13" i="13"/>
  <c r="G13" i="13"/>
  <c r="L13" i="13"/>
  <c r="M13" i="13"/>
  <c r="N13" i="13"/>
  <c r="O13" i="13"/>
  <c r="P13" i="13"/>
  <c r="Q13" i="13"/>
  <c r="R13" i="13"/>
  <c r="S13" i="13"/>
  <c r="W13" i="13"/>
  <c r="X13" i="13"/>
  <c r="Y13" i="13"/>
  <c r="AA13" i="13"/>
  <c r="AB13" i="13"/>
  <c r="AC13" i="13"/>
  <c r="AD13" i="13"/>
  <c r="AE13" i="13"/>
  <c r="AI13" i="13"/>
  <c r="AJ13" i="13"/>
  <c r="AK13" i="13"/>
  <c r="AL13" i="13"/>
  <c r="AM13" i="13"/>
  <c r="AN13" i="13"/>
  <c r="AP13" i="13"/>
  <c r="AQ13" i="13"/>
  <c r="AU13" i="13"/>
  <c r="AV13" i="13"/>
  <c r="AW13" i="13"/>
  <c r="AX13" i="13"/>
  <c r="AY13" i="13"/>
  <c r="AZ13" i="13"/>
  <c r="BA13" i="13"/>
  <c r="BB13" i="13"/>
  <c r="BC13" i="13"/>
  <c r="BH13" i="13"/>
  <c r="BI13" i="13"/>
  <c r="BJ13" i="13"/>
  <c r="BK13" i="13"/>
  <c r="BL13" i="13"/>
  <c r="BM13" i="13"/>
  <c r="BN13" i="13"/>
  <c r="BO13" i="13"/>
  <c r="BS13" i="13"/>
  <c r="BT13" i="13"/>
  <c r="BU13" i="13"/>
  <c r="BW13" i="13"/>
  <c r="BX13" i="13"/>
  <c r="BY13" i="13"/>
  <c r="BZ13" i="13"/>
  <c r="CA13" i="13"/>
  <c r="CE13" i="13"/>
  <c r="CF13" i="13"/>
  <c r="CG13" i="13"/>
  <c r="CH13" i="13"/>
  <c r="CI13" i="13"/>
  <c r="CJ13" i="13"/>
  <c r="CL13" i="13"/>
  <c r="CM13" i="13"/>
  <c r="CQ13" i="13"/>
  <c r="CR13" i="13"/>
  <c r="CS13" i="13"/>
  <c r="CT13" i="13"/>
  <c r="CU13" i="13"/>
  <c r="CV13" i="13"/>
  <c r="CW13" i="13"/>
  <c r="CX13" i="13"/>
  <c r="CY13" i="13"/>
  <c r="DD13" i="13"/>
  <c r="DE13" i="13"/>
  <c r="DF13" i="13"/>
  <c r="DG13" i="13"/>
  <c r="DH13" i="13"/>
  <c r="DI13" i="13"/>
  <c r="DJ13" i="13"/>
  <c r="DK13" i="13"/>
  <c r="DO13" i="13"/>
  <c r="DP13" i="13"/>
  <c r="DQ13" i="13"/>
  <c r="DS13" i="13"/>
  <c r="DT13" i="13"/>
  <c r="DU13" i="13"/>
  <c r="DV13" i="13"/>
  <c r="DW13" i="13"/>
  <c r="EA13" i="13"/>
  <c r="EB13" i="13"/>
  <c r="EC13" i="13"/>
  <c r="ED13" i="13"/>
  <c r="EE13" i="13"/>
  <c r="EF13" i="13"/>
  <c r="EH13" i="13"/>
  <c r="EI13" i="13"/>
  <c r="EM13" i="13"/>
  <c r="EN13" i="13"/>
  <c r="EO13" i="13"/>
  <c r="EP13" i="13"/>
  <c r="EQ13" i="13"/>
  <c r="ER13" i="13"/>
  <c r="ES13" i="13"/>
  <c r="ET13" i="13"/>
  <c r="EU13" i="13"/>
  <c r="EZ13" i="13"/>
  <c r="FA13" i="13"/>
  <c r="FB13" i="13"/>
  <c r="FC13" i="13"/>
  <c r="FD13" i="13"/>
  <c r="FE13" i="13"/>
  <c r="C14" i="13"/>
  <c r="D14" i="13"/>
  <c r="H14" i="13"/>
  <c r="I14" i="13"/>
  <c r="J14" i="13"/>
  <c r="L14" i="13"/>
  <c r="M14" i="13"/>
  <c r="N14" i="13"/>
  <c r="O14" i="13"/>
  <c r="P14" i="13"/>
  <c r="T14" i="13"/>
  <c r="U14" i="13"/>
  <c r="V14" i="13"/>
  <c r="W14" i="13"/>
  <c r="X14" i="13"/>
  <c r="Y14" i="13"/>
  <c r="AA14" i="13"/>
  <c r="AB14" i="13"/>
  <c r="AF14" i="13"/>
  <c r="AG14" i="13"/>
  <c r="AH14" i="13"/>
  <c r="AI14" i="13"/>
  <c r="AJ14" i="13"/>
  <c r="AK14" i="13"/>
  <c r="AL14" i="13"/>
  <c r="AM14" i="13"/>
  <c r="AN14" i="13"/>
  <c r="AS14" i="13"/>
  <c r="AT14" i="13"/>
  <c r="AU14" i="13"/>
  <c r="AV14" i="13"/>
  <c r="AW14" i="13"/>
  <c r="AX14" i="13"/>
  <c r="AY14" i="13"/>
  <c r="AZ14" i="13"/>
  <c r="BD14" i="13"/>
  <c r="BE14" i="13"/>
  <c r="BF14" i="13"/>
  <c r="BH14" i="13"/>
  <c r="BI14" i="13"/>
  <c r="BJ14" i="13"/>
  <c r="BK14" i="13"/>
  <c r="BL14" i="13"/>
  <c r="BP14" i="13"/>
  <c r="BQ14" i="13"/>
  <c r="BR14" i="13"/>
  <c r="BS14" i="13"/>
  <c r="BT14" i="13"/>
  <c r="BU14" i="13"/>
  <c r="BW14" i="13"/>
  <c r="BX14" i="13"/>
  <c r="CB14" i="13"/>
  <c r="CC14" i="13"/>
  <c r="CD14" i="13"/>
  <c r="CE14" i="13"/>
  <c r="CF14" i="13"/>
  <c r="CG14" i="13"/>
  <c r="CH14" i="13"/>
  <c r="CI14" i="13"/>
  <c r="CJ14" i="13"/>
  <c r="CN14" i="13"/>
  <c r="CO14" i="13"/>
  <c r="CP14" i="13"/>
  <c r="CQ14" i="13"/>
  <c r="CR14" i="13"/>
  <c r="CS14" i="13"/>
  <c r="CT14" i="13"/>
  <c r="CU14" i="13"/>
  <c r="CV14" i="13"/>
  <c r="CY14" i="13"/>
  <c r="CZ14" i="13"/>
  <c r="DA14" i="13"/>
  <c r="DB14" i="13"/>
  <c r="DC14" i="13"/>
  <c r="DD14" i="13"/>
  <c r="DE14" i="13"/>
  <c r="DF14" i="13"/>
  <c r="DG14" i="13"/>
  <c r="DH14" i="13"/>
  <c r="DK14" i="13"/>
  <c r="DL14" i="13"/>
  <c r="DM14" i="13"/>
  <c r="DN14" i="13"/>
  <c r="DO14" i="13"/>
  <c r="DP14" i="13"/>
  <c r="DQ14" i="13"/>
  <c r="DR14" i="13"/>
  <c r="DS14" i="13"/>
  <c r="DT14" i="13"/>
  <c r="DW14" i="13"/>
  <c r="DX14" i="13"/>
  <c r="DY14" i="13"/>
  <c r="DZ14" i="13"/>
  <c r="EA14" i="13"/>
  <c r="EB14" i="13"/>
  <c r="EC14" i="13"/>
  <c r="ED14" i="13"/>
  <c r="EE14" i="13"/>
  <c r="EF14" i="13"/>
  <c r="EI14" i="13"/>
  <c r="EJ14" i="13"/>
  <c r="EK14" i="13"/>
  <c r="EL14" i="13"/>
  <c r="EM14" i="13"/>
  <c r="EN14" i="13"/>
  <c r="EO14" i="13"/>
  <c r="EP14" i="13"/>
  <c r="EQ14" i="13"/>
  <c r="ER14" i="13"/>
  <c r="EU14" i="13"/>
  <c r="EV14" i="13"/>
  <c r="EW14" i="13"/>
  <c r="EX14" i="13"/>
  <c r="EY14" i="13"/>
  <c r="EZ14" i="13"/>
  <c r="FA14" i="13"/>
  <c r="FB14" i="13"/>
  <c r="FC14" i="13"/>
  <c r="FD14" i="13"/>
  <c r="D15" i="13"/>
  <c r="E15" i="13"/>
  <c r="F15" i="13"/>
  <c r="G15" i="13"/>
  <c r="H15" i="13"/>
  <c r="I15" i="13"/>
  <c r="J15" i="13"/>
  <c r="K15" i="13"/>
  <c r="L15" i="13"/>
  <c r="M15" i="13"/>
  <c r="O15" i="13"/>
  <c r="P15" i="13"/>
  <c r="Q15" i="13"/>
  <c r="R15" i="13"/>
  <c r="S15" i="13"/>
  <c r="T15" i="13"/>
  <c r="U15" i="13"/>
  <c r="V15" i="13"/>
  <c r="W15" i="13"/>
  <c r="X15" i="13"/>
  <c r="Y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FD18" i="11" l="1"/>
  <c r="EA11" i="13"/>
  <c r="DI11" i="13"/>
  <c r="CL11" i="13"/>
  <c r="BP11" i="13"/>
  <c r="AU11" i="13"/>
  <c r="X11" i="13"/>
  <c r="FD10" i="13"/>
  <c r="EE10" i="13"/>
  <c r="DH10" i="13"/>
  <c r="CI10" i="13"/>
  <c r="BL10" i="13"/>
  <c r="AM10" i="13"/>
  <c r="K10" i="13"/>
  <c r="DD9" i="13"/>
  <c r="DD11" i="13"/>
  <c r="CG11" i="13"/>
  <c r="BO11" i="13"/>
  <c r="AS11" i="13"/>
  <c r="V11" i="13"/>
  <c r="FB10" i="13"/>
  <c r="EC10" i="13"/>
  <c r="DF10" i="13"/>
  <c r="CG10" i="13"/>
  <c r="BJ10" i="13"/>
  <c r="AK10" i="13"/>
  <c r="I10" i="13"/>
  <c r="CX9" i="13"/>
  <c r="DY11" i="13"/>
  <c r="DC11" i="13"/>
  <c r="CF11" i="13"/>
  <c r="BN11" i="13"/>
  <c r="AR11" i="13"/>
  <c r="U11" i="13"/>
  <c r="EZ10" i="13"/>
  <c r="EB10" i="13"/>
  <c r="DD10" i="13"/>
  <c r="CF10" i="13"/>
  <c r="BH10" i="13"/>
  <c r="AJ10" i="13"/>
  <c r="D10" i="13"/>
  <c r="BC9" i="13"/>
  <c r="DZ10" i="13"/>
  <c r="DA10" i="13"/>
  <c r="CD10" i="13"/>
  <c r="BE10" i="13"/>
  <c r="AH10" i="13"/>
  <c r="FB9" i="13"/>
  <c r="T9" i="13"/>
  <c r="DT8" i="13"/>
  <c r="AL12" i="13"/>
  <c r="S12" i="13"/>
  <c r="C12" i="13"/>
  <c r="EK11" i="13"/>
  <c r="DN11" i="13"/>
  <c r="CS11" i="13"/>
  <c r="BZ11" i="13"/>
  <c r="BC11" i="13"/>
  <c r="AH11" i="13"/>
  <c r="K11" i="13"/>
  <c r="EP10" i="13"/>
  <c r="DR10" i="13"/>
  <c r="CT10" i="13"/>
  <c r="BV10" i="13"/>
  <c r="AX10" i="13"/>
  <c r="Z10" i="13"/>
  <c r="EM9" i="13"/>
  <c r="DY6" i="13"/>
  <c r="DM11" i="13"/>
  <c r="CR11" i="13"/>
  <c r="BY11" i="13"/>
  <c r="BB11" i="13"/>
  <c r="AG11" i="13"/>
  <c r="I11" i="13"/>
  <c r="EO10" i="13"/>
  <c r="DP10" i="13"/>
  <c r="CS10" i="13"/>
  <c r="BT10" i="13"/>
  <c r="AW10" i="13"/>
  <c r="X10" i="13"/>
  <c r="EH9" i="13"/>
  <c r="J8" i="14"/>
  <c r="G11" i="13"/>
  <c r="EM10" i="13"/>
  <c r="DN10" i="13"/>
  <c r="CQ10" i="13"/>
  <c r="BR10" i="13"/>
  <c r="AU10" i="13"/>
  <c r="V10" i="13"/>
  <c r="DR9" i="13"/>
  <c r="DO8" i="13"/>
  <c r="FE9" i="13"/>
  <c r="DP9" i="13"/>
  <c r="AG8" i="13"/>
  <c r="CU9" i="13"/>
  <c r="U10" i="13"/>
  <c r="ET9" i="13"/>
  <c r="CF9" i="13"/>
  <c r="T10" i="13"/>
  <c r="EQ9" i="13"/>
  <c r="BP9" i="13"/>
  <c r="DS9" i="13"/>
  <c r="CI9" i="13"/>
  <c r="AE9" i="13"/>
  <c r="BC8" i="13"/>
  <c r="BZ9" i="13"/>
  <c r="I9" i="13"/>
  <c r="F8" i="13"/>
  <c r="DJ9" i="13"/>
  <c r="BT9" i="13"/>
  <c r="FC8" i="13"/>
  <c r="EJ7" i="13"/>
  <c r="L10" i="13"/>
  <c r="EO9" i="13"/>
  <c r="DH9" i="13"/>
  <c r="BS9" i="13"/>
  <c r="ER8" i="13"/>
  <c r="DU7" i="13"/>
  <c r="BC7" i="13"/>
  <c r="DC9" i="13"/>
  <c r="BE9" i="13"/>
  <c r="EJ8" i="13"/>
  <c r="R7" i="13"/>
  <c r="EB9" i="13"/>
  <c r="CS9" i="13"/>
  <c r="AU9" i="13"/>
  <c r="DD8" i="13"/>
  <c r="FD9" i="13"/>
  <c r="DW9" i="13"/>
  <c r="CL9" i="13"/>
  <c r="AM9" i="13"/>
  <c r="CZ8" i="13"/>
  <c r="CK9" i="13"/>
  <c r="AG9" i="13"/>
  <c r="CF8" i="13"/>
  <c r="Q9" i="13"/>
  <c r="CA8" i="13"/>
  <c r="O9" i="13"/>
  <c r="BH8" i="13"/>
  <c r="ER9" i="13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AT6" i="14" s="1"/>
  <c r="BZ6" i="13"/>
  <c r="BN6" i="13"/>
  <c r="BD6" i="13"/>
  <c r="AT6" i="13"/>
  <c r="AF6" i="13"/>
  <c r="L6" i="13"/>
  <c r="DO6" i="13"/>
  <c r="DD6" i="13"/>
  <c r="CS6" i="13"/>
  <c r="CI6" i="13"/>
  <c r="AS6" i="14" s="1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AT6" i="12" s="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AT7" i="12" s="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AS6" i="12" s="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AS9" i="12" s="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AS8" i="12" s="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AT9" i="12" s="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AS12" i="12" s="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AS11" i="12" s="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AT12" i="12" s="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AS10" i="12" s="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AT11" i="12" s="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AT14" i="12" s="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AS13" i="12" s="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AS17" i="12" s="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AT13" i="12" s="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AS15" i="12" s="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AT16" i="12" s="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AT17" i="12" s="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AS19" i="12" s="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AS18" i="12" s="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AT19" i="12" s="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AS24" i="12" s="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AS23" i="12" s="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AS22" i="12" s="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AT23" i="12" s="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AS21" i="12" s="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AT22" i="12" s="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AS20" i="12" s="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AT21" i="12" s="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AP39" i="12" s="1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W46" i="12" s="1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AS4" i="12" s="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D2" i="12"/>
  <c r="AT26" i="12"/>
  <c r="C3" i="10"/>
  <c r="C26" i="10" s="1"/>
  <c r="AT26" i="10"/>
  <c r="AS26" i="10"/>
  <c r="D3" i="10"/>
  <c r="D26" i="10" s="1"/>
  <c r="AO21" i="10"/>
  <c r="CS23" i="9"/>
  <c r="AM45" i="12" l="1"/>
  <c r="F39" i="12"/>
  <c r="AR22" i="12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R5" i="12" s="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AT10" i="10" s="1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AT11" i="10" s="1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AT6" i="10" s="1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AT8" i="10" s="1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AT12" i="10" s="1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T17" i="10" s="1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AS14" i="10" s="1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AT19" i="10" s="1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AT24" i="10" s="1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AT22" i="10" s="1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AS20" i="10" s="1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AS4" i="10" s="1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AT4" i="10" s="1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AR4" i="14" s="1"/>
  <c r="AR36" i="14" s="1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P30" i="10" s="1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L42" i="10" s="1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AT5" i="12" s="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V33" i="14" l="1"/>
  <c r="AT37" i="14"/>
  <c r="EV5" i="9"/>
  <c r="AT30" i="14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S5" i="10" s="1"/>
  <c r="AS29" i="10" s="1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R34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0" i="14"/>
  <c r="AR42" i="14"/>
  <c r="AR38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M29" i="10" s="1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T30" i="10"/>
  <c r="F5" i="10"/>
  <c r="F29" i="10" s="1"/>
  <c r="D7" i="10"/>
  <c r="AJ43" i="10"/>
  <c r="AV20" i="10"/>
  <c r="L30" i="10"/>
  <c r="AF35" i="10"/>
  <c r="V5" i="10"/>
  <c r="AV32" i="12"/>
  <c r="AS33" i="10"/>
  <c r="AT38" i="10"/>
  <c r="AT38" i="14"/>
  <c r="AT45" i="14"/>
  <c r="AT31" i="14"/>
  <c r="AR30" i="14"/>
  <c r="AR46" i="14"/>
  <c r="AT39" i="14"/>
  <c r="AT42" i="14"/>
  <c r="AR39" i="14"/>
  <c r="AR31" i="14"/>
  <c r="AR47" i="14"/>
  <c r="AT34" i="14"/>
  <c r="AR43" i="14"/>
  <c r="AR32" i="14"/>
  <c r="AR48" i="14"/>
  <c r="AT40" i="14"/>
  <c r="AR41" i="14"/>
  <c r="AR45" i="14"/>
  <c r="AR44" i="14"/>
  <c r="AT41" i="14"/>
  <c r="AT43" i="14"/>
  <c r="AT28" i="14"/>
  <c r="AR33" i="14"/>
  <c r="AR28" i="14"/>
  <c r="AT48" i="14"/>
  <c r="AT35" i="14"/>
  <c r="AT47" i="14"/>
  <c r="AR35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V21" i="10"/>
  <c r="D6" i="10"/>
  <c r="C11" i="10"/>
  <c r="C14" i="10"/>
  <c r="AH5" i="10"/>
  <c r="AH29" i="10" s="1"/>
  <c r="W5" i="10"/>
  <c r="AV14" i="10"/>
  <c r="AE5" i="10"/>
  <c r="AE29" i="10" s="1"/>
  <c r="AV19" i="10"/>
  <c r="D16" i="10"/>
  <c r="Q33" i="10"/>
  <c r="AP44" i="10"/>
  <c r="H43" i="10"/>
  <c r="AP36" i="10"/>
  <c r="D18" i="10"/>
  <c r="AV16" i="10"/>
  <c r="R5" i="10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I29" i="10" s="1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O29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W29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AD29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3" i="10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V44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V29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K29" i="10"/>
  <c r="AL30" i="10"/>
  <c r="AL45" i="10"/>
  <c r="S29" i="10"/>
  <c r="AB38" i="10"/>
  <c r="J29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R28" i="10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29" i="10"/>
  <c r="AV39" i="10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C29" i="14" l="1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AT5" i="14" s="1"/>
  <c r="AT29" i="14" s="1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</calcChain>
</file>

<file path=xl/sharedStrings.xml><?xml version="1.0" encoding="utf-8"?>
<sst xmlns="http://schemas.openxmlformats.org/spreadsheetml/2006/main" count="29339" uniqueCount="6130">
  <si>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</si>
  <si>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</si>
  <si>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</si>
  <si>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</si>
  <si>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</si>
  <si>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</si>
  <si>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</si>
  <si>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</si>
  <si>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</si>
  <si>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</si>
  <si>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</si>
  <si>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</si>
  <si>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</si>
  <si>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</si>
  <si>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</si>
  <si>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</si>
  <si>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</si>
  <si>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</si>
  <si>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</si>
  <si>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</si>
  <si>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</si>
  <si>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</si>
  <si>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</si>
  <si>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</si>
  <si>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</si>
  <si>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</si>
  <si>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</si>
  <si>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</si>
  <si>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</si>
  <si>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</si>
  <si>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</si>
  <si>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</si>
  <si>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</si>
  <si>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</si>
  <si>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</si>
  <si>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</si>
  <si>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</si>
  <si>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</si>
  <si>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</si>
  <si>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</si>
  <si>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</si>
  <si>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</si>
  <si>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</si>
  <si>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</si>
  <si>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</si>
  <si>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</si>
  <si>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</si>
  <si>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</si>
  <si>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</si>
  <si>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</si>
  <si>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</si>
  <si>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</si>
  <si>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</si>
  <si>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</si>
  <si>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</si>
  <si>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</si>
  <si>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</si>
  <si>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</si>
  <si>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</si>
  <si>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</si>
  <si>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</si>
  <si>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</si>
  <si>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</si>
  <si>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</si>
  <si>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</si>
  <si>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</si>
  <si>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</si>
  <si>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</si>
  <si>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</si>
  <si>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</si>
  <si>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</si>
  <si>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</si>
  <si>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</si>
  <si>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</si>
  <si>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</si>
  <si>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</si>
  <si>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</si>
  <si>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</si>
  <si>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</si>
  <si>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</si>
  <si>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</si>
  <si>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</si>
  <si>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</si>
  <si>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</si>
  <si>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</si>
  <si>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</si>
  <si>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</si>
  <si>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</si>
  <si>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</si>
  <si>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</si>
  <si>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</si>
  <si>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</si>
  <si>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</si>
  <si>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</si>
  <si>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</si>
  <si>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</si>
  <si>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</si>
  <si>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</si>
  <si>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</si>
  <si>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</si>
  <si>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</si>
  <si>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</si>
  <si>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</si>
  <si>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</si>
  <si>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</si>
  <si>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</si>
  <si>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</si>
  <si>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</si>
  <si>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</si>
  <si>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</si>
  <si>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</si>
  <si>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</si>
  <si>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</si>
  <si>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</si>
  <si>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</si>
  <si>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</si>
  <si>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</si>
  <si>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</si>
  <si>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</si>
  <si>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</si>
  <si>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</si>
  <si>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</si>
  <si>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</si>
  <si>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</si>
  <si>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</si>
  <si>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</si>
  <si>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</si>
  <si>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</si>
  <si>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</si>
  <si>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</si>
  <si>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</si>
  <si>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</si>
  <si>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</si>
  <si>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</si>
  <si>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</si>
  <si>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</si>
  <si>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</si>
  <si>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</si>
  <si>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</si>
  <si>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</si>
  <si>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</si>
  <si>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</si>
  <si>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</si>
  <si>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</si>
  <si>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</si>
  <si>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</si>
  <si>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</si>
  <si>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</si>
  <si>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</si>
  <si>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</si>
  <si>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</si>
  <si>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</si>
  <si>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</si>
  <si>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</si>
  <si>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</si>
  <si>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</si>
  <si>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</si>
  <si>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</si>
  <si>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</si>
  <si>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</si>
  <si>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</si>
  <si>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</si>
  <si>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</si>
  <si>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</si>
  <si>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</si>
  <si>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</si>
  <si>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</si>
  <si>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</si>
  <si>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</si>
  <si>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</si>
  <si>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</si>
  <si>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</si>
  <si>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</si>
  <si>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</si>
  <si>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</si>
  <si>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</si>
  <si>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</si>
  <si>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</si>
  <si>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</si>
  <si>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</si>
  <si>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</si>
  <si>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</si>
  <si>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</si>
  <si>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</si>
  <si>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</si>
  <si>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</si>
  <si>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</si>
  <si>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</si>
  <si>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</si>
  <si>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</si>
  <si>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</si>
  <si>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</si>
  <si>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</si>
  <si>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</si>
  <si>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</si>
  <si>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</si>
  <si>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</si>
  <si>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</si>
  <si>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</si>
  <si>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</si>
  <si>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</si>
  <si>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</si>
  <si>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</si>
  <si>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</si>
  <si>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</si>
  <si>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</si>
  <si>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</si>
  <si>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</si>
  <si>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</si>
  <si>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</si>
  <si>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</si>
  <si>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</si>
  <si>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</si>
  <si>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</si>
  <si>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</si>
  <si>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</si>
  <si>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</si>
  <si>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</si>
  <si>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</si>
  <si>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</si>
  <si>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</si>
  <si>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</si>
  <si>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</si>
  <si>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</si>
  <si>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</si>
  <si>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</si>
  <si>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</si>
  <si>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</si>
  <si>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</si>
  <si>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</si>
  <si>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</si>
  <si>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</si>
  <si>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</si>
  <si>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</si>
  <si>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</si>
  <si>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</si>
  <si>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</si>
  <si>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</si>
  <si>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</si>
  <si>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</si>
  <si>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</si>
  <si>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</si>
  <si>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</si>
  <si>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</si>
  <si>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</si>
  <si>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</si>
  <si>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</si>
  <si>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</si>
  <si>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</si>
  <si>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</si>
  <si>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</si>
  <si>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</si>
  <si>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</si>
  <si>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</si>
  <si>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</si>
  <si>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</si>
  <si>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</si>
  <si>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</si>
  <si>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</si>
  <si>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</si>
  <si>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</si>
  <si>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</si>
  <si>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</si>
  <si>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</si>
  <si>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</si>
  <si>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</si>
  <si>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</si>
  <si>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</si>
  <si>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</si>
  <si>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</si>
  <si>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</si>
  <si>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</si>
  <si>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</si>
  <si>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</si>
  <si>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</si>
  <si>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</si>
  <si>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</si>
  <si>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</si>
  <si>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</si>
  <si>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</si>
  <si>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</si>
  <si>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</si>
  <si>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</si>
  <si>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</si>
  <si>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</si>
  <si>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</si>
  <si>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</si>
  <si>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</si>
  <si>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</si>
  <si>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</si>
  <si>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</si>
  <si>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</si>
  <si>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</si>
  <si>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</si>
  <si>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</si>
  <si>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</si>
  <si>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</si>
  <si>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</si>
  <si>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</si>
  <si>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</si>
  <si>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</si>
  <si>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</si>
  <si>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</si>
  <si>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</si>
  <si>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</si>
  <si>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</si>
  <si>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</si>
  <si>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</si>
  <si>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</si>
  <si>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</si>
  <si>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</si>
  <si>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</si>
  <si>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</si>
  <si>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</si>
  <si>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</si>
  <si>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</si>
  <si>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</si>
  <si>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</si>
  <si>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</si>
  <si>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</si>
  <si>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</si>
  <si>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</si>
  <si>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</si>
  <si>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</si>
  <si>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</si>
  <si>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</si>
  <si>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</si>
  <si>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</si>
  <si>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</si>
  <si>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</si>
  <si>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</si>
  <si>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</si>
  <si>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</si>
  <si>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</si>
  <si>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</si>
  <si>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</si>
  <si>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</si>
  <si>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</si>
  <si>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</si>
  <si>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</si>
  <si>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</si>
  <si>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</si>
  <si>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</si>
  <si>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</si>
  <si>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</si>
  <si>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</si>
  <si>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</si>
  <si>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</si>
  <si>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</si>
  <si>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</si>
  <si>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</si>
  <si>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</si>
  <si>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</si>
  <si>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</si>
  <si>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</si>
  <si>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</si>
  <si>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</si>
  <si>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</si>
  <si>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</si>
  <si>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</si>
  <si>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</si>
  <si>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</si>
  <si>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</si>
  <si>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</si>
  <si>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</si>
  <si>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</si>
  <si>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</si>
  <si>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</si>
  <si>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</si>
  <si>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</si>
  <si>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</si>
  <si>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</si>
  <si>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</si>
  <si>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</si>
  <si>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</si>
  <si>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</si>
  <si>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</si>
  <si>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</si>
  <si>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</si>
  <si>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</si>
  <si>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</si>
  <si>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</si>
  <si>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</si>
  <si>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</si>
  <si>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</si>
  <si>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</si>
  <si>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</si>
  <si>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</si>
  <si>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</si>
  <si>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</si>
  <si>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</si>
  <si>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</si>
  <si>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</si>
  <si>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</si>
  <si>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</si>
  <si>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</si>
  <si>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</si>
  <si>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</si>
  <si>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</si>
  <si>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</si>
  <si>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</si>
  <si>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</si>
  <si>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</si>
  <si>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</si>
  <si>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</si>
  <si>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</si>
  <si>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</si>
  <si>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</si>
  <si>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</si>
  <si>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</si>
  <si>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</si>
  <si>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</si>
  <si>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</si>
  <si>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</si>
  <si>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</si>
  <si>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</si>
  <si>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</si>
  <si>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</si>
  <si>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</si>
  <si>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</si>
  <si>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</si>
  <si>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</si>
  <si>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</si>
  <si>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</si>
  <si>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</si>
  <si>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</si>
  <si>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</si>
  <si>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</si>
  <si>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</si>
  <si>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</si>
  <si>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</si>
  <si>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</si>
  <si>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</si>
  <si>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</si>
  <si>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</si>
  <si>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</si>
  <si>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</si>
  <si>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</si>
  <si>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</si>
  <si>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</si>
  <si>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</si>
  <si>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</si>
  <si>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</si>
  <si>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</si>
  <si>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</si>
  <si>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</si>
  <si>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</si>
  <si>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</si>
  <si>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</si>
  <si>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</si>
  <si>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</si>
  <si>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</si>
  <si>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</si>
  <si>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</si>
  <si>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</si>
  <si>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</si>
  <si>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</si>
  <si>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</si>
  <si>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</si>
  <si>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</si>
  <si>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</si>
  <si>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</si>
  <si>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</si>
  <si>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</si>
  <si>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</si>
  <si>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</si>
  <si>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</si>
  <si>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</si>
  <si>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</si>
  <si>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</si>
  <si>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</si>
  <si>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</si>
  <si>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</si>
  <si>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</si>
  <si>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</si>
  <si>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</si>
  <si>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</si>
  <si>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</si>
  <si>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</si>
  <si>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</si>
  <si>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</si>
  <si>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</si>
  <si>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</si>
  <si>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</si>
  <si>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</si>
  <si>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</si>
  <si>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</si>
  <si>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</si>
  <si>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</si>
  <si>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</si>
  <si>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</si>
  <si>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</si>
  <si>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</si>
  <si>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</si>
  <si>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</si>
  <si>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</si>
  <si>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</si>
  <si>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</si>
  <si>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</si>
  <si>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</si>
  <si>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</si>
  <si>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</si>
  <si>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</si>
  <si>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</si>
  <si>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</si>
  <si>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</si>
  <si>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</si>
  <si>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</si>
  <si>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</si>
  <si>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</si>
  <si>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</si>
  <si>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</si>
  <si>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</si>
  <si>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</si>
  <si>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</si>
  <si>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</si>
  <si>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</si>
  <si>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</si>
  <si>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</si>
  <si>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</si>
  <si>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</si>
  <si>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</si>
  <si>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</si>
  <si>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</si>
  <si>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</si>
  <si>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</si>
  <si>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</si>
  <si>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</si>
  <si>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</si>
  <si>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</si>
  <si>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</si>
  <si>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</si>
  <si>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</si>
  <si>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</si>
  <si>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</si>
  <si>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</si>
  <si>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</si>
  <si>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</si>
  <si>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</si>
  <si>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</si>
  <si>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</si>
  <si>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</si>
  <si>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</si>
  <si>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</si>
  <si>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</si>
  <si>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</si>
  <si>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</si>
  <si>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</si>
  <si>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</si>
  <si>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</si>
  <si>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</si>
  <si>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</si>
  <si>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</si>
  <si>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</si>
  <si>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</si>
  <si>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</si>
  <si>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</si>
  <si>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</si>
  <si>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</si>
  <si>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</si>
  <si>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</si>
  <si>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</si>
  <si>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</si>
  <si>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</si>
  <si>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</si>
  <si>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</si>
  <si>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</si>
  <si>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</si>
  <si>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</si>
  <si>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</si>
  <si>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</si>
  <si>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</si>
  <si>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</si>
  <si>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</si>
  <si>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</si>
  <si>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</si>
  <si>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</si>
  <si>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</si>
  <si>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</si>
  <si>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</si>
  <si>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</si>
  <si>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</si>
  <si>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</si>
  <si>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</si>
  <si>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</si>
  <si>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</si>
  <si>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</si>
  <si>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</si>
  <si>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</si>
  <si>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</si>
  <si>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</si>
  <si>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</si>
  <si>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</si>
  <si>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</si>
  <si>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</si>
  <si>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</si>
  <si>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</si>
  <si>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</si>
  <si>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</si>
  <si>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</si>
  <si>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</si>
  <si>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</si>
  <si>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</si>
  <si>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</si>
  <si>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</si>
  <si>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</si>
  <si>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</si>
  <si>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</si>
  <si>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</si>
  <si>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</si>
  <si>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</si>
  <si>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</si>
  <si>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</si>
  <si>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</si>
  <si>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</si>
  <si>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</si>
  <si>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</si>
  <si>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</si>
  <si>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</si>
  <si>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</si>
  <si>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</si>
  <si>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</si>
  <si>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</si>
  <si>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</si>
  <si>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</si>
  <si>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</si>
  <si>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</si>
  <si>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</si>
  <si>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</si>
  <si>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</si>
  <si>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</si>
  <si>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</si>
  <si>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</si>
  <si>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</si>
  <si>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</si>
  <si>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</si>
  <si>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</si>
  <si>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</si>
  <si>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</si>
  <si>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</si>
  <si>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</si>
  <si>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</si>
  <si>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</si>
  <si>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</si>
  <si>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</si>
  <si>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</si>
  <si>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</si>
  <si>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</si>
  <si>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</si>
  <si>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</si>
  <si>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</si>
  <si>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</si>
  <si>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</si>
  <si>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</si>
  <si>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</si>
  <si>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</si>
  <si>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</si>
  <si>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</si>
  <si>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</si>
  <si>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</si>
  <si>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</si>
  <si>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</si>
  <si>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</si>
  <si>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</si>
  <si>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</si>
  <si>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</si>
  <si>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</si>
  <si>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</si>
  <si>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</si>
  <si>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</si>
  <si>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</si>
  <si>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</si>
  <si>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</si>
  <si>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</si>
  <si>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</si>
  <si>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</si>
  <si>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</si>
  <si>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</si>
  <si>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</si>
  <si>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</si>
  <si>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</si>
  <si>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</si>
  <si>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</si>
  <si>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</si>
  <si>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</si>
  <si>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</si>
  <si>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</si>
  <si>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</si>
  <si>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</si>
  <si>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</si>
  <si>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</si>
  <si>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</si>
  <si>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</si>
  <si>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</si>
  <si>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</si>
  <si>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</si>
  <si>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</si>
  <si>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</si>
  <si>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</si>
  <si>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</si>
  <si>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</si>
  <si>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</si>
  <si>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</si>
  <si>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</si>
  <si>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</si>
  <si>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</si>
  <si>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</si>
  <si>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</si>
  <si>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</si>
  <si>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</si>
  <si>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</si>
  <si>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</si>
  <si>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</si>
  <si>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</si>
  <si>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</si>
  <si>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</si>
  <si>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</si>
  <si>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</si>
  <si>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</si>
  <si>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</si>
  <si>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</si>
  <si>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</si>
  <si>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</si>
  <si>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</si>
  <si>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</si>
  <si>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</si>
  <si>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</si>
  <si>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</si>
  <si>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</si>
  <si>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</si>
  <si>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</si>
  <si>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</si>
  <si>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</si>
  <si>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</si>
  <si>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</si>
  <si>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</si>
  <si>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</si>
  <si>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</si>
  <si>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</si>
  <si>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</si>
  <si>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</si>
  <si>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</si>
  <si>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</si>
  <si>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</si>
  <si>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</si>
  <si>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</si>
  <si>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</si>
  <si>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</si>
  <si>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</si>
  <si>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</si>
  <si>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</si>
  <si>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</si>
  <si>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</si>
  <si>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</si>
  <si>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</si>
  <si>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</si>
  <si>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</si>
  <si>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</si>
  <si>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</si>
  <si>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</si>
  <si>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</si>
  <si>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</si>
  <si>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</si>
  <si>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</si>
  <si>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</si>
  <si>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</si>
  <si>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</si>
  <si>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</si>
  <si>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</si>
  <si>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</si>
  <si>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</si>
  <si>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</si>
  <si>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</si>
  <si>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</si>
  <si>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</si>
  <si>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</si>
  <si>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</si>
  <si>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</si>
  <si>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</si>
  <si>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</si>
  <si>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</si>
  <si>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</si>
  <si>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</si>
  <si>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</si>
  <si>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</si>
  <si>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</si>
  <si>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</si>
  <si>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</si>
  <si>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</si>
  <si>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</si>
  <si>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</si>
  <si>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</si>
  <si>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</si>
  <si>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</si>
  <si>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</si>
  <si>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</si>
  <si>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</si>
  <si>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</si>
  <si>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</si>
  <si>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</si>
  <si>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</si>
  <si>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</si>
  <si>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</si>
  <si>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</si>
  <si>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</si>
  <si>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</si>
  <si>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</si>
  <si>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</si>
  <si>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</si>
  <si>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</si>
  <si>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</si>
  <si>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</si>
  <si>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</si>
  <si>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</si>
  <si>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</si>
  <si>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</si>
  <si>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</si>
  <si>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</si>
  <si>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</si>
  <si>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</si>
  <si>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</si>
  <si>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</si>
  <si>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</si>
  <si>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</si>
  <si>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</si>
  <si>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</si>
  <si>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</si>
  <si>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</si>
  <si>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</si>
  <si>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</si>
  <si>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</si>
  <si>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</si>
  <si>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</si>
  <si>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</si>
  <si>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</si>
  <si>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</si>
  <si>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</si>
  <si>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</si>
  <si>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</si>
  <si>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</si>
  <si>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</si>
  <si>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</si>
  <si>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</si>
  <si>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</si>
  <si>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</si>
  <si>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</si>
  <si>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</si>
  <si>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</si>
  <si>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</si>
  <si>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</si>
  <si>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</si>
  <si>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</si>
  <si>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</si>
  <si>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</si>
  <si>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</si>
  <si>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</si>
  <si>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</si>
  <si>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</si>
  <si>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</si>
  <si>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</si>
  <si>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</si>
  <si>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</si>
  <si>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</si>
  <si>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</si>
  <si>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</si>
  <si>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</si>
  <si>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</si>
  <si>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</si>
  <si>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</si>
  <si>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</si>
  <si>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</si>
  <si>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</si>
  <si>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</si>
  <si>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</si>
  <si>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</si>
  <si>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</si>
  <si>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</si>
  <si>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</si>
  <si>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</si>
  <si>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</si>
  <si>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</si>
  <si>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</si>
  <si>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</si>
  <si>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</si>
  <si>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</si>
  <si>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</si>
  <si>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</si>
  <si>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</si>
  <si>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</si>
  <si>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</si>
  <si>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</si>
  <si>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</si>
  <si>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</si>
  <si>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</si>
  <si>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</si>
  <si>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</si>
  <si>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</si>
  <si>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</si>
  <si>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</si>
  <si>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</si>
  <si>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</si>
  <si>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</si>
  <si>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</si>
  <si>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</si>
  <si>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</si>
  <si>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</si>
  <si>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</si>
  <si>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</si>
  <si>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</si>
  <si>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</si>
  <si>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</si>
  <si>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</si>
  <si>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</si>
  <si>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</si>
  <si>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</si>
  <si>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</si>
  <si>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</si>
  <si>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</si>
  <si>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</si>
  <si>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</si>
  <si>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</si>
  <si>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</si>
  <si>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</si>
  <si>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</si>
  <si>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</si>
  <si>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</si>
  <si>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</si>
  <si>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</si>
  <si>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</si>
  <si>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</si>
  <si>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</si>
  <si>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</si>
  <si>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</si>
  <si>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</si>
  <si>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</si>
  <si>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</si>
  <si>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</si>
  <si>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</si>
  <si>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</si>
  <si>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</si>
  <si>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</si>
  <si>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</si>
  <si>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</si>
  <si>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</si>
  <si>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</si>
  <si>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</si>
  <si>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</si>
  <si>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</si>
  <si>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</si>
  <si>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</si>
  <si>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</si>
  <si>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</si>
  <si>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</si>
  <si>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</si>
  <si>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</si>
  <si>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</si>
  <si>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</si>
  <si>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</si>
  <si>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</si>
  <si>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</si>
  <si>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</si>
  <si>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</si>
  <si>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</si>
  <si>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</si>
  <si>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</si>
  <si>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</si>
  <si>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</si>
  <si>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</si>
  <si>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</si>
  <si>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</si>
  <si>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</si>
  <si>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</si>
  <si>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</si>
  <si>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</si>
  <si>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</si>
  <si>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</si>
  <si>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</si>
  <si>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</si>
  <si>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</si>
  <si>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</si>
  <si>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</si>
  <si>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</si>
  <si>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</si>
  <si>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</si>
  <si>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</si>
  <si>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</si>
  <si>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</si>
  <si>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</si>
  <si>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</si>
  <si>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</si>
  <si>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</si>
  <si>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</si>
  <si>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</si>
  <si>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</si>
  <si>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</si>
  <si>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</si>
  <si>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</si>
  <si>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</si>
  <si>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</si>
  <si>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</si>
  <si>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</si>
  <si>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</si>
  <si>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</si>
  <si>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</si>
  <si>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</si>
  <si>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</si>
  <si>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</si>
  <si>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</si>
  <si>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</si>
  <si>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</si>
  <si>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</si>
  <si>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</si>
  <si>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</si>
  <si>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</si>
  <si>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</si>
  <si>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</si>
  <si>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</si>
  <si>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</si>
  <si>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</si>
  <si>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</si>
  <si>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</si>
  <si>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</si>
  <si>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</si>
  <si>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</si>
  <si>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</si>
  <si>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</si>
  <si>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</si>
  <si>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</si>
  <si>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</si>
  <si>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</si>
  <si>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</si>
  <si>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</si>
  <si>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</si>
  <si>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</si>
  <si>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</si>
  <si>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</si>
  <si>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</si>
  <si>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</si>
  <si>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</si>
  <si>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</si>
  <si>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</si>
  <si>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</si>
  <si>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</si>
  <si>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</si>
  <si>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</si>
  <si>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</si>
  <si>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</si>
  <si>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</si>
  <si>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</si>
  <si>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</si>
  <si>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</si>
  <si>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</si>
  <si>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</si>
  <si>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</si>
  <si>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</si>
  <si>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</si>
  <si>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</si>
  <si>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</si>
  <si>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</si>
  <si>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</si>
  <si>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</si>
  <si>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</si>
  <si>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</si>
  <si>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</si>
  <si>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</si>
  <si>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</si>
  <si>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</si>
  <si>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</si>
  <si>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</si>
  <si>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</si>
  <si>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</si>
  <si>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</si>
  <si>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</si>
  <si>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</si>
  <si>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</si>
  <si>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</si>
  <si>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</si>
  <si>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</si>
  <si>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</si>
  <si>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</si>
  <si>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</si>
  <si>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</si>
  <si>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</si>
  <si>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</si>
  <si>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</si>
  <si>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</si>
  <si>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</si>
  <si>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</si>
  <si>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</si>
  <si>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</si>
  <si>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</si>
  <si>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</si>
  <si>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</si>
  <si>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</si>
  <si>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</si>
  <si>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</si>
  <si>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</si>
  <si>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</si>
  <si>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</si>
  <si>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</si>
  <si>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</si>
  <si>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</si>
  <si>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</si>
  <si>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</si>
  <si>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</si>
  <si>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</si>
  <si>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</si>
  <si>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</si>
  <si>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</si>
  <si>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</si>
  <si>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</si>
  <si>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</si>
  <si>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</si>
  <si>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</si>
  <si>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</si>
  <si>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</si>
  <si>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</si>
  <si>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</si>
  <si>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</si>
  <si>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</si>
  <si>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</si>
  <si>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</si>
  <si>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</si>
  <si>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</si>
  <si>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</si>
  <si>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</si>
  <si>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</si>
  <si>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</si>
  <si>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</si>
  <si>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</si>
  <si>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</si>
  <si>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</si>
  <si>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</si>
  <si>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</si>
  <si>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</si>
  <si>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</si>
  <si>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</si>
  <si>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</si>
  <si>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</si>
  <si>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</si>
  <si>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</si>
  <si>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</si>
  <si>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</si>
  <si>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</si>
  <si>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</si>
  <si>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</si>
  <si>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</si>
  <si>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</si>
  <si>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</si>
  <si>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</si>
  <si>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</si>
  <si>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</si>
  <si>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</si>
  <si>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</si>
  <si>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</si>
  <si>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</si>
  <si>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</si>
  <si>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</si>
  <si>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</si>
  <si>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</si>
  <si>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</si>
  <si>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</si>
  <si>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</si>
  <si>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</si>
  <si>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</si>
  <si>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</si>
  <si>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</si>
  <si>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</si>
  <si>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</si>
  <si>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</si>
  <si>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</si>
  <si>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</si>
  <si>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</si>
  <si>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</si>
  <si>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</si>
  <si>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</si>
  <si>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</si>
  <si>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</si>
  <si>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</si>
  <si>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</si>
  <si>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</si>
  <si>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</si>
  <si>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</si>
  <si>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</si>
  <si>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</si>
  <si>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</si>
  <si>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</si>
  <si>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</si>
  <si>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</si>
  <si>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</si>
  <si>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</si>
  <si>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</si>
  <si>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</si>
  <si>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</si>
  <si>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</si>
  <si>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</si>
  <si>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</si>
  <si>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</si>
  <si>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</si>
  <si>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</si>
  <si>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</si>
  <si>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</si>
  <si>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</si>
  <si>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</si>
  <si>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</si>
  <si>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</si>
  <si>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</si>
  <si>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</si>
  <si>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</si>
  <si>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</si>
  <si>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</si>
  <si>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</si>
  <si>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</si>
  <si>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</si>
  <si>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</si>
  <si>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</si>
  <si>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</si>
  <si>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</si>
  <si>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</si>
  <si>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</si>
  <si>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</si>
  <si>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</si>
  <si>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</si>
  <si>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</si>
  <si>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</si>
  <si>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</si>
  <si>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</si>
  <si>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</si>
  <si>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</si>
  <si>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</si>
  <si>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</si>
  <si>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</si>
  <si>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</si>
  <si>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</si>
  <si>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</si>
  <si>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</si>
  <si>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</si>
  <si>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</si>
  <si>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</si>
  <si>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</si>
  <si>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</si>
  <si>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</si>
  <si>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</si>
  <si>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</si>
  <si>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</si>
  <si>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</si>
  <si>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</si>
  <si>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</si>
  <si>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</si>
  <si>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</si>
  <si>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</si>
  <si>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</si>
  <si>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</si>
  <si>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</si>
  <si>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</si>
  <si>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</si>
  <si>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</si>
  <si>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</si>
  <si>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</si>
  <si>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</si>
  <si>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</si>
  <si>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</si>
  <si>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</si>
  <si>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</si>
  <si>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</si>
  <si>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</si>
  <si>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</si>
  <si>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</si>
  <si>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</si>
  <si>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</si>
  <si>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</si>
  <si>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</si>
  <si>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</si>
  <si>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</si>
  <si>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</si>
  <si>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</si>
  <si>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</si>
  <si>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</si>
  <si>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</si>
  <si>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</si>
  <si>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</si>
  <si>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</si>
  <si>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</si>
  <si>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</si>
  <si>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</si>
  <si>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</si>
  <si>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</si>
  <si>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</si>
  <si>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</si>
  <si>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</si>
  <si>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</si>
  <si>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</si>
  <si>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</si>
  <si>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</si>
  <si>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</si>
  <si>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</si>
  <si>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</si>
  <si>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</si>
  <si>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</si>
  <si>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</si>
  <si>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</si>
  <si>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</si>
  <si>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</si>
  <si>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</si>
  <si>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</si>
  <si>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</si>
  <si>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</si>
  <si>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</si>
  <si>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</si>
  <si>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</si>
  <si>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</si>
  <si>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</si>
  <si>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</si>
  <si>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</si>
  <si>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</si>
  <si>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</si>
  <si>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</si>
  <si>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</si>
  <si>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</si>
  <si>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</si>
  <si>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</si>
  <si>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</si>
  <si>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</si>
  <si>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</si>
  <si>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</si>
  <si>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</si>
  <si>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</si>
  <si>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</si>
  <si>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</si>
  <si>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</si>
  <si>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</si>
  <si>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</si>
  <si>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</si>
  <si>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</si>
  <si>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</si>
  <si>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</si>
  <si>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</si>
  <si>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</si>
  <si>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</si>
  <si>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</si>
  <si>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</si>
  <si>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</si>
  <si>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</si>
  <si>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</si>
  <si>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</si>
  <si>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</si>
  <si>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</si>
  <si>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</si>
  <si>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</si>
  <si>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</si>
  <si>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</si>
  <si>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</si>
  <si>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</si>
  <si>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</si>
  <si>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</si>
  <si>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</si>
  <si>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</si>
  <si>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</si>
  <si>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</si>
  <si>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</si>
  <si>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</si>
  <si>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</si>
  <si>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</si>
  <si>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</si>
  <si>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</si>
  <si>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</si>
  <si>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</si>
  <si>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</si>
  <si>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</si>
  <si>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</si>
  <si>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</si>
  <si>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</si>
  <si>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</si>
  <si>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</si>
  <si>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</si>
  <si>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</si>
  <si>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</si>
  <si>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</si>
  <si>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</si>
  <si>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</si>
  <si>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</si>
  <si>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</si>
  <si>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</si>
  <si>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</si>
  <si>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</si>
  <si>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</si>
  <si>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</si>
  <si>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</si>
  <si>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</si>
  <si>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</si>
  <si>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</si>
  <si>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</si>
  <si>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</si>
  <si>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</si>
  <si>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</si>
  <si>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</si>
  <si>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</si>
  <si>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</si>
  <si>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</si>
  <si>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</si>
  <si>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</si>
  <si>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</si>
  <si>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</si>
  <si>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</si>
  <si>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</si>
  <si>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</si>
  <si>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</si>
  <si>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</si>
  <si>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</si>
  <si>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</si>
  <si>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</si>
  <si>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</si>
  <si>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</si>
  <si>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</si>
  <si>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</si>
  <si>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</si>
  <si>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</si>
  <si>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</si>
  <si>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</si>
  <si>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</si>
  <si>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</si>
  <si>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</si>
  <si>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</si>
  <si>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</si>
  <si>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</si>
  <si>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</si>
  <si>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</si>
  <si>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</si>
  <si>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</si>
  <si>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</si>
  <si>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</si>
  <si>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</si>
  <si>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</si>
  <si>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</si>
  <si>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</si>
  <si>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</si>
  <si>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</si>
  <si>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</si>
  <si>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</si>
  <si>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</si>
  <si>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</si>
  <si>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</si>
  <si>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</si>
  <si>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</si>
  <si>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</si>
  <si>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</si>
  <si>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</si>
  <si>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</si>
  <si>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</si>
  <si>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</si>
  <si>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</si>
  <si>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</si>
  <si>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</si>
  <si>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</si>
  <si>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</si>
  <si>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</si>
  <si>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</si>
  <si>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</si>
  <si>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</si>
  <si>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</si>
  <si>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</si>
  <si>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</si>
  <si>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</si>
  <si>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</si>
  <si>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</si>
  <si>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</si>
  <si>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</si>
  <si>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</si>
  <si>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</si>
  <si>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</si>
  <si>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</si>
  <si>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</si>
  <si>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</si>
  <si>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</si>
  <si>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</si>
  <si>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</si>
  <si>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</si>
  <si>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</si>
  <si>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</si>
  <si>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</si>
  <si>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</si>
  <si>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</si>
  <si>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</si>
  <si>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</si>
  <si>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</si>
  <si>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</si>
  <si>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</si>
  <si>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</si>
  <si>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</si>
  <si>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</si>
  <si>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</si>
  <si>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</si>
  <si>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</si>
  <si>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</si>
  <si>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</si>
  <si>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</si>
  <si>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</si>
  <si>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</si>
  <si>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</si>
  <si>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</si>
  <si>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</si>
  <si>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</si>
  <si>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</si>
  <si>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</si>
  <si>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</si>
  <si>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</si>
  <si>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</si>
  <si>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</si>
  <si>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</si>
  <si>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</si>
  <si>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</si>
  <si>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</si>
  <si>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</si>
  <si>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</si>
  <si>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</si>
  <si>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</si>
  <si>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</si>
  <si>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</si>
  <si>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</si>
  <si>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</si>
  <si>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</si>
  <si>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</si>
  <si>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</si>
  <si>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</si>
  <si>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</si>
  <si>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</si>
  <si>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</si>
  <si>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</si>
  <si>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</si>
  <si>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</si>
  <si>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</si>
  <si>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</si>
  <si>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</si>
  <si>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</si>
  <si>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</si>
  <si>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</si>
  <si>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</si>
  <si>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</si>
  <si>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</si>
  <si>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</si>
  <si>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</si>
  <si>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</si>
  <si>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</si>
  <si>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</si>
  <si>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</si>
  <si>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</si>
  <si>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</si>
  <si>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</si>
  <si>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</si>
  <si>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</si>
  <si>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</si>
  <si>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</si>
  <si>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</si>
  <si>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</si>
  <si>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</si>
  <si>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</si>
  <si>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</si>
  <si>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</si>
  <si>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</si>
  <si>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</si>
  <si>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</si>
  <si>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</si>
  <si>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</si>
  <si>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</si>
  <si>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</si>
  <si>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</si>
  <si>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</si>
  <si>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</si>
  <si>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</si>
  <si>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</si>
  <si>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</si>
  <si>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</si>
  <si>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</si>
  <si>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</si>
  <si>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</si>
  <si>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</si>
  <si>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</si>
  <si>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</si>
  <si>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</si>
  <si>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</si>
  <si>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</si>
  <si>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</si>
  <si>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</si>
  <si>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</si>
  <si>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</si>
  <si>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</si>
  <si>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</si>
  <si>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</si>
  <si>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</si>
  <si>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</si>
  <si>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</si>
  <si>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</si>
  <si>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</si>
  <si>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</si>
  <si>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</si>
  <si>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</si>
  <si>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</si>
  <si>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</si>
  <si>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</si>
  <si>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</si>
  <si>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</si>
  <si>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</si>
  <si>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</si>
  <si>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</si>
  <si>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</si>
  <si>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</si>
  <si>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</si>
  <si>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</si>
  <si>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</si>
  <si>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</si>
  <si>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</si>
  <si>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</si>
  <si>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</si>
  <si>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</si>
  <si>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</si>
  <si>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</si>
  <si>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</si>
  <si>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</si>
  <si>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</si>
  <si>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</si>
  <si>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</si>
  <si>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</si>
  <si>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</si>
  <si>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</si>
  <si>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</si>
  <si>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</si>
  <si>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</si>
  <si>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</si>
  <si>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</si>
  <si>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</si>
  <si>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</si>
  <si>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</si>
  <si>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</si>
  <si>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</si>
  <si>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</si>
  <si>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</si>
  <si>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</si>
  <si>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</si>
  <si>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</si>
  <si>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</si>
  <si>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</si>
  <si>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</si>
  <si>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</si>
  <si>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</si>
  <si>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</si>
  <si>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</si>
  <si>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</si>
  <si>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</si>
  <si>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</si>
  <si>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</si>
  <si>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</si>
  <si>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</si>
  <si>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</si>
  <si>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</si>
  <si>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</si>
  <si>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</si>
  <si>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</si>
  <si>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</si>
  <si>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</si>
  <si>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</si>
  <si>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</si>
  <si>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</si>
  <si>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</si>
  <si>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</si>
  <si>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</si>
  <si>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</si>
  <si>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</si>
  <si>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</si>
  <si>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</si>
  <si>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</si>
  <si>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</si>
  <si>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</si>
  <si>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</si>
  <si>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</si>
  <si>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</si>
  <si>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</si>
  <si>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</si>
  <si>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</si>
  <si>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</si>
  <si>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</si>
  <si>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</si>
  <si>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</si>
  <si>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</si>
  <si>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</si>
  <si>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</si>
  <si>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</si>
  <si>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</si>
  <si>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</si>
  <si>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</si>
  <si>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</si>
  <si>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</si>
  <si>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</si>
  <si>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</si>
  <si>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</si>
  <si>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</si>
  <si>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</si>
  <si>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</si>
  <si>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</si>
  <si>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</si>
  <si>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</si>
  <si>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</si>
  <si>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</si>
  <si>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</si>
  <si>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</si>
  <si>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</si>
  <si>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</si>
  <si>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</si>
  <si>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</si>
  <si>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</si>
  <si>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</si>
  <si>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</si>
  <si>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</si>
  <si>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</si>
  <si>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</si>
  <si>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</si>
  <si>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</si>
  <si>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</si>
  <si>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</si>
  <si>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</si>
  <si>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</si>
  <si>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</si>
  <si>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</si>
  <si>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</si>
  <si>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</si>
  <si>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</si>
  <si>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</si>
  <si>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</si>
  <si>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</si>
  <si>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</si>
  <si>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</si>
  <si>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</si>
  <si>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</si>
  <si>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</si>
  <si>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</si>
  <si>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</si>
  <si>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</si>
  <si>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</si>
  <si>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</si>
  <si>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</si>
  <si>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</si>
  <si>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</si>
  <si>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</si>
  <si>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</si>
  <si>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</si>
  <si>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</si>
  <si>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</si>
  <si>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</si>
  <si>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</si>
  <si>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</si>
  <si>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</si>
  <si>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</si>
  <si>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</si>
  <si>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</si>
  <si>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</si>
  <si>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</si>
  <si>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</si>
  <si>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</si>
  <si>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</si>
  <si>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</si>
  <si>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</si>
  <si>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</si>
  <si>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</si>
  <si>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</si>
  <si>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</si>
  <si>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</si>
  <si>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</si>
  <si>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</si>
  <si>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</si>
  <si>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</si>
  <si>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</si>
  <si>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</si>
  <si>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</si>
  <si>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</si>
  <si>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</si>
  <si>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</si>
  <si>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</si>
  <si>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</si>
  <si>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</si>
  <si>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</si>
  <si>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</si>
  <si>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</si>
  <si>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</si>
  <si>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</si>
  <si>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</si>
  <si>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</si>
  <si>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</si>
  <si>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</si>
  <si>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</si>
  <si>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</si>
  <si>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</si>
  <si>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</si>
  <si>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</si>
  <si>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</si>
  <si>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</si>
  <si>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</si>
  <si>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</si>
  <si>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</si>
  <si>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</si>
  <si>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</si>
  <si>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</si>
  <si>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</si>
  <si>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</si>
  <si>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</si>
  <si>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</si>
  <si>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</si>
  <si>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</si>
  <si>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</si>
  <si>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</si>
  <si>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</si>
  <si>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</si>
  <si>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</si>
  <si>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</si>
  <si>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</si>
  <si>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</si>
  <si>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</si>
  <si>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</si>
  <si>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</si>
  <si>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</si>
  <si>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</si>
  <si>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</si>
  <si>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</si>
  <si>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</si>
  <si>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</si>
  <si>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</si>
  <si>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</si>
  <si>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</si>
  <si>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</si>
  <si>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</si>
  <si>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</si>
  <si>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</si>
  <si>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</si>
  <si>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</si>
  <si>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</si>
  <si>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</si>
  <si>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</si>
  <si>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</si>
  <si>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</si>
  <si>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</si>
  <si>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</si>
  <si>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</si>
  <si>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</si>
  <si>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</si>
  <si>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</si>
  <si>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</si>
  <si>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</si>
  <si>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</si>
  <si>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</si>
  <si>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</si>
  <si>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</si>
  <si>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</si>
  <si>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</si>
  <si>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</si>
  <si>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</si>
  <si>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</si>
  <si>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</si>
  <si>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</si>
  <si>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</si>
  <si>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</si>
  <si>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</si>
  <si>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</si>
  <si>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</si>
  <si>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</si>
  <si>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</si>
  <si>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</si>
  <si>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</si>
  <si>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</si>
  <si>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</si>
  <si>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</si>
  <si>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</si>
  <si>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</si>
  <si>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</si>
  <si>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</si>
  <si>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</si>
  <si>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</si>
  <si>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</si>
  <si>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</si>
  <si>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</si>
  <si>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</si>
  <si>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</si>
  <si>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</si>
  <si>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</si>
  <si>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</si>
  <si>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</si>
  <si>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</si>
  <si>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</si>
  <si>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</si>
  <si>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</si>
  <si>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</si>
  <si>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</si>
  <si>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</si>
  <si>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</si>
  <si>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</si>
  <si>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</si>
  <si>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</si>
  <si>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</si>
  <si>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</si>
  <si>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</si>
  <si>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</si>
  <si>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</si>
  <si>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</si>
  <si>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</si>
  <si>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</si>
  <si>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</si>
  <si>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</si>
  <si>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</si>
  <si>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</si>
  <si>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</si>
  <si>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</si>
  <si>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</si>
  <si>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</si>
  <si>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</si>
  <si>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</si>
  <si>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</si>
  <si>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</si>
  <si>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</si>
  <si>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</si>
  <si>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</si>
  <si>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</si>
  <si>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</si>
  <si>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</si>
  <si>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</si>
  <si>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</si>
  <si>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</si>
  <si>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</si>
  <si>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</si>
  <si>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</si>
  <si>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</si>
  <si>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</si>
  <si>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</si>
  <si>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</si>
  <si>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</si>
  <si>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</si>
  <si>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</si>
  <si>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</si>
  <si>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</si>
  <si>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</si>
  <si>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</si>
  <si>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</si>
  <si>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</si>
  <si>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</si>
  <si>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</si>
  <si>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</si>
  <si>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</si>
  <si>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</si>
  <si>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</si>
  <si>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</si>
  <si>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</si>
  <si>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</si>
  <si>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</si>
  <si>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</si>
  <si>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</si>
  <si>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</si>
  <si>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</si>
  <si>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</si>
  <si>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</si>
  <si>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</si>
  <si>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</si>
  <si>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</si>
  <si>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</si>
  <si>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</si>
  <si>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</si>
  <si>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</si>
  <si>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</si>
  <si>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</si>
  <si>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</si>
  <si>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</si>
  <si>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</si>
  <si>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</si>
  <si>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</si>
  <si>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</si>
  <si>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</si>
  <si>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</si>
  <si>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</si>
  <si>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</si>
  <si>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</si>
  <si>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</si>
  <si>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</si>
  <si>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</si>
  <si>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</si>
  <si>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</si>
  <si>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</si>
  <si>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</si>
  <si>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</si>
  <si>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</si>
  <si>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</si>
  <si>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</si>
  <si>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</si>
  <si>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</si>
  <si>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</si>
  <si>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</si>
  <si>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</si>
  <si>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</si>
  <si>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</si>
  <si>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</si>
  <si>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</si>
  <si>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</si>
  <si>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</si>
  <si>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</si>
  <si>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</si>
  <si>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</si>
  <si>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</si>
  <si>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</si>
  <si>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</si>
  <si>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</si>
  <si>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</si>
  <si>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</si>
  <si>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</si>
  <si>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</si>
  <si>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</si>
  <si>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</si>
  <si>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</si>
  <si>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</si>
  <si>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</si>
  <si>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</si>
  <si>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</si>
  <si>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</si>
  <si>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</si>
  <si>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</si>
  <si>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</si>
  <si>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</si>
  <si>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</si>
  <si>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</si>
  <si>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</si>
  <si>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</si>
  <si>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</si>
  <si>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</si>
  <si>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</si>
  <si>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</si>
  <si>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</si>
  <si>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</si>
  <si>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</si>
  <si>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</si>
  <si>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</si>
  <si>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</si>
  <si>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</si>
  <si>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</si>
  <si>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</si>
  <si>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</si>
  <si>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</si>
  <si>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</si>
  <si>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</si>
  <si>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</si>
  <si>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</si>
  <si>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</si>
  <si>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</si>
  <si>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</si>
  <si>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</si>
  <si>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</si>
  <si>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</si>
  <si>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</si>
  <si>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</si>
  <si>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</si>
  <si>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</si>
  <si>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</si>
  <si>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</si>
  <si>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</si>
  <si>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</si>
  <si>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</si>
  <si>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</si>
  <si>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</si>
  <si>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</si>
  <si>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</si>
  <si>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</si>
  <si>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</si>
  <si>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</si>
  <si>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</si>
  <si>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</si>
  <si>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</si>
  <si>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</si>
  <si>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</si>
  <si>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</si>
  <si>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</si>
  <si>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</si>
  <si>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</si>
  <si>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</si>
  <si>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</si>
  <si>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</si>
  <si>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</si>
  <si>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</si>
  <si>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</si>
  <si>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</si>
  <si>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</si>
  <si>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</si>
  <si>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</si>
  <si>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</si>
  <si>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</si>
  <si>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</si>
  <si>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</si>
  <si>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</si>
  <si>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</si>
  <si>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</si>
  <si>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</si>
  <si>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</si>
  <si>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</si>
  <si>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</si>
  <si>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</si>
  <si>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</si>
  <si>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</si>
  <si>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</si>
  <si>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</si>
  <si>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</si>
  <si>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</si>
  <si>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</si>
  <si>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</si>
  <si>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</si>
  <si>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</si>
  <si>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</si>
  <si>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</si>
  <si>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</si>
  <si>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</si>
  <si>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</si>
  <si>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</si>
  <si>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</si>
  <si>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</si>
  <si>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</si>
  <si>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</si>
  <si>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</si>
  <si>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</si>
  <si>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</si>
  <si>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</si>
  <si>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</si>
  <si>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</si>
  <si>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</si>
  <si>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</si>
  <si>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</si>
  <si>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</si>
  <si>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</si>
  <si>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</si>
  <si>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</si>
  <si>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</si>
  <si>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</si>
  <si>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</si>
  <si>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</si>
  <si>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</si>
  <si>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</si>
  <si>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</si>
  <si>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</si>
  <si>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</si>
  <si>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</si>
  <si>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</si>
  <si>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</si>
  <si>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</si>
  <si>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</si>
  <si>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</si>
  <si>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</si>
  <si>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</si>
  <si>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</si>
  <si>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</si>
  <si>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</si>
  <si>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</si>
  <si>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</si>
  <si>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</si>
  <si>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</si>
  <si>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</si>
  <si>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</si>
  <si>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</si>
  <si>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</si>
  <si>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</si>
  <si>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</si>
  <si>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</si>
  <si>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</si>
  <si>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</si>
  <si>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</si>
  <si>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</si>
  <si>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</si>
  <si>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</si>
  <si>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</si>
  <si>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</si>
  <si>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</si>
  <si>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</si>
  <si>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</si>
  <si>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</si>
  <si>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</si>
  <si>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</si>
  <si>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</si>
  <si>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</si>
  <si>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</si>
  <si>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</si>
  <si>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</si>
  <si>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</si>
  <si>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</si>
  <si>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</si>
  <si>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</si>
  <si>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</si>
  <si>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</si>
  <si>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</si>
  <si>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</si>
  <si>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</si>
  <si>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</si>
  <si>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</si>
  <si>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</si>
  <si>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</si>
  <si>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</si>
  <si>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</si>
  <si>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</si>
  <si>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</si>
  <si>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</si>
  <si>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</si>
  <si>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</si>
  <si>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</si>
  <si>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</si>
  <si>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</si>
  <si>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</si>
  <si>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</si>
  <si>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</si>
  <si>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</si>
  <si>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</si>
  <si>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</si>
  <si>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</si>
  <si>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</si>
  <si>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</si>
  <si>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</si>
  <si>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</si>
  <si>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</si>
  <si>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</si>
  <si>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</si>
  <si>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</si>
  <si>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</si>
  <si>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</si>
  <si>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</si>
  <si>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</si>
  <si>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</si>
  <si>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</si>
  <si>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</si>
  <si>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</si>
  <si>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</si>
  <si>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</si>
  <si>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</si>
  <si>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</si>
  <si>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</si>
  <si>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</si>
  <si>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</si>
  <si>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</si>
  <si>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</si>
  <si>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</si>
  <si>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</si>
  <si>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</si>
  <si>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</si>
  <si>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</si>
  <si>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</si>
  <si>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</si>
  <si>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</si>
  <si>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</si>
  <si>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</si>
  <si>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</si>
  <si>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</si>
  <si>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</si>
  <si>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</si>
  <si>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</si>
  <si>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</si>
  <si>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</si>
  <si>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</si>
  <si>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</si>
  <si>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</si>
  <si>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</si>
  <si>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</si>
  <si>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</si>
  <si>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</si>
  <si>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</si>
  <si>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</si>
  <si>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</si>
  <si>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</si>
  <si>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</si>
  <si>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</si>
  <si>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</si>
  <si>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</si>
  <si>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</si>
  <si>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</si>
  <si>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</si>
  <si>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</si>
  <si>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</si>
  <si>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</si>
  <si>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</si>
  <si>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</si>
  <si>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</si>
  <si>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</si>
  <si>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</si>
  <si>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</si>
  <si>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</si>
  <si>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</si>
  <si>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</si>
  <si>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</si>
  <si>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</si>
  <si>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</si>
  <si>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</si>
  <si>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</si>
  <si>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</si>
  <si>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</si>
  <si>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</si>
  <si>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</si>
  <si>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</si>
  <si>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</si>
  <si>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</si>
  <si>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</si>
  <si>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</si>
  <si>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</si>
  <si>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</si>
  <si>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</si>
  <si>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</si>
  <si>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</si>
  <si>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</si>
  <si>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</si>
  <si>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</si>
  <si>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</si>
  <si>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</si>
  <si>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</si>
  <si>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</si>
  <si>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</si>
  <si>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</si>
  <si>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</si>
  <si>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</si>
  <si>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</si>
  <si>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</si>
  <si>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</si>
  <si>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</si>
  <si>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</si>
  <si>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</si>
  <si>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</si>
  <si>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</si>
  <si>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</si>
  <si>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</si>
  <si>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</si>
  <si>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</si>
  <si>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</si>
  <si>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</si>
  <si>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</si>
  <si>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</si>
  <si>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</si>
  <si>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</si>
  <si>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</si>
  <si>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</si>
  <si>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</si>
  <si>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</si>
  <si>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</si>
  <si>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</si>
  <si>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</si>
  <si>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</si>
  <si>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</si>
  <si>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</si>
  <si>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</si>
  <si>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</si>
  <si>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</si>
  <si>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</si>
  <si>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</si>
  <si>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</si>
  <si>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</si>
  <si>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</si>
  <si>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</si>
  <si>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</si>
  <si>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</si>
  <si>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</si>
  <si>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</si>
  <si>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</si>
  <si>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</si>
  <si>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</si>
  <si>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</si>
  <si>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</si>
  <si>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</si>
  <si>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</si>
  <si>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</si>
  <si>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</si>
  <si>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</si>
  <si>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</si>
  <si>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</si>
  <si>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</si>
  <si>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</si>
  <si>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</si>
  <si>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</si>
  <si>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</si>
  <si>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</si>
  <si>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</si>
  <si>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</si>
  <si>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</si>
  <si>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</si>
  <si>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</si>
  <si>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</si>
  <si>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</si>
  <si>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</si>
  <si>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</si>
  <si>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</si>
  <si>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</si>
  <si>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</si>
  <si>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</si>
  <si>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</si>
  <si>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</si>
  <si>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</si>
  <si>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</si>
  <si>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</si>
  <si>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</si>
  <si>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</si>
  <si>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</si>
  <si>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</si>
  <si>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</si>
  <si>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</si>
  <si>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</si>
  <si>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</si>
  <si>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</si>
  <si>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</si>
  <si>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</si>
  <si>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</si>
  <si>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</si>
  <si>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</si>
  <si>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</si>
  <si>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</si>
  <si>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</si>
  <si>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</si>
  <si>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</si>
  <si>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</si>
  <si>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</si>
  <si>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</si>
  <si>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</si>
  <si>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</si>
  <si>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</si>
  <si>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</si>
  <si>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</si>
  <si>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</si>
  <si>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</si>
  <si>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</si>
  <si>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</si>
  <si>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</si>
  <si>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</si>
  <si>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</si>
  <si>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</si>
  <si>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</si>
  <si>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</si>
  <si>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</si>
  <si>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</si>
  <si>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</si>
  <si>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</si>
  <si>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</si>
  <si>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</si>
  <si>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</si>
  <si>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</si>
  <si>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</si>
  <si>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</si>
  <si>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</si>
  <si>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</si>
  <si>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</si>
  <si>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</si>
  <si>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</si>
  <si>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</si>
  <si>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</si>
  <si>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</si>
  <si>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</si>
  <si>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</si>
  <si>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</si>
  <si>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</si>
  <si>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</si>
  <si>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</si>
  <si>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</si>
  <si>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</si>
  <si>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</si>
  <si>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</si>
  <si>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</si>
  <si>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</si>
  <si>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</si>
  <si>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</si>
  <si>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</si>
  <si>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</si>
  <si>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</si>
  <si>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</si>
  <si>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</si>
  <si>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</si>
  <si>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</si>
  <si>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</si>
  <si>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</si>
  <si>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</si>
  <si>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</si>
  <si>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</si>
  <si>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</si>
  <si>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</si>
  <si>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</si>
  <si>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</si>
  <si>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</si>
  <si>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</si>
  <si>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</si>
  <si>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</si>
  <si>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</si>
  <si>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</si>
  <si>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</si>
  <si>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</si>
  <si>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</si>
  <si>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</si>
  <si>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</si>
  <si>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</si>
  <si>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</si>
  <si>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</si>
  <si>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</si>
  <si>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</si>
  <si>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</si>
  <si>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</si>
  <si>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</si>
  <si>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</si>
  <si>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</si>
  <si>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</si>
  <si>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</si>
  <si>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</si>
  <si>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</si>
  <si>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</si>
  <si>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</si>
  <si>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</si>
  <si>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</si>
  <si>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</si>
  <si>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</si>
  <si>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</si>
  <si>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</si>
  <si>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</si>
  <si>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</si>
  <si>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</si>
  <si>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</si>
  <si>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</si>
  <si>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</si>
  <si>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</si>
  <si>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</si>
  <si>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</si>
  <si>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</si>
  <si>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</si>
  <si>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</si>
  <si>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</si>
  <si>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</si>
  <si>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</si>
  <si>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</si>
  <si>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</si>
  <si>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</si>
  <si>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</si>
  <si>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</si>
  <si>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</si>
  <si>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</si>
  <si>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</si>
  <si>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</si>
  <si>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</si>
  <si>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</si>
  <si>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</si>
  <si>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</si>
  <si>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</si>
  <si>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</si>
  <si>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</si>
  <si>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</si>
  <si>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</si>
  <si>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</si>
  <si>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</si>
  <si>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</si>
  <si>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</si>
  <si>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</si>
  <si>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</si>
  <si>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</si>
  <si>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</si>
  <si>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</si>
  <si>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</si>
  <si>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</si>
  <si>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</si>
  <si>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</si>
  <si>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</si>
  <si>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</si>
  <si>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</si>
  <si>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</si>
  <si>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</si>
  <si>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</si>
  <si>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</si>
  <si>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</si>
  <si>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</si>
  <si>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</si>
  <si>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</si>
  <si>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</si>
  <si>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</si>
  <si>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</si>
  <si>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</si>
  <si>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</si>
  <si>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</si>
  <si>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</si>
  <si>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</si>
  <si>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</si>
  <si>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</si>
  <si>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</si>
  <si>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</si>
  <si>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</si>
  <si>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</si>
  <si>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</si>
  <si>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</si>
  <si>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</si>
  <si>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</si>
  <si>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</si>
  <si>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</si>
  <si>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</si>
  <si>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</si>
  <si>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</si>
  <si>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</si>
  <si>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</si>
  <si>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</si>
  <si>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</si>
  <si>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</si>
  <si>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</si>
  <si>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</si>
  <si>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</si>
  <si>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</si>
  <si>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</si>
  <si>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</si>
  <si>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</si>
  <si>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</si>
  <si>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</si>
  <si>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</si>
  <si>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</si>
  <si>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</si>
  <si>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</si>
  <si>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</si>
  <si>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</si>
  <si>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</si>
  <si>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</si>
  <si>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</si>
  <si>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</si>
  <si>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</si>
  <si>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</si>
  <si>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</si>
  <si>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</si>
  <si>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</si>
  <si>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</si>
  <si>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</si>
  <si>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</si>
  <si>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</si>
  <si>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</si>
  <si>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</si>
  <si>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</si>
  <si>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</si>
  <si>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</si>
  <si>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</si>
  <si>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</si>
  <si>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</si>
  <si>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</si>
  <si>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</si>
  <si>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</si>
  <si>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</si>
  <si>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</si>
  <si>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</si>
  <si>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</si>
  <si>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</si>
  <si>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</si>
  <si>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</si>
  <si>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</si>
  <si>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</si>
  <si>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</si>
  <si>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</si>
  <si>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</si>
  <si>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</si>
  <si>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</si>
  <si>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</si>
  <si>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</si>
  <si>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</si>
  <si>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</si>
  <si>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</si>
  <si>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</si>
  <si>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</si>
  <si>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</si>
  <si>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</si>
  <si>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</si>
  <si>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</si>
  <si>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</si>
  <si>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</si>
  <si>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</si>
  <si>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</si>
  <si>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</si>
  <si>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</si>
  <si>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</si>
  <si>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</si>
  <si>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</si>
  <si>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</si>
  <si>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</si>
  <si>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</si>
  <si>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</si>
  <si>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</si>
  <si>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</si>
  <si>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</si>
  <si>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</si>
  <si>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</si>
  <si>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</si>
  <si>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</si>
  <si>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</si>
  <si>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</si>
  <si>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</si>
  <si>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</si>
  <si>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</si>
  <si>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</si>
  <si>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</si>
  <si>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</si>
  <si>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</si>
  <si>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</si>
  <si>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</si>
  <si>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</si>
  <si>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</si>
  <si>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</si>
  <si>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</si>
  <si>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</si>
  <si>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</si>
  <si>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</si>
  <si>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</si>
  <si>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</si>
  <si>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</si>
  <si>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</si>
  <si>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</si>
  <si>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</si>
  <si>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</si>
  <si>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</si>
  <si>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</si>
  <si>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</si>
  <si>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</si>
  <si>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</si>
  <si>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</si>
  <si>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</si>
  <si>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</si>
  <si>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</si>
  <si>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</si>
  <si>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</si>
  <si>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</si>
  <si>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</si>
  <si>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</si>
  <si>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</si>
  <si>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</si>
  <si>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</si>
  <si>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</si>
  <si>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</si>
  <si>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</si>
  <si>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</si>
  <si>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</si>
  <si>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</si>
  <si>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</si>
  <si>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</si>
  <si>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</si>
  <si>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</si>
  <si>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</si>
  <si>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</si>
  <si>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</si>
  <si>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</si>
  <si>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</si>
  <si>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</si>
  <si>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</si>
  <si>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</si>
  <si>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</si>
  <si>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</si>
  <si>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</si>
  <si>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</si>
  <si>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</si>
  <si>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</si>
  <si>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</si>
  <si>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</si>
  <si>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</si>
  <si>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</si>
  <si>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</si>
  <si>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</si>
  <si>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</si>
  <si>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</si>
  <si>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</si>
  <si>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</si>
  <si>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</si>
  <si>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</si>
  <si>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</si>
  <si>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</si>
  <si>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</si>
  <si>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</si>
  <si>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</si>
  <si>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</si>
  <si>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</si>
  <si>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</si>
  <si>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</si>
  <si>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</si>
  <si>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</si>
  <si>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</si>
  <si>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</si>
  <si>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</si>
  <si>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</si>
  <si>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</si>
  <si>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</si>
  <si>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</si>
  <si>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</si>
  <si>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</si>
  <si>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</si>
  <si>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</si>
  <si>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</si>
  <si>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</si>
  <si>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</si>
  <si>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</si>
  <si>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</si>
  <si>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</si>
  <si>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</si>
  <si>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</si>
  <si>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</si>
  <si>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</si>
  <si>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</si>
  <si>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</si>
  <si>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</si>
  <si>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</si>
  <si>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</si>
  <si>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</si>
  <si>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</si>
  <si>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</si>
  <si>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</si>
  <si>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</si>
  <si>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</si>
  <si>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</si>
  <si>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</si>
  <si>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</si>
  <si>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</si>
  <si>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</si>
  <si>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</si>
  <si>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</si>
  <si>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</si>
  <si>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</si>
  <si>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</si>
  <si>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</si>
  <si>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</si>
  <si>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</si>
  <si>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</si>
  <si>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</si>
  <si>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</si>
  <si>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</si>
  <si>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</si>
  <si>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</si>
  <si>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</si>
  <si>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</si>
  <si>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</si>
  <si>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</si>
  <si>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</si>
  <si>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</si>
  <si>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</si>
  <si>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</si>
  <si>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</si>
  <si>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</si>
  <si>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</si>
  <si>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</si>
  <si>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</si>
  <si>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</si>
  <si>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</si>
  <si>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</si>
  <si>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</si>
  <si>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</si>
  <si>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</si>
  <si>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</si>
  <si>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</si>
  <si>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</si>
  <si>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</si>
  <si>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</si>
  <si>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</si>
  <si>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</si>
  <si>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</si>
  <si>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</si>
  <si>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</si>
  <si>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</si>
  <si>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</si>
  <si>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</si>
  <si>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</si>
  <si>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</si>
  <si>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</si>
  <si>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</si>
  <si>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</si>
  <si>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</si>
  <si>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</si>
  <si>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</si>
  <si>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</si>
  <si>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</si>
  <si>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</si>
  <si>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</si>
  <si>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</si>
  <si>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</si>
  <si>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</si>
  <si>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</si>
  <si>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</si>
  <si>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</si>
  <si>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</si>
  <si>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</si>
  <si>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</si>
  <si>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</si>
  <si>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</si>
  <si>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</si>
  <si>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</si>
  <si>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</si>
  <si>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</si>
  <si>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</si>
  <si>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</si>
  <si>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</si>
  <si>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</si>
  <si>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</si>
  <si>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</si>
  <si>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</si>
  <si>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</si>
  <si>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</si>
  <si>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</si>
  <si>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</si>
  <si>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</si>
  <si>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</si>
  <si>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</si>
  <si>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</si>
  <si>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</si>
  <si>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</si>
  <si>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</si>
  <si>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</si>
  <si>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</si>
  <si>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</si>
  <si>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</si>
  <si>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</si>
  <si>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</si>
  <si>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</si>
  <si>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</si>
  <si>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</si>
  <si>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</si>
  <si>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</si>
  <si>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</si>
  <si>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</si>
  <si>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</si>
  <si>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</si>
  <si>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</si>
  <si>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</si>
  <si>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</si>
  <si>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</si>
  <si>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</si>
  <si>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</si>
  <si>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</si>
  <si>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</si>
  <si>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</si>
  <si>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</si>
  <si>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</si>
  <si>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</si>
  <si>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</si>
  <si>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</si>
  <si>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</si>
  <si>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</si>
  <si>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</si>
  <si>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</si>
  <si>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</si>
  <si>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</si>
  <si>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</si>
  <si>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</si>
  <si>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</si>
  <si>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</si>
  <si>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</si>
  <si>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</si>
  <si>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</si>
  <si>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</si>
  <si>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</si>
  <si>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</si>
  <si>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</si>
  <si>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</si>
  <si>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</si>
  <si>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</si>
  <si>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</si>
  <si>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</si>
  <si>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</si>
  <si>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</si>
  <si>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</si>
  <si>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</si>
  <si>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</si>
  <si>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</si>
  <si>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</si>
  <si>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</si>
  <si>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</si>
  <si>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</si>
  <si>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</si>
  <si>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</si>
  <si>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</si>
  <si>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</si>
  <si>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</si>
  <si>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</si>
  <si>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</si>
  <si>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</si>
  <si>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</si>
  <si>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</si>
  <si>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</si>
  <si>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</si>
  <si>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</si>
  <si>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</si>
  <si>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</si>
  <si>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</si>
  <si>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</si>
  <si>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</si>
  <si>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</si>
  <si>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</si>
  <si>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</si>
  <si>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</si>
  <si>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</si>
  <si>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</si>
  <si>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</si>
  <si>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</si>
  <si>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</si>
  <si>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</si>
  <si>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</si>
  <si>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</si>
  <si>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</si>
  <si>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</si>
  <si>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</si>
  <si>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</si>
  <si>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</si>
  <si>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</si>
  <si>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</si>
  <si>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</si>
  <si>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</si>
  <si>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</si>
  <si>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</si>
  <si>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</si>
  <si>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</si>
  <si>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</si>
  <si>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</si>
  <si>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</si>
  <si>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</si>
  <si>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</si>
  <si>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</si>
  <si>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</si>
  <si>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</si>
  <si>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</si>
  <si>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</si>
  <si>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</si>
  <si>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</si>
  <si>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</si>
  <si>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</si>
  <si>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</si>
  <si>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</si>
  <si>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</si>
  <si>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</si>
  <si>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</si>
  <si>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</si>
  <si>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</si>
  <si>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</si>
  <si>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</si>
  <si>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</si>
  <si>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</si>
  <si>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</si>
  <si>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</si>
  <si>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</si>
  <si>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</si>
  <si>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</si>
  <si>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</si>
  <si>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</si>
  <si>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</si>
  <si>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</si>
  <si>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</si>
  <si>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</si>
  <si>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</si>
  <si>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</si>
  <si>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</si>
  <si>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</si>
  <si>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</si>
  <si>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</si>
  <si>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</si>
  <si>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</si>
  <si>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</si>
  <si>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</si>
  <si>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</si>
  <si>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</si>
  <si>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</si>
  <si>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</si>
  <si>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</si>
  <si>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</si>
  <si>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</si>
  <si>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</si>
  <si>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</si>
  <si>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</si>
  <si>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</si>
  <si>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</si>
  <si>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</si>
  <si>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</si>
  <si>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</si>
  <si>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</si>
  <si>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</si>
  <si>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</si>
  <si>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</si>
  <si>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</si>
  <si>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</si>
  <si>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</si>
  <si>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</si>
  <si>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</si>
  <si>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</si>
  <si>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</si>
  <si>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</si>
  <si>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</si>
  <si>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</si>
  <si>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</si>
  <si>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</si>
  <si>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</si>
  <si>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</si>
  <si>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</si>
  <si>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</si>
  <si>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</si>
  <si>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</si>
  <si>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</si>
  <si>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</si>
  <si>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</si>
  <si>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</si>
  <si>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</si>
  <si>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</si>
  <si>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</si>
  <si>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</si>
  <si>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</si>
  <si>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</si>
  <si>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</si>
  <si>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</si>
  <si>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</si>
  <si>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</si>
  <si>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</si>
  <si>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</si>
  <si>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</si>
  <si>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</si>
  <si>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</si>
  <si>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</si>
  <si>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</si>
  <si>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</si>
  <si>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</si>
  <si>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</si>
  <si>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</si>
  <si>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</si>
  <si>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</si>
  <si>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</si>
  <si>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</si>
  <si>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</si>
  <si>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</si>
  <si>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</si>
  <si>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</si>
  <si>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</si>
  <si>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</si>
  <si>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</si>
  <si>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</si>
  <si>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</si>
  <si>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</si>
  <si>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</si>
  <si>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</si>
  <si>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</si>
  <si>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</si>
  <si>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</si>
  <si>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</si>
  <si>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</si>
  <si>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</si>
  <si>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</si>
  <si>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</si>
  <si>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</si>
  <si>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</si>
  <si>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</si>
  <si>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</si>
  <si>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</si>
  <si>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</si>
  <si>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</si>
  <si>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</si>
  <si>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</si>
  <si>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</si>
  <si>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</si>
  <si>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</si>
  <si>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</si>
  <si>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</si>
  <si>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</si>
  <si>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</si>
  <si>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</si>
  <si>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</si>
  <si>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</si>
  <si>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</si>
  <si>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</si>
  <si>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</si>
  <si>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</si>
  <si>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</si>
  <si>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</si>
  <si>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</si>
  <si>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</si>
  <si>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</si>
  <si>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</si>
  <si>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</si>
  <si>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</si>
  <si>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</si>
  <si>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</si>
  <si>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</si>
  <si>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</si>
  <si>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</si>
  <si>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</si>
  <si>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</si>
  <si>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</si>
  <si>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</si>
  <si>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</si>
  <si>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</si>
  <si>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</si>
  <si>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</si>
  <si>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</si>
  <si>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</si>
  <si>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</si>
  <si>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</si>
  <si>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</si>
  <si>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</si>
  <si>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</si>
  <si>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</si>
  <si>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</si>
  <si>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</si>
  <si>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</si>
  <si>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</si>
  <si>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</si>
  <si>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</si>
  <si>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</si>
  <si>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</si>
  <si>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</si>
  <si>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</si>
  <si>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</si>
  <si>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</si>
  <si>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</si>
  <si>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</si>
  <si>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</si>
  <si>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</si>
  <si>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</si>
  <si>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</si>
  <si>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</si>
  <si>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</si>
  <si>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</si>
  <si>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</si>
  <si>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</si>
  <si>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</si>
  <si>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</si>
  <si>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</si>
  <si>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</si>
  <si>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</si>
  <si>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</si>
  <si>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</si>
  <si>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</si>
  <si>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</si>
  <si>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</si>
  <si>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</si>
  <si>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</si>
  <si>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</si>
  <si>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</si>
  <si>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</si>
  <si>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</si>
  <si>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</si>
  <si>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</si>
  <si>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</si>
  <si>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</si>
  <si>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</si>
  <si>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</si>
  <si>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</si>
  <si>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</si>
  <si>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</si>
  <si>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</si>
  <si>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</si>
  <si>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</si>
  <si>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</si>
  <si>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</si>
  <si>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</si>
  <si>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</si>
  <si>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</si>
  <si>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</si>
  <si>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</si>
  <si>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</si>
  <si>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</si>
  <si>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</si>
  <si>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</si>
  <si>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</si>
  <si>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</si>
  <si>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</si>
  <si>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</si>
  <si>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</si>
  <si>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</si>
  <si>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</si>
  <si>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</si>
  <si>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</si>
  <si>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</si>
  <si>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</si>
  <si>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</si>
  <si>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</si>
  <si>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</si>
  <si>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</si>
  <si>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</si>
  <si>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</si>
  <si>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</si>
  <si>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</si>
  <si>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</si>
  <si>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</si>
  <si>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</si>
  <si>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</si>
  <si>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</si>
  <si>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</si>
  <si>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</si>
  <si>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</si>
  <si>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</si>
  <si>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</si>
  <si>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</si>
  <si>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</si>
  <si>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</si>
  <si>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</si>
  <si>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</si>
  <si>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</si>
  <si>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</si>
  <si>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</si>
  <si>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</si>
  <si>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</si>
  <si>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</si>
  <si>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</si>
  <si>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</si>
  <si>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</si>
  <si>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</si>
  <si>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</si>
  <si>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</si>
  <si>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</si>
  <si>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</si>
  <si>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</si>
  <si>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</si>
  <si>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</si>
  <si>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</si>
  <si>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</si>
  <si>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</si>
  <si>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</si>
  <si>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</si>
  <si>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</si>
  <si>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</si>
  <si>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</si>
  <si>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</si>
  <si>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</si>
  <si>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</si>
  <si>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</si>
  <si>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</si>
  <si>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</si>
  <si>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</si>
  <si>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</si>
  <si>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</si>
  <si>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</si>
  <si>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</si>
  <si>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</si>
  <si>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</si>
  <si>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</si>
  <si>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</si>
  <si>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</si>
  <si>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</si>
  <si>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</si>
  <si>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</si>
  <si>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</si>
  <si>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</si>
  <si>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</si>
  <si>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</si>
  <si>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</si>
  <si>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</si>
  <si>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</si>
  <si>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</si>
  <si>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</si>
  <si>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</si>
  <si>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</si>
  <si>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</si>
  <si>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</si>
  <si>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</si>
  <si>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</si>
  <si>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</si>
  <si>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</si>
  <si>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</si>
  <si>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</si>
  <si>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</si>
  <si>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</si>
  <si>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</si>
  <si>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</si>
  <si>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</si>
  <si>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</si>
  <si>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</si>
  <si>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</si>
  <si>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</si>
  <si>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</si>
  <si>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</si>
  <si>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</si>
  <si>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</si>
  <si>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</si>
  <si>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</si>
  <si>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</si>
  <si>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</si>
  <si>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</si>
  <si>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</si>
  <si>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</si>
  <si>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</si>
  <si>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</si>
  <si>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</si>
  <si>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</si>
  <si>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</si>
  <si>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</si>
  <si>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</si>
  <si>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</si>
  <si>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</si>
  <si>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</si>
  <si>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</si>
  <si>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</si>
  <si>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</si>
  <si>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</si>
  <si>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</si>
  <si>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</si>
  <si>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</si>
  <si>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</si>
  <si>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</si>
  <si>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</si>
  <si>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</si>
  <si>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</si>
  <si>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</si>
  <si>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</si>
  <si>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</si>
  <si>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</si>
  <si>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</si>
  <si>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</si>
  <si>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</si>
  <si>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</si>
  <si>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</si>
  <si>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</si>
  <si>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</si>
  <si>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</si>
  <si>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</si>
  <si>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</si>
  <si>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</si>
  <si>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</si>
  <si>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</si>
  <si>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</si>
  <si>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</si>
  <si>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</si>
  <si>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</si>
  <si>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</si>
  <si>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</si>
  <si>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</si>
  <si>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</si>
  <si>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</si>
  <si>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</si>
  <si>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</si>
  <si>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</si>
  <si>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</si>
  <si>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</si>
  <si>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</si>
  <si>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</si>
  <si>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</si>
  <si>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</si>
  <si>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</si>
  <si>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</si>
  <si>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</si>
  <si>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</si>
  <si>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</si>
  <si>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</si>
  <si>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</si>
  <si>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</si>
  <si>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</si>
  <si>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</si>
  <si>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</si>
  <si>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</si>
  <si>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</si>
  <si>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</si>
  <si>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</si>
  <si>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</si>
  <si>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</si>
  <si>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</si>
  <si>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</si>
  <si>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</si>
  <si>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</si>
  <si>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</si>
  <si>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</si>
  <si>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</si>
  <si>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</si>
  <si>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</si>
  <si>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</si>
  <si>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</si>
  <si>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</si>
  <si>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</si>
  <si>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</si>
  <si>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</si>
  <si>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</si>
  <si>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</si>
  <si>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</si>
  <si>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</si>
  <si>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</si>
  <si>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</si>
  <si>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</si>
  <si>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</si>
  <si>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</si>
  <si>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</si>
  <si>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</si>
  <si>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</si>
  <si>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</si>
  <si>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</si>
  <si>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</si>
  <si>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</si>
  <si>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</si>
  <si>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</si>
  <si>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</si>
  <si>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</si>
  <si>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</si>
  <si>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</si>
  <si>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</si>
  <si>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</si>
  <si>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</si>
  <si>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</si>
  <si>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</si>
  <si>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</si>
  <si>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</si>
  <si>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</si>
  <si>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</si>
  <si>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</si>
  <si>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</si>
  <si>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</si>
  <si>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</si>
  <si>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</si>
  <si>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</si>
  <si>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</si>
  <si>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</si>
  <si>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</si>
  <si>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</si>
  <si>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</si>
  <si>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</si>
  <si>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</si>
  <si>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</si>
  <si>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</si>
  <si>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</si>
  <si>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</si>
  <si>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</si>
  <si>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</si>
  <si>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</si>
  <si>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</si>
  <si>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</si>
  <si>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</si>
  <si>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</si>
  <si>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</si>
  <si>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</si>
  <si>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</si>
  <si>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</si>
  <si>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</si>
  <si>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</si>
  <si>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</si>
  <si>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</si>
  <si>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</si>
  <si>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</si>
  <si>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</si>
  <si>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</si>
  <si>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</si>
  <si>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</si>
  <si>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</si>
  <si>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</si>
  <si>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</si>
  <si>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</si>
  <si>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</si>
  <si>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</si>
  <si>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</si>
  <si>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</si>
  <si>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</si>
  <si>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</si>
  <si>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</si>
  <si>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</si>
  <si>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</si>
  <si>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</si>
  <si>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</si>
  <si>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</si>
  <si>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</si>
  <si>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</si>
  <si>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</si>
  <si>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</si>
  <si>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</si>
  <si>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</si>
  <si>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</si>
  <si>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</si>
  <si>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</si>
  <si>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</si>
  <si>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</si>
  <si>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</si>
  <si>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</si>
  <si>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</si>
  <si>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</si>
  <si>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</si>
  <si>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</si>
  <si>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</si>
  <si>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</si>
  <si>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</si>
  <si>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</si>
  <si>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</si>
  <si>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</si>
  <si>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</si>
  <si>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</si>
  <si>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</si>
  <si>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</si>
  <si>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</si>
  <si>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</si>
  <si>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</si>
  <si>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</si>
  <si>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</si>
  <si>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</si>
  <si>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</si>
  <si>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</si>
  <si>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</si>
  <si>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</si>
  <si>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</si>
  <si>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</si>
  <si>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</si>
  <si>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</si>
  <si>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</si>
  <si>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</si>
  <si>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</si>
  <si>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</si>
  <si>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</si>
  <si>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</si>
  <si>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</si>
  <si>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</si>
  <si>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</si>
  <si>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</si>
  <si>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</si>
  <si>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</si>
  <si>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</si>
  <si>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</si>
  <si>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</si>
  <si>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</si>
  <si>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</si>
  <si>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</si>
  <si>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</si>
  <si>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</si>
  <si>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</si>
  <si>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</si>
  <si>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</si>
  <si>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</si>
  <si>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</si>
  <si>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</si>
  <si>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</si>
  <si>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</si>
  <si>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</si>
  <si>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</si>
  <si>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</si>
  <si>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</si>
  <si>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</si>
  <si>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</si>
  <si>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</si>
  <si>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</si>
  <si>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</si>
  <si>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</si>
  <si>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</si>
  <si>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</si>
  <si>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</si>
  <si>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</si>
  <si>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</si>
  <si>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</si>
  <si>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</si>
  <si>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</si>
  <si>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</si>
  <si>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</si>
  <si>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</si>
  <si>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</si>
  <si>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</si>
  <si>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</si>
  <si>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</si>
  <si>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</si>
  <si>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</si>
  <si>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</si>
  <si>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</si>
  <si>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</si>
  <si>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</si>
  <si>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</si>
  <si>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</si>
  <si>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</si>
  <si>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</si>
  <si>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</si>
  <si>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</si>
  <si>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</si>
  <si>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</si>
  <si>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</si>
  <si>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</si>
  <si>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</si>
  <si>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</si>
  <si>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</si>
  <si>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</si>
  <si>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</si>
  <si>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</si>
  <si>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</si>
  <si>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</si>
  <si>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</si>
  <si>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</si>
  <si>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</si>
  <si>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</si>
  <si>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</si>
  <si>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</si>
  <si>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</si>
  <si>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</si>
  <si>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</si>
  <si>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</si>
  <si>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</si>
  <si>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</si>
  <si>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</si>
  <si>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</si>
  <si>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</si>
  <si>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</si>
  <si>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</si>
  <si>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</si>
  <si>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</si>
  <si>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</si>
  <si>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</si>
  <si>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</si>
  <si>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</si>
  <si>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</si>
  <si>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</si>
  <si>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</si>
  <si>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</si>
  <si>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</si>
  <si>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</si>
  <si>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</si>
  <si>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</si>
  <si>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</si>
  <si>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</si>
  <si>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</si>
  <si>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</si>
  <si>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</si>
  <si>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</si>
  <si>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</si>
  <si>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</si>
  <si>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</si>
  <si>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</si>
  <si>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</si>
  <si>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</si>
  <si>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</si>
  <si>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</si>
  <si>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</si>
  <si>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</si>
  <si>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</si>
  <si>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</si>
  <si>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</si>
  <si>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</si>
  <si>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</si>
  <si>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</si>
  <si>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</si>
  <si>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</si>
  <si>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</si>
  <si>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</si>
  <si>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</si>
  <si>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</si>
  <si>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</si>
  <si>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</si>
  <si>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</si>
  <si>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</si>
  <si>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</si>
  <si>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</si>
  <si>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</si>
  <si>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</si>
  <si>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</si>
  <si>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</si>
  <si>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</si>
  <si>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</si>
  <si>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</si>
  <si>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</si>
  <si>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</si>
  <si>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</si>
  <si>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</si>
  <si>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</si>
  <si>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</si>
  <si>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</si>
  <si>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</si>
  <si>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</si>
  <si>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</si>
  <si>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</si>
  <si>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</si>
  <si>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</si>
  <si>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</si>
  <si>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</si>
  <si>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</si>
  <si>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</si>
  <si>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</si>
  <si>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</si>
  <si>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</si>
  <si>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</si>
  <si>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</si>
  <si>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</si>
  <si>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</si>
  <si>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</si>
  <si>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</si>
  <si>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</si>
  <si>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</si>
  <si>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</si>
  <si>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</si>
  <si>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</si>
  <si>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</si>
  <si>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</si>
  <si>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</si>
  <si>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</si>
  <si>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</si>
  <si>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</si>
  <si>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</si>
  <si>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</si>
  <si>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</si>
  <si>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</si>
  <si>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</si>
  <si>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</si>
  <si>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</si>
  <si>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</si>
  <si>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</si>
  <si>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</si>
  <si>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</si>
  <si>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</si>
  <si>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</si>
  <si>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</si>
  <si>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</si>
  <si>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</si>
  <si>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</si>
  <si>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</si>
  <si>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</si>
  <si>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</si>
  <si>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</si>
  <si>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</si>
  <si>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</si>
  <si>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</si>
  <si>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</si>
  <si>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</si>
  <si>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</si>
  <si>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</si>
  <si>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</si>
  <si>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</si>
  <si>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</si>
  <si>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</si>
  <si>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</si>
  <si>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</si>
  <si>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</si>
  <si>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</si>
  <si>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</si>
  <si>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</si>
  <si>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</si>
  <si>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</si>
  <si>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</si>
  <si>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</si>
  <si>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</si>
  <si>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</si>
  <si>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</si>
  <si>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</si>
  <si>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</si>
  <si>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</si>
  <si>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</si>
  <si>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</si>
  <si>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</si>
  <si>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</si>
  <si>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</si>
  <si>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</si>
  <si>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</si>
  <si>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</si>
  <si>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</si>
  <si>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</si>
  <si>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</si>
  <si>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</si>
  <si>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</si>
  <si>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</si>
  <si>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</si>
  <si>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</si>
  <si>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</si>
  <si>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</si>
  <si>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</si>
  <si>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</si>
  <si>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</si>
  <si>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</si>
  <si>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</si>
  <si>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</si>
  <si>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</si>
  <si>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</si>
  <si>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</si>
  <si>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</si>
  <si>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</si>
  <si>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</si>
  <si>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</si>
  <si>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</si>
  <si>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</si>
  <si>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</si>
  <si>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</si>
  <si>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</si>
  <si>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</si>
  <si>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</si>
  <si>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</si>
  <si>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</si>
  <si>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</si>
  <si>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</si>
  <si>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</si>
  <si>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</si>
  <si>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</si>
  <si>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</si>
  <si>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</si>
  <si>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</si>
  <si>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</si>
  <si>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</si>
  <si>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</si>
  <si>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</si>
  <si>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</si>
  <si>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</si>
  <si>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</si>
  <si>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</si>
  <si>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</si>
  <si>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</si>
  <si>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</si>
  <si>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</si>
  <si>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</si>
  <si>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</si>
  <si>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</si>
  <si>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</si>
  <si>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</si>
  <si>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</si>
  <si>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</si>
  <si>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</si>
  <si>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</si>
  <si>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</si>
  <si>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</si>
  <si>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</si>
  <si>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</si>
  <si>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</si>
  <si>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</si>
  <si>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</si>
  <si>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</si>
  <si>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</si>
  <si>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</si>
  <si>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</si>
  <si>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</si>
  <si>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</si>
  <si>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</si>
  <si>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</si>
  <si>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</si>
  <si>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</si>
  <si>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</si>
  <si>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</si>
  <si>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</si>
  <si>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</si>
  <si>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</si>
  <si>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</si>
  <si>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</si>
  <si>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</si>
  <si>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</si>
  <si>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</si>
  <si>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</si>
  <si>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</si>
  <si>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</si>
  <si>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</si>
  <si>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</si>
  <si>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</si>
  <si>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</si>
  <si>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</si>
  <si>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</si>
  <si>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</si>
  <si>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</si>
  <si>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</si>
  <si>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</si>
  <si>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</si>
  <si>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</si>
  <si>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</si>
  <si>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</si>
  <si>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</si>
  <si>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</si>
  <si>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</si>
  <si>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</si>
  <si>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</si>
  <si>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</si>
  <si>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</si>
  <si>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</si>
  <si>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</si>
  <si>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</si>
  <si>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</si>
  <si>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</si>
  <si>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</si>
  <si>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</si>
  <si>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</si>
  <si>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</si>
  <si>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</si>
  <si>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</si>
  <si>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</si>
  <si>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</si>
  <si>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</si>
  <si>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</si>
  <si>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</si>
  <si>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</si>
  <si>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</si>
  <si>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</si>
  <si>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</si>
  <si>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</si>
  <si>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</si>
  <si>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</si>
  <si>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</si>
  <si>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</si>
  <si>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</si>
  <si>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</si>
  <si>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</si>
  <si>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</si>
  <si>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</si>
  <si>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</si>
  <si>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</si>
  <si>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</si>
  <si>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</si>
  <si>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</si>
  <si>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</si>
  <si>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</si>
  <si>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</si>
  <si>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</si>
  <si>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</si>
  <si>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</si>
  <si>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</si>
  <si>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</si>
  <si>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</si>
  <si>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</si>
  <si>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</si>
  <si>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</si>
  <si>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</si>
  <si>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</si>
  <si>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</si>
  <si>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</si>
  <si>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</si>
  <si>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</si>
  <si>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</si>
  <si>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</si>
  <si>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</si>
  <si>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</si>
  <si>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</si>
  <si>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</si>
  <si>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</si>
  <si>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</si>
  <si>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</si>
  <si>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</si>
  <si>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</si>
  <si>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</si>
  <si>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</si>
  <si>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</si>
  <si>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</si>
  <si>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</si>
  <si>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</si>
  <si>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</si>
  <si>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</si>
  <si>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</si>
  <si>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</si>
  <si>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</si>
  <si>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</si>
  <si>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</si>
  <si>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</si>
  <si>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</si>
  <si>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</si>
  <si>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</si>
  <si>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</si>
  <si>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</si>
  <si>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</si>
  <si>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</si>
  <si>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</si>
  <si>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</si>
  <si>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</si>
  <si>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</si>
  <si>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</si>
  <si>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</si>
  <si>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</si>
  <si>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</si>
  <si>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</si>
  <si>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</si>
  <si>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</si>
  <si>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</si>
  <si>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</si>
  <si>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</si>
  <si>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</si>
  <si>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</si>
  <si>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</si>
  <si>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</si>
  <si>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</si>
  <si>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</si>
  <si>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</si>
  <si>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</si>
  <si>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</si>
  <si>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</si>
  <si>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</si>
  <si>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</si>
  <si>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</si>
  <si>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</si>
  <si>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</si>
  <si>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</si>
  <si>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</si>
  <si>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</si>
  <si>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</si>
  <si>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</si>
  <si>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</si>
  <si>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</si>
  <si>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</si>
  <si>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</si>
  <si>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</si>
  <si>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</si>
  <si>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</si>
  <si>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</si>
  <si>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</si>
  <si>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</si>
  <si>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</si>
  <si>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</si>
  <si>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</si>
  <si>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</si>
  <si>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</si>
  <si>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</si>
  <si>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</si>
  <si>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</si>
  <si>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</si>
  <si>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</si>
  <si>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</si>
  <si>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</si>
  <si>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</si>
  <si>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</si>
  <si>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</si>
  <si>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</si>
  <si>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</si>
  <si>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</si>
  <si>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</si>
  <si>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</si>
  <si>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</si>
  <si>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</si>
  <si>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</si>
  <si>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</si>
  <si>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</si>
  <si>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</si>
  <si>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</si>
  <si>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</si>
  <si>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</si>
  <si>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</si>
  <si>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</si>
  <si>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</si>
  <si>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</si>
  <si>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</si>
  <si>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</si>
  <si>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</si>
  <si>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</si>
  <si>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</si>
  <si>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</si>
  <si>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</si>
  <si>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</si>
  <si>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</si>
  <si>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</si>
  <si>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</si>
  <si>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</si>
  <si>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</si>
  <si>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</si>
  <si>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</si>
  <si>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</si>
  <si>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</si>
  <si>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</si>
  <si>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</si>
  <si>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</si>
  <si>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</si>
  <si>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</si>
  <si>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</si>
  <si>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</si>
  <si>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</si>
  <si>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</si>
  <si>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</si>
  <si>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</si>
  <si>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</si>
  <si>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</si>
  <si>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</si>
  <si>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</si>
  <si>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</si>
  <si>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</si>
  <si>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</si>
  <si>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</si>
  <si>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</si>
  <si>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</si>
  <si>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</si>
  <si>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</si>
  <si>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</si>
  <si>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</si>
  <si>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</si>
  <si>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</si>
  <si>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</si>
  <si>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</si>
  <si>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</si>
  <si>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</si>
  <si>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</si>
  <si>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</si>
  <si>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</si>
  <si>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</si>
  <si>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</si>
  <si>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</si>
  <si>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</si>
  <si>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</si>
  <si>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</si>
  <si>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</si>
  <si>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</si>
  <si>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</si>
  <si>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</si>
  <si>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</si>
  <si>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</si>
  <si>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</si>
  <si>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</si>
  <si>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</si>
  <si>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</si>
  <si>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</si>
  <si>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</si>
  <si>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</si>
  <si>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</si>
  <si>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</si>
  <si>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</si>
  <si>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</si>
  <si>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</si>
  <si>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</si>
  <si>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</si>
  <si>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</si>
  <si>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</si>
  <si>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</si>
  <si>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</si>
  <si>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</si>
  <si>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</si>
  <si>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</si>
  <si>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</si>
  <si>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</si>
  <si>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</si>
  <si>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</si>
  <si>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</si>
  <si>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</si>
  <si>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</si>
  <si>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</si>
  <si>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</si>
  <si>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</si>
  <si>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</si>
  <si>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</si>
  <si>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</si>
  <si>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</si>
  <si>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</si>
  <si>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</si>
  <si>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</si>
  <si>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</si>
  <si>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</si>
  <si>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</si>
  <si>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</si>
  <si>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</si>
  <si>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</si>
  <si>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</si>
  <si>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</si>
  <si>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</si>
  <si>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</si>
  <si>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</si>
  <si>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</si>
  <si>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</si>
  <si>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</si>
  <si>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</si>
  <si>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</si>
  <si>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</si>
  <si>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</si>
  <si>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</si>
  <si>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</si>
  <si>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</si>
  <si>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</si>
  <si>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</si>
  <si>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</si>
  <si>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</si>
  <si>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</si>
  <si>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</si>
  <si>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</si>
  <si>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</si>
  <si>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</si>
  <si>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</si>
  <si>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</si>
  <si>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</si>
  <si>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</si>
  <si>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</si>
  <si>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</si>
  <si>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</si>
  <si>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</si>
  <si>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</si>
  <si>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</si>
  <si>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</si>
  <si>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</si>
  <si>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</si>
  <si>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</si>
  <si>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</si>
  <si>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</si>
  <si>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</si>
  <si>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</si>
  <si>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</si>
  <si>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</si>
  <si>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</si>
  <si>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</si>
  <si>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</si>
  <si>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</si>
  <si>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</si>
  <si>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</si>
  <si>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</si>
  <si>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</si>
  <si>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</si>
  <si>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</si>
  <si>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</si>
  <si>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</si>
  <si>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</si>
  <si>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</si>
  <si>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</si>
  <si>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</si>
  <si>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</si>
  <si>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</si>
  <si>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</si>
  <si>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</si>
  <si>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</si>
  <si>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</si>
  <si>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</si>
  <si>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</si>
  <si>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</si>
  <si>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</si>
  <si>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</si>
  <si>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</si>
  <si>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</si>
  <si>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</si>
  <si>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</si>
  <si>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</si>
  <si>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</si>
  <si>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</si>
  <si>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</si>
  <si>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</si>
  <si>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</si>
  <si>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</si>
  <si>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</si>
  <si>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</si>
  <si>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</si>
  <si>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</si>
  <si>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</si>
  <si>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</si>
  <si>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</si>
  <si>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</si>
  <si>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</si>
  <si>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</si>
  <si>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</si>
  <si>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</si>
  <si>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</si>
  <si>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</si>
  <si>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</si>
  <si>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</si>
  <si>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</si>
  <si>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</si>
  <si>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</si>
  <si>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</si>
  <si>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</si>
  <si>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</si>
  <si>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</si>
  <si>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</si>
  <si>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</si>
  <si>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</si>
  <si>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</si>
  <si>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</si>
  <si>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</si>
  <si>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</si>
  <si>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</si>
  <si>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</si>
  <si>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</si>
  <si>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</si>
  <si>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</si>
  <si>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</si>
  <si>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</si>
  <si>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</si>
  <si>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</si>
  <si>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</si>
  <si>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</si>
  <si>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</si>
  <si>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</si>
  <si>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</si>
  <si>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</si>
  <si>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</si>
  <si>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</si>
  <si>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</si>
  <si>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</si>
  <si>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</si>
  <si>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</si>
  <si>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</si>
  <si>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</si>
  <si>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</si>
  <si>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</si>
  <si>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</si>
  <si>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</si>
  <si>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</si>
  <si>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</si>
  <si>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</si>
  <si>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</si>
  <si>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</si>
  <si>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</si>
  <si>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</si>
  <si>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</si>
  <si>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</si>
  <si>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</si>
  <si>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</si>
  <si>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</si>
  <si>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</si>
  <si>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</si>
  <si>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</si>
  <si>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</si>
  <si>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</si>
  <si>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</si>
  <si>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</si>
  <si>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</si>
  <si>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</si>
  <si>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</si>
  <si>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</si>
  <si>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</si>
  <si>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</si>
  <si>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</si>
  <si>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</si>
  <si>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</si>
  <si>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</si>
  <si>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</si>
  <si>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</si>
  <si>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</si>
  <si>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</si>
  <si>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</si>
  <si>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</si>
  <si>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</si>
  <si>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</si>
  <si>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</si>
  <si>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</si>
  <si>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</si>
  <si>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</si>
  <si>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</si>
  <si>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</si>
  <si>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</si>
  <si>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</si>
  <si>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</si>
  <si>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</si>
  <si>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</si>
  <si>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</si>
  <si>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</si>
  <si>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</si>
  <si>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</si>
  <si>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</si>
  <si>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</si>
  <si>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</si>
  <si>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</si>
  <si>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</si>
  <si>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</si>
  <si>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</si>
  <si>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</si>
  <si>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</si>
  <si>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</si>
  <si>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</si>
  <si>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</si>
  <si>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</si>
  <si>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</si>
  <si>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</si>
  <si>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</si>
  <si>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</si>
  <si>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</si>
  <si>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</si>
  <si>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</si>
  <si>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</si>
  <si>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</si>
  <si>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</si>
  <si>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</si>
  <si>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</si>
  <si>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</si>
  <si>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</si>
  <si>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</si>
  <si>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</si>
  <si>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</si>
  <si>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</si>
  <si>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</si>
  <si>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</si>
  <si>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</si>
  <si>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</si>
  <si>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</si>
  <si>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</si>
  <si>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</si>
  <si>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</si>
  <si>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</si>
  <si>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</si>
  <si>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</si>
  <si>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</si>
  <si>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</si>
  <si>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</si>
  <si>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</si>
  <si>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</si>
  <si>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</si>
  <si>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</si>
  <si>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</si>
  <si>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</si>
  <si>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</si>
  <si>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</si>
  <si>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</si>
  <si>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</si>
  <si>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</si>
  <si>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</si>
  <si>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</si>
  <si>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</si>
  <si>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</si>
  <si>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</si>
  <si>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</si>
  <si>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</si>
  <si>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</si>
  <si>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</si>
  <si>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</si>
  <si>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</si>
  <si>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</si>
  <si>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</si>
  <si>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</si>
  <si>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</si>
  <si>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</si>
  <si>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</si>
  <si>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</si>
  <si>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</si>
  <si>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</si>
  <si>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</si>
  <si>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</si>
  <si>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</si>
  <si>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</si>
  <si>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</si>
  <si>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</si>
  <si>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</si>
  <si>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</si>
  <si>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</si>
  <si>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</si>
  <si>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</si>
  <si>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</si>
  <si>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</si>
  <si>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</si>
  <si>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</si>
  <si>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</si>
  <si>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</si>
  <si>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</si>
  <si>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</si>
  <si>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</si>
  <si>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</si>
  <si>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</si>
  <si>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</si>
  <si>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</si>
  <si>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</si>
  <si>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</si>
  <si>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</si>
  <si>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</si>
  <si>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</si>
  <si>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</si>
  <si>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</si>
  <si>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</si>
  <si>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</si>
  <si>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</si>
  <si>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</si>
  <si>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</si>
  <si>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</si>
  <si>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</si>
  <si>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</si>
  <si>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</si>
  <si>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</si>
  <si>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</si>
  <si>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</si>
  <si>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</si>
  <si>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</si>
  <si>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</si>
  <si>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</si>
  <si>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</si>
  <si>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</si>
  <si>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</si>
  <si>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</si>
  <si>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</si>
  <si>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</si>
  <si>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</si>
  <si>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</si>
  <si>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</si>
  <si>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</si>
  <si>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</si>
  <si>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</si>
  <si>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</si>
  <si>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</si>
  <si>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</si>
  <si>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</si>
  <si>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</si>
  <si>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</si>
  <si>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</si>
  <si>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</si>
  <si>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</si>
  <si>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</si>
  <si>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</si>
  <si>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</si>
  <si>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</si>
  <si>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</si>
  <si>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</si>
  <si>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</si>
  <si>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</si>
  <si>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</si>
  <si>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</si>
  <si>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</si>
  <si>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</si>
  <si>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</si>
  <si>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</si>
  <si>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</si>
  <si>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</si>
  <si>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</si>
  <si>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</si>
  <si>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</si>
  <si>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</si>
  <si>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</si>
  <si>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</si>
  <si>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</si>
  <si>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</si>
  <si>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</si>
  <si>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</si>
  <si>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</si>
  <si>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</si>
  <si>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</si>
  <si>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</si>
  <si>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</si>
  <si>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</si>
  <si>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</si>
  <si>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</si>
  <si>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</si>
  <si>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</si>
  <si>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</si>
  <si>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</si>
  <si>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</si>
  <si>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</si>
  <si>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</si>
  <si>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</si>
  <si>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</si>
  <si>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</si>
  <si>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</si>
  <si>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</si>
  <si>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</si>
  <si>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</si>
  <si>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</si>
  <si>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</si>
  <si>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</si>
  <si>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</si>
  <si>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</si>
  <si>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</si>
  <si>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</si>
  <si>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</si>
  <si>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</si>
  <si>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</si>
  <si>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</si>
  <si>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</si>
  <si>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</si>
  <si>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</si>
  <si>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</si>
  <si>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</si>
  <si>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</si>
  <si>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</si>
  <si>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</si>
  <si>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</si>
  <si>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</si>
  <si>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</si>
  <si>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</si>
  <si>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</si>
  <si>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</si>
  <si>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</si>
  <si>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</si>
  <si>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</si>
  <si>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</si>
  <si>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</si>
  <si>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</si>
  <si>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</si>
  <si>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</si>
  <si>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</si>
  <si>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</si>
  <si>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</si>
  <si>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</si>
  <si>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</si>
  <si>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</si>
  <si>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</si>
  <si>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</si>
  <si>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</si>
  <si>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</si>
  <si>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</si>
  <si>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</si>
  <si>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</si>
  <si>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</si>
  <si>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</si>
  <si>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</si>
  <si>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</si>
  <si>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</si>
  <si>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</si>
  <si>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</si>
  <si>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</si>
  <si>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</si>
  <si>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</si>
  <si>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</si>
  <si>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</si>
  <si>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</si>
  <si>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</si>
  <si>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</si>
  <si>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</si>
  <si>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</si>
  <si>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</si>
  <si>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</si>
  <si>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</si>
  <si>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</si>
  <si>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</si>
  <si>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</si>
  <si>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</si>
  <si>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</si>
  <si>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</si>
  <si>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</si>
  <si>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</si>
  <si>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</si>
  <si>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</si>
  <si>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</si>
  <si>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</si>
  <si>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</si>
  <si>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</si>
  <si>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</si>
  <si>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</si>
  <si>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</si>
  <si>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</si>
  <si>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</si>
  <si>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</si>
  <si>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</si>
  <si>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</si>
  <si>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</si>
  <si>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</si>
  <si>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</si>
  <si>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</si>
  <si>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</si>
  <si>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</si>
  <si>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</si>
  <si>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</si>
  <si>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</si>
  <si>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</si>
  <si>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</si>
  <si>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</si>
  <si>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</si>
  <si>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</si>
  <si>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</si>
  <si>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</si>
  <si>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</si>
  <si>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</si>
  <si>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</si>
  <si>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</si>
  <si>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</si>
  <si>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</si>
  <si>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</si>
  <si>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</si>
  <si>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</si>
  <si>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</si>
  <si>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</si>
  <si>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</si>
  <si>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</si>
  <si>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</si>
  <si>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</si>
  <si>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</si>
  <si>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</si>
  <si>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</si>
  <si>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</si>
  <si>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</si>
  <si>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</si>
  <si>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</si>
  <si>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</si>
  <si>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</si>
  <si>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</si>
  <si>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</si>
  <si>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</si>
  <si>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</si>
  <si>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</si>
  <si>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</si>
  <si>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</si>
  <si>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</si>
  <si>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</si>
  <si>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</si>
  <si>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</si>
  <si>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</si>
  <si>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</si>
  <si>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</si>
  <si>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</si>
  <si>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</si>
  <si>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</si>
  <si>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</si>
  <si>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</si>
  <si>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</si>
  <si>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</si>
  <si>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</si>
  <si>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</si>
  <si>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</si>
  <si>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</si>
  <si>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</si>
  <si>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</si>
  <si>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</si>
  <si>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</si>
  <si>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</si>
  <si>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</si>
  <si>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</si>
  <si>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</si>
  <si>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</si>
  <si>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</si>
  <si>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</si>
  <si>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</si>
  <si>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</si>
  <si>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</si>
  <si>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</si>
  <si>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</si>
  <si>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</si>
  <si>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</si>
  <si>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</si>
  <si>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</si>
  <si>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</si>
  <si>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</si>
  <si>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</si>
  <si>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</si>
  <si>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</si>
  <si>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</si>
  <si>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</si>
  <si>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</si>
  <si>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</si>
  <si>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</si>
  <si>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</si>
  <si>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</si>
  <si>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</si>
  <si>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</si>
  <si>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</si>
  <si>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</si>
  <si>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</si>
  <si>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</si>
  <si>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</si>
  <si>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</si>
  <si>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</si>
  <si>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</si>
  <si>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</si>
  <si>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</si>
  <si>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</si>
  <si>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</si>
  <si>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</si>
  <si>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</si>
  <si>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</si>
  <si>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</si>
  <si>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</si>
  <si>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</si>
  <si>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</si>
  <si>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</si>
  <si>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</si>
  <si>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</si>
  <si>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</si>
  <si>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</si>
  <si>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</si>
  <si>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</si>
  <si>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</si>
  <si>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</si>
  <si>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</si>
  <si>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</si>
  <si>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</si>
  <si>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</si>
  <si>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</si>
  <si>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</si>
  <si>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</si>
  <si>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</si>
  <si>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</si>
  <si>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</si>
  <si>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</si>
  <si>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</si>
  <si>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</si>
  <si>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</si>
  <si>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</si>
  <si>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</si>
  <si>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</si>
  <si>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</si>
  <si>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</si>
  <si>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</si>
  <si>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</si>
  <si>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</si>
  <si>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</si>
  <si>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</si>
  <si>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</si>
  <si>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</si>
  <si>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</si>
  <si>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</si>
  <si>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</si>
  <si>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</si>
  <si>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</si>
  <si>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</si>
  <si>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</si>
  <si>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</si>
  <si>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</si>
  <si>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</si>
  <si>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</si>
  <si>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</si>
  <si>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</si>
  <si>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</si>
  <si>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</si>
  <si>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</si>
  <si>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</si>
  <si>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</si>
  <si>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</si>
  <si>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</si>
  <si>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</si>
  <si>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</si>
  <si>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</si>
  <si>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</si>
  <si>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</si>
  <si>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</si>
  <si>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</si>
  <si>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</si>
  <si>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</si>
  <si>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</si>
  <si>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</si>
  <si>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</si>
  <si>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</si>
  <si>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</si>
  <si>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</si>
  <si>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</si>
  <si>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</si>
  <si>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</si>
  <si>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</si>
  <si>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</si>
  <si>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</si>
  <si>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</si>
  <si>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</si>
  <si>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</si>
  <si>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</si>
  <si>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</si>
  <si>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</si>
  <si>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</si>
  <si>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</si>
  <si>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</si>
  <si>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</si>
  <si>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</si>
  <si>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</si>
  <si>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</si>
  <si>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</si>
  <si>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</si>
  <si>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</si>
  <si>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</si>
  <si>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</si>
  <si>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</si>
  <si>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</si>
  <si>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</si>
  <si>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</si>
  <si>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</si>
  <si>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</si>
  <si>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</si>
  <si>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</si>
  <si>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</si>
  <si>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</si>
  <si>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</si>
  <si>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</si>
  <si>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</si>
  <si>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</si>
  <si>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</si>
  <si>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</si>
  <si>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</si>
  <si>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</si>
  <si>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</si>
  <si>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</si>
  <si>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</si>
  <si>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</si>
  <si>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</si>
  <si>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</si>
  <si>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</si>
  <si>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</si>
  <si>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</si>
  <si>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</si>
  <si>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</si>
  <si>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</si>
  <si>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</si>
  <si>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</si>
  <si>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</si>
  <si>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</si>
  <si>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</si>
  <si>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</si>
  <si>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</si>
  <si>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</si>
  <si>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</si>
  <si>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</si>
  <si>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</si>
  <si>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</si>
  <si>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</si>
  <si>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</si>
  <si>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</si>
  <si>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</si>
  <si>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</si>
  <si>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</si>
  <si>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</si>
  <si>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</si>
  <si>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</si>
  <si>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</si>
  <si>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</si>
  <si>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</si>
  <si>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</si>
  <si>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</si>
  <si>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</si>
  <si>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</si>
  <si>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</si>
  <si>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</si>
  <si>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</si>
  <si>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</si>
  <si>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</si>
  <si>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</si>
  <si>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</si>
  <si>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</si>
  <si>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</si>
  <si>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</si>
  <si>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</si>
  <si>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</si>
  <si>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</si>
  <si>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</si>
  <si>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</si>
  <si>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</si>
  <si>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</si>
  <si>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</si>
  <si>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</si>
  <si>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</si>
  <si>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</si>
  <si>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</si>
  <si>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</si>
  <si>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</si>
  <si>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</si>
  <si>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</si>
  <si>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</si>
  <si>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</si>
  <si>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</si>
  <si>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</si>
  <si>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</si>
  <si>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</si>
  <si>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</si>
  <si>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</si>
  <si>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</si>
  <si>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</si>
  <si>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</si>
  <si>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</si>
  <si>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</si>
  <si>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</si>
  <si>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</si>
  <si>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</si>
  <si>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</si>
  <si>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</si>
  <si>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</si>
  <si>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</si>
  <si>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</si>
  <si>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</si>
  <si>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</si>
  <si>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</si>
  <si>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</si>
  <si>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</si>
  <si>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</si>
  <si>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</si>
  <si>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</si>
  <si>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</si>
  <si>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</si>
  <si>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</si>
  <si>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</si>
  <si>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</si>
  <si>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</si>
  <si>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</si>
  <si>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</si>
  <si>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</si>
  <si>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</si>
  <si>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</si>
  <si>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</si>
  <si>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</si>
  <si>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</si>
  <si>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</si>
  <si>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</si>
  <si>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</si>
  <si>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</si>
  <si>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</si>
  <si>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</si>
  <si>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</si>
  <si>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</si>
  <si>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</si>
  <si>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</si>
  <si>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</si>
  <si>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</si>
  <si>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</si>
  <si>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</si>
  <si>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</si>
  <si>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</si>
  <si>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</si>
  <si>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</si>
  <si>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</si>
  <si>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</si>
  <si>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</si>
  <si>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</si>
  <si>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</si>
  <si>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</si>
  <si>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</si>
  <si>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</si>
  <si>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</si>
  <si>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</si>
  <si>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</si>
  <si>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</si>
  <si>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</si>
  <si>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</si>
  <si>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</si>
  <si>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</si>
  <si>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</si>
  <si>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</si>
  <si>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</si>
  <si>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</si>
  <si>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</si>
  <si>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</si>
  <si>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</si>
  <si>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</si>
  <si>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</si>
  <si>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</si>
  <si>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</si>
  <si>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</si>
  <si>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</si>
  <si>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</si>
  <si>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</si>
  <si>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</si>
  <si>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</si>
  <si>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</si>
  <si>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</si>
  <si>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</si>
  <si>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</si>
  <si>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</si>
  <si>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</si>
  <si>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</si>
  <si>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</si>
  <si>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</si>
  <si>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</si>
  <si>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</si>
  <si>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</si>
  <si>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</si>
  <si>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</si>
  <si>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</si>
  <si>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</si>
  <si>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</si>
  <si>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</si>
  <si>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</si>
  <si>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</si>
  <si>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</si>
  <si>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</si>
  <si>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</si>
  <si>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</si>
  <si>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</si>
  <si>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</si>
  <si>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</si>
  <si>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</si>
  <si>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</si>
  <si>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</si>
  <si>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</si>
  <si>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</si>
  <si>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</si>
  <si>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</si>
  <si>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</si>
  <si>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</si>
  <si>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</si>
  <si>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</si>
  <si>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</si>
  <si>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</si>
  <si>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</si>
  <si>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</si>
  <si>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</si>
  <si>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</si>
  <si>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</si>
  <si>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</si>
  <si>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</si>
  <si>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</si>
  <si>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</si>
  <si>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</si>
  <si>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</si>
  <si>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</si>
  <si>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</si>
  <si>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</si>
  <si>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</si>
  <si>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</si>
  <si>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</si>
  <si>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</si>
  <si>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</si>
  <si>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</si>
  <si>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</si>
  <si>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</si>
  <si>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</si>
  <si>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</si>
  <si>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</si>
  <si>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</si>
  <si>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</si>
  <si>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</si>
  <si>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</si>
  <si>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</si>
  <si>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</si>
  <si>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</si>
  <si>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</si>
  <si>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</si>
  <si>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</si>
  <si>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</si>
  <si>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</si>
  <si>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</si>
  <si>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</si>
  <si>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</si>
  <si>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</si>
  <si>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</si>
  <si>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</si>
  <si>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</si>
  <si>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</si>
  <si>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</si>
  <si>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</si>
  <si>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</si>
  <si>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</si>
  <si>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</si>
  <si>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</si>
  <si>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</si>
  <si>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</si>
  <si>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</si>
  <si>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</si>
  <si>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</si>
  <si>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</si>
  <si>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</si>
  <si>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</si>
  <si>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</si>
  <si>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</si>
  <si>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</si>
  <si>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</si>
  <si>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</si>
  <si>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</si>
  <si>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</si>
  <si>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</si>
  <si>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</si>
  <si>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</si>
  <si>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</si>
  <si>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</si>
  <si>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</si>
  <si>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</si>
  <si>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</si>
  <si>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</si>
  <si>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</si>
  <si>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</si>
  <si>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</si>
  <si>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</si>
  <si>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</si>
  <si>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</si>
  <si>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</si>
  <si>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</si>
  <si>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</si>
  <si>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</si>
  <si>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</si>
  <si>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</si>
  <si>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</si>
  <si>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</si>
  <si>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</si>
  <si>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</si>
  <si>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</si>
  <si>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</si>
  <si>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</si>
  <si>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</si>
  <si>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</si>
  <si>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</si>
  <si>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</si>
  <si>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</si>
  <si>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</si>
  <si>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</si>
  <si>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</si>
  <si>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</si>
  <si>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</si>
  <si>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</si>
  <si>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</si>
  <si>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</si>
  <si>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</si>
  <si>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</si>
  <si>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</si>
  <si>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</si>
  <si>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</si>
  <si>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</si>
  <si>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</si>
  <si>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</si>
  <si>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</si>
  <si>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</si>
  <si>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</si>
  <si>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</si>
  <si>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</si>
  <si>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</si>
  <si>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</si>
  <si>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</si>
  <si>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</si>
  <si>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</si>
  <si>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</si>
  <si>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</si>
  <si>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</si>
  <si>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</si>
  <si>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</si>
  <si>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</si>
  <si>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</si>
  <si>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</si>
  <si>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</si>
  <si>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</si>
  <si>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</si>
  <si>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</si>
  <si>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</si>
  <si>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</si>
  <si>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</si>
  <si>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</si>
  <si>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</si>
  <si>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</si>
  <si>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</si>
  <si>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</si>
  <si>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</si>
  <si>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</si>
  <si>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</si>
  <si>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</si>
  <si>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</si>
  <si>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</si>
  <si>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</si>
  <si>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</si>
  <si>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</si>
  <si>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</si>
  <si>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</si>
  <si>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</si>
  <si>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</si>
  <si>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</si>
  <si>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</si>
  <si>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</si>
  <si>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</si>
  <si>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</si>
  <si>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</si>
  <si>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</si>
  <si>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</si>
  <si>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</si>
  <si>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</si>
  <si>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</si>
  <si>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</si>
  <si>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</si>
  <si>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</si>
  <si>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</si>
  <si>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</si>
  <si>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</si>
  <si>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</si>
  <si>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</si>
  <si>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</si>
  <si>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</si>
  <si>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</si>
  <si>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</si>
  <si>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</si>
  <si>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</si>
  <si>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</si>
  <si>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</si>
  <si>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</si>
  <si>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</si>
  <si>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</si>
  <si>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</si>
  <si>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</si>
  <si>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</si>
  <si>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</si>
  <si>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</si>
  <si>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</si>
  <si>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</si>
  <si>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</si>
  <si>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</si>
  <si>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</si>
  <si>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</si>
  <si>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</si>
  <si>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</si>
  <si>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</si>
  <si>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</si>
  <si>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</si>
  <si>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</si>
  <si>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</si>
  <si>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</si>
  <si>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</si>
  <si>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</si>
  <si>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</si>
  <si>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</si>
  <si>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</si>
  <si>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</si>
  <si>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</si>
  <si>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</si>
  <si>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</si>
  <si>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</si>
  <si>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</si>
  <si>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</si>
  <si>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</si>
  <si>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</si>
  <si>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</si>
  <si>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</si>
  <si>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</si>
  <si>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</si>
  <si>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</si>
  <si>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</si>
  <si>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</si>
  <si>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</si>
  <si>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</si>
  <si>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</si>
  <si>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</si>
  <si>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</si>
  <si>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</si>
  <si>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</si>
  <si>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</si>
  <si>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</si>
  <si>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</si>
  <si>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</si>
  <si>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</si>
  <si>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</si>
  <si>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</si>
  <si>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</si>
  <si>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</si>
  <si>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</si>
  <si>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</si>
  <si>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</si>
  <si>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</si>
  <si>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</si>
  <si>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</si>
  <si>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</si>
  <si>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</si>
  <si>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</si>
  <si>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</si>
  <si>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</si>
  <si>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</si>
  <si>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</si>
  <si>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</si>
  <si>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</si>
  <si>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</si>
  <si>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</si>
  <si>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</si>
  <si>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</si>
  <si>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</si>
  <si>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</si>
  <si>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</si>
  <si>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</si>
  <si>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</si>
  <si>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</si>
  <si>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</si>
  <si>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</si>
  <si>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</si>
  <si>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</si>
  <si>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</si>
  <si>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</si>
  <si>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</si>
  <si>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</si>
  <si>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</si>
  <si>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</si>
  <si>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</si>
  <si>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</si>
  <si>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</si>
  <si>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</si>
  <si>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</si>
  <si>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</si>
  <si>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</si>
  <si>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</si>
  <si>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</si>
  <si>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</si>
  <si>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</si>
  <si>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</si>
  <si>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</si>
  <si>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</si>
  <si>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</si>
  <si>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</si>
  <si>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</si>
  <si>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</si>
  <si>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</si>
  <si>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</si>
  <si>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</si>
  <si>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</si>
  <si>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</si>
  <si>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</si>
  <si>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</si>
  <si>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</si>
  <si>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</si>
  <si>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</si>
  <si>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</si>
  <si>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</si>
  <si>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</si>
  <si>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</si>
  <si>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</si>
  <si>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</si>
  <si>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</si>
  <si>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</si>
  <si>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</si>
  <si>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</si>
  <si>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</si>
  <si>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</si>
  <si>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</si>
  <si>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</si>
  <si>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</si>
  <si>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</si>
  <si>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</si>
  <si>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</si>
  <si>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</si>
  <si>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</si>
  <si>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</si>
  <si>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</si>
  <si>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</si>
  <si>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</si>
  <si>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</si>
  <si>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</si>
  <si>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</si>
  <si>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</si>
  <si>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</si>
  <si>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</si>
  <si>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</si>
  <si>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</si>
  <si>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</si>
  <si>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</si>
  <si>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</si>
  <si>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</si>
  <si>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</si>
  <si>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</si>
  <si>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</si>
  <si>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</si>
  <si>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</si>
  <si>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</si>
  <si>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</si>
  <si>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</si>
  <si>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</si>
  <si>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</si>
  <si>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</si>
  <si>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</si>
  <si>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</si>
  <si>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</si>
  <si>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</si>
  <si>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</si>
  <si>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</si>
  <si>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</si>
  <si>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</si>
  <si>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</si>
  <si>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</si>
  <si>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</si>
  <si>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</si>
  <si>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</si>
  <si>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</si>
  <si>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</si>
  <si>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</si>
  <si>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</si>
  <si>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</si>
  <si>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</si>
  <si>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</si>
  <si>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</si>
  <si>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</si>
  <si>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</si>
  <si>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</si>
  <si>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</si>
  <si>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</si>
  <si>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</si>
  <si>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</si>
  <si>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</si>
  <si>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</si>
  <si>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</si>
  <si>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</si>
  <si>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</si>
  <si>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</si>
  <si>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</si>
  <si>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</si>
  <si>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</si>
  <si>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</si>
  <si>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</si>
  <si>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</si>
  <si>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</si>
  <si>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</si>
  <si>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</si>
  <si>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</si>
  <si>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</si>
  <si>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</si>
  <si>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</si>
  <si>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</si>
  <si>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</si>
  <si>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</si>
  <si>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</si>
  <si>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</si>
  <si>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</si>
  <si>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</si>
  <si>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</si>
  <si>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</si>
  <si>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</si>
  <si>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</si>
  <si>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</si>
  <si>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</si>
  <si>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</si>
  <si>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</si>
  <si>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</si>
  <si>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</si>
  <si>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</si>
  <si>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</si>
  <si>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</si>
  <si>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</si>
  <si>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</si>
  <si>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</si>
  <si>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</si>
  <si>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</si>
  <si>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</si>
  <si>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</si>
  <si>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</si>
  <si>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</si>
  <si>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</si>
  <si>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</si>
  <si>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</si>
  <si>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</si>
  <si>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</si>
  <si>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</si>
  <si>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</si>
  <si>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</si>
  <si>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</si>
  <si>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</si>
  <si>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</si>
  <si>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</si>
  <si>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</si>
  <si>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</si>
  <si>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</si>
  <si>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</si>
  <si>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</si>
  <si>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</si>
  <si>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</si>
  <si>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</si>
  <si>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</si>
  <si>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</si>
  <si>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</si>
  <si>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</si>
  <si>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</si>
  <si>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</si>
  <si>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</si>
  <si>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</si>
  <si>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</si>
  <si>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</si>
  <si>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</si>
  <si>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</si>
  <si>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</si>
  <si>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</si>
  <si>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</si>
  <si>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</si>
  <si>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</si>
  <si>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</si>
  <si>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</si>
  <si>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</si>
  <si>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</si>
  <si>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</si>
  <si>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</si>
  <si>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</si>
  <si>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</si>
  <si>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</si>
  <si>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</si>
  <si>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</si>
  <si>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</si>
  <si>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</si>
  <si>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</si>
  <si>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</si>
  <si>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</si>
  <si>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</si>
  <si>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</si>
  <si>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</si>
  <si>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</si>
  <si>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</si>
  <si>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</si>
  <si>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</si>
  <si>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</si>
  <si>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</si>
  <si>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</si>
  <si>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</si>
  <si>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</si>
  <si>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</si>
  <si>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</si>
  <si>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</si>
  <si>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</si>
  <si>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</si>
  <si>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</si>
  <si>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</si>
  <si>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</si>
  <si>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</si>
  <si>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</si>
  <si>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</si>
  <si>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</si>
  <si>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</si>
  <si>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</si>
  <si>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</si>
  <si>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</si>
  <si>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</si>
  <si>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</si>
  <si>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</si>
  <si>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</si>
  <si>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</si>
  <si>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</si>
  <si>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</si>
  <si>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</si>
  <si>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</si>
  <si>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</si>
  <si>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</si>
  <si>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</si>
  <si>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</si>
  <si>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</si>
  <si>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</si>
  <si>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</si>
  <si>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</si>
  <si>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</si>
  <si>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</si>
  <si>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</si>
  <si>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</si>
  <si>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</si>
  <si>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</si>
  <si>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</si>
  <si>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</si>
  <si>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</si>
  <si>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</si>
  <si>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</si>
  <si>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</si>
  <si>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</si>
  <si>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</si>
  <si>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</si>
  <si>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</si>
  <si>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</si>
  <si>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</si>
  <si>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</si>
  <si>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</si>
  <si>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</si>
  <si>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</si>
  <si>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</si>
  <si>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</si>
  <si>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</si>
  <si>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</si>
  <si>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</si>
  <si>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</si>
  <si>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</si>
  <si>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</si>
  <si>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</si>
  <si>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</si>
  <si>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</si>
  <si>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</si>
  <si>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</si>
  <si>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</si>
  <si>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</si>
  <si>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</si>
  <si>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</si>
  <si>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</si>
  <si>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</si>
  <si>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</si>
  <si>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</si>
  <si>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</si>
  <si>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</si>
  <si>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</si>
  <si>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</si>
  <si>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</si>
  <si>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</si>
  <si>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</si>
  <si>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</si>
  <si>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</si>
  <si>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</si>
  <si>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</si>
  <si>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</si>
  <si>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</si>
  <si>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</si>
  <si>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</si>
  <si>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</si>
  <si>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</si>
  <si>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</si>
  <si>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</si>
  <si>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</si>
  <si>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</si>
  <si>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</si>
  <si>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</si>
  <si>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</si>
  <si>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</si>
  <si>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</si>
  <si>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</si>
  <si>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</si>
  <si>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</si>
  <si>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</si>
  <si>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</si>
  <si>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</si>
  <si>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</si>
  <si>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</si>
  <si>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</si>
  <si>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</si>
  <si>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</si>
  <si>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</si>
  <si>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</si>
  <si>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</si>
  <si>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</si>
  <si>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</si>
  <si>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</si>
  <si>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</si>
  <si>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</si>
  <si>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</si>
  <si>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</si>
  <si>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</si>
  <si>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</si>
  <si>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</si>
  <si>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</si>
  <si>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</si>
  <si>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</si>
  <si>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</si>
  <si>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</si>
  <si>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</si>
  <si>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</si>
  <si>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</si>
  <si>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</si>
  <si>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</si>
  <si>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</si>
  <si>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</si>
  <si>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</si>
  <si>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</si>
  <si>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</si>
  <si>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</si>
  <si>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</si>
  <si>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</si>
  <si>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</si>
  <si>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</si>
  <si>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</si>
  <si>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</si>
  <si>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</si>
  <si>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</si>
  <si>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</si>
  <si>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</si>
  <si>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</si>
  <si>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</si>
  <si>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</si>
  <si>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</si>
  <si>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</si>
  <si>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</si>
  <si>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</si>
  <si>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</si>
  <si>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</si>
  <si>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</si>
  <si>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</si>
  <si>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</si>
  <si>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</si>
  <si>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</si>
  <si>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</si>
  <si>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</si>
  <si>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</si>
  <si>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</si>
  <si>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</si>
  <si>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</si>
  <si>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</si>
  <si>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</si>
  <si>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</si>
  <si>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</si>
  <si>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</si>
  <si>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</si>
  <si>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</si>
  <si>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</si>
  <si>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</si>
  <si>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</si>
  <si>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</si>
  <si>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</si>
  <si>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</si>
  <si>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</si>
  <si>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</si>
  <si>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</si>
  <si>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</si>
  <si>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</si>
  <si>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</si>
  <si>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</si>
  <si>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</si>
  <si>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</si>
  <si>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</si>
  <si>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</si>
  <si>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</si>
  <si>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</si>
  <si>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</si>
  <si>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</si>
  <si>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</si>
  <si>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</si>
  <si>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</si>
  <si>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</si>
  <si>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</si>
  <si>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</si>
  <si>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</si>
  <si>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</si>
  <si>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</si>
  <si>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</si>
  <si>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</si>
  <si>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</si>
  <si>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</si>
  <si>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</si>
  <si>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</si>
  <si>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</si>
  <si>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</si>
  <si>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</si>
  <si>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</si>
  <si>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</si>
  <si>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</si>
  <si>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</si>
  <si>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</si>
  <si>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</si>
  <si>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</si>
  <si>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</si>
  <si>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</si>
  <si>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</si>
  <si>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</si>
  <si>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</si>
  <si>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</si>
  <si>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</si>
  <si>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</si>
  <si>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</si>
  <si>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</si>
  <si>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</si>
  <si>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</si>
  <si>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</si>
  <si>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</si>
  <si>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</si>
  <si>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</si>
  <si>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</si>
  <si>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</si>
  <si>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</si>
  <si>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</si>
  <si>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</si>
  <si>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</si>
  <si>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</si>
  <si>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</si>
  <si>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</si>
  <si>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</si>
  <si>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</si>
  <si>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</si>
  <si>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</si>
  <si>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</si>
  <si>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</si>
  <si>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</si>
  <si>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</si>
  <si>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</si>
  <si>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</si>
  <si>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</si>
  <si>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</si>
  <si>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</si>
  <si>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</si>
  <si>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</si>
  <si>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</si>
  <si>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</si>
  <si>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</si>
  <si>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</si>
  <si>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</si>
  <si>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</si>
  <si>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</si>
  <si>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</si>
  <si>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</si>
  <si>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</si>
  <si>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</si>
  <si>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</si>
  <si>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</si>
  <si>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</si>
  <si>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</si>
  <si>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</si>
  <si>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</si>
  <si>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</si>
  <si>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</si>
  <si>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</si>
  <si>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</si>
  <si>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</si>
  <si>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</si>
  <si>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</si>
  <si>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</si>
  <si>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</si>
  <si>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</si>
  <si>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</si>
  <si>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</si>
  <si>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</si>
  <si>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</si>
  <si>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</si>
  <si>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</si>
  <si>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</si>
  <si>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</si>
  <si>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</si>
  <si>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</si>
  <si>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</si>
  <si>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</si>
  <si>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</si>
  <si>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</si>
  <si>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</si>
  <si>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</si>
  <si>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</si>
  <si>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</si>
  <si>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</si>
  <si>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</si>
  <si>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</si>
  <si>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</si>
  <si>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</si>
  <si>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</si>
  <si>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</si>
  <si>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</si>
  <si>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</si>
  <si>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</si>
  <si>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</si>
  <si>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</si>
  <si>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</si>
  <si>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</si>
  <si>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</si>
  <si>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</si>
  <si>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</si>
  <si>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</si>
  <si>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</si>
  <si>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</si>
  <si>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</si>
  <si>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</si>
  <si>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</si>
  <si>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</si>
  <si>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</si>
  <si>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</si>
  <si>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</si>
  <si>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</si>
  <si>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</si>
  <si>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</si>
  <si>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</si>
  <si>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</si>
  <si>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</si>
  <si>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</si>
  <si>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</si>
  <si>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</si>
  <si>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</si>
  <si>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</si>
  <si>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</si>
  <si>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</si>
  <si>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</si>
  <si>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</si>
  <si>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</si>
  <si>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</si>
  <si>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</si>
  <si>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</si>
  <si>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</si>
  <si>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</si>
  <si>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</si>
  <si>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</si>
  <si>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</si>
  <si>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</si>
  <si>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</si>
  <si>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</si>
  <si>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</si>
  <si>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</si>
  <si>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</si>
  <si>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</si>
  <si>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</si>
  <si>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</si>
  <si>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</si>
  <si>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</si>
  <si>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</si>
  <si>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</si>
  <si>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</si>
  <si>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</si>
  <si>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</si>
  <si>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</si>
  <si>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</si>
  <si>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</si>
  <si>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</si>
  <si>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</si>
  <si>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</si>
  <si>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</si>
  <si>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</si>
  <si>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</si>
  <si>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</si>
  <si>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</si>
  <si>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</si>
  <si>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</si>
  <si>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</si>
  <si>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</si>
  <si>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</si>
  <si>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</si>
  <si>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</si>
  <si>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</si>
  <si>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</si>
  <si>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</si>
  <si>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</si>
  <si>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</si>
  <si>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</si>
  <si>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</si>
  <si>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</si>
  <si>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</si>
  <si>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</si>
  <si>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</si>
  <si>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</si>
  <si>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</si>
  <si>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</si>
  <si>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</si>
  <si>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</si>
  <si>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</si>
  <si>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</si>
  <si>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</si>
  <si>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</si>
  <si>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</si>
  <si>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</si>
  <si>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</si>
  <si>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</si>
  <si>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</si>
  <si>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</si>
  <si>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</si>
  <si>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</si>
  <si>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</si>
  <si>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</si>
  <si>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</si>
  <si>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</si>
  <si>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</si>
  <si>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</si>
  <si>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</si>
  <si>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</si>
  <si>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</si>
  <si>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</si>
  <si>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</si>
  <si>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</si>
  <si>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</si>
  <si>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</si>
  <si>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</si>
  <si>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</si>
  <si>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</si>
  <si>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</si>
  <si>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</si>
  <si>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</si>
  <si>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</si>
  <si>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</si>
  <si>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</si>
  <si>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</si>
  <si>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</si>
  <si>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</si>
  <si>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</si>
  <si>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</si>
  <si>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</si>
  <si>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</si>
  <si>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</si>
  <si>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</si>
  <si>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</si>
  <si>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</si>
  <si>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</si>
  <si>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</si>
  <si>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</si>
  <si>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</si>
  <si>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</si>
  <si>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</si>
  <si>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</si>
  <si>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</si>
  <si>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</si>
  <si>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</si>
  <si>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</si>
  <si>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</si>
  <si>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</si>
  <si>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</si>
  <si>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</si>
  <si>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</si>
  <si>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</si>
  <si>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</si>
  <si>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</si>
  <si>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</si>
  <si>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</si>
  <si>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</si>
  <si>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</si>
  <si>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</si>
  <si>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</si>
  <si>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</si>
  <si>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</si>
  <si>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</si>
  <si>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</si>
  <si>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</si>
  <si>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</si>
  <si>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</si>
  <si>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</si>
  <si>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</si>
  <si>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</si>
  <si>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</si>
  <si>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</si>
  <si>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</si>
  <si>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</si>
  <si>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</si>
  <si>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</si>
  <si>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</si>
  <si>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</si>
  <si>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</si>
  <si>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</si>
  <si>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</si>
  <si>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</si>
  <si>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</si>
  <si>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</si>
  <si>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</si>
  <si>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</si>
  <si>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</si>
  <si>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</si>
  <si>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</si>
  <si>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</si>
  <si>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</si>
  <si>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</si>
  <si>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</si>
  <si>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</si>
  <si>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</si>
  <si>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</si>
  <si>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</si>
  <si>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</si>
  <si>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</si>
  <si>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</si>
  <si>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</si>
  <si>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</si>
  <si>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</si>
  <si>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</si>
  <si>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</si>
  <si>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</si>
  <si>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</si>
  <si>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</si>
  <si>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</si>
  <si>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</si>
  <si>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</si>
  <si>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</si>
  <si>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</si>
  <si>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</si>
  <si>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FY23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</si>
</sst>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115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119</c:v>
                </c:pt>
                <c:pt idx="7">
                  <c:v>81</c:v>
                </c:pt>
                <c:pt idx="8">
                  <c:v>113</c:v>
                </c:pt>
                <c:pt idx="9">
                  <c:v>116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76</c:v>
                </c:pt>
                <c:pt idx="17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203</c:v>
                </c:pt>
                <c:pt idx="8">
                  <c:v>151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108</c:v>
                </c:pt>
                <c:pt idx="15">
                  <c:v>0</c:v>
                </c:pt>
                <c:pt idx="17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76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168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237</c:v>
                </c:pt>
                <c:pt idx="7">
                  <c:v>203</c:v>
                </c:pt>
                <c:pt idx="8">
                  <c:v>76</c:v>
                </c:pt>
                <c:pt idx="9">
                  <c:v>271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0</c:v>
                </c:pt>
                <c:pt idx="15">
                  <c:v>151</c:v>
                </c:pt>
                <c:pt idx="1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151</c:v>
                </c:pt>
                <c:pt idx="9">
                  <c:v>386</c:v>
                </c:pt>
                <c:pt idx="10">
                  <c:v>193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</c:v>
                </c:pt>
                <c:pt idx="15">
                  <c:v>76</c:v>
                </c:pt>
                <c:pt idx="17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326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355</c:v>
                </c:pt>
                <c:pt idx="7">
                  <c:v>203</c:v>
                </c:pt>
                <c:pt idx="8">
                  <c:v>226</c:v>
                </c:pt>
                <c:pt idx="9">
                  <c:v>502</c:v>
                </c:pt>
                <c:pt idx="10">
                  <c:v>386</c:v>
                </c:pt>
                <c:pt idx="11">
                  <c:v>0</c:v>
                </c:pt>
                <c:pt idx="12">
                  <c:v>0</c:v>
                </c:pt>
                <c:pt idx="13">
                  <c:v>593</c:v>
                </c:pt>
                <c:pt idx="14">
                  <c:v>323</c:v>
                </c:pt>
                <c:pt idx="15">
                  <c:v>378</c:v>
                </c:pt>
                <c:pt idx="17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151</c:v>
                </c:pt>
                <c:pt idx="9">
                  <c:v>78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76</c:v>
                </c:pt>
                <c:pt idx="17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0</c:v>
                </c:pt>
                <c:pt idx="9">
                  <c:v>39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76</c:v>
                </c:pt>
                <c:pt idx="1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81</c:v>
                </c:pt>
                <c:pt idx="8">
                  <c:v>38</c:v>
                </c:pt>
                <c:pt idx="9">
                  <c:v>0</c:v>
                </c:pt>
                <c:pt idx="10">
                  <c:v>116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227</c:v>
                </c:pt>
                <c:pt idx="1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0</c:v>
                </c:pt>
                <c:pt idx="7">
                  <c:v>81</c:v>
                </c:pt>
                <c:pt idx="8">
                  <c:v>113</c:v>
                </c:pt>
                <c:pt idx="9">
                  <c:v>271</c:v>
                </c:pt>
                <c:pt idx="10">
                  <c:v>155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215</c:v>
                </c:pt>
                <c:pt idx="15">
                  <c:v>151</c:v>
                </c:pt>
                <c:pt idx="16">
                  <c:v>0</c:v>
                </c:pt>
                <c:pt idx="17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113679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2084</c:v>
                </c:pt>
                <c:pt idx="6">
                  <c:v>8453</c:v>
                </c:pt>
                <c:pt idx="7">
                  <c:v>24701</c:v>
                </c:pt>
                <c:pt idx="8">
                  <c:v>26591</c:v>
                </c:pt>
                <c:pt idx="9">
                  <c:v>25909</c:v>
                </c:pt>
                <c:pt idx="10">
                  <c:v>25939</c:v>
                </c:pt>
                <c:pt idx="11">
                  <c:v>0</c:v>
                </c:pt>
                <c:pt idx="13">
                  <c:v>3375</c:v>
                </c:pt>
                <c:pt idx="14">
                  <c:v>9308</c:v>
                </c:pt>
                <c:pt idx="15">
                  <c:v>13256</c:v>
                </c:pt>
                <c:pt idx="17">
                  <c:v>113679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1276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</c:v>
                </c:pt>
                <c:pt idx="6">
                  <c:v>1065</c:v>
                </c:pt>
                <c:pt idx="7">
                  <c:v>1053</c:v>
                </c:pt>
                <c:pt idx="8">
                  <c:v>1091</c:v>
                </c:pt>
                <c:pt idx="9">
                  <c:v>1737</c:v>
                </c:pt>
                <c:pt idx="10">
                  <c:v>1311</c:v>
                </c:pt>
                <c:pt idx="11">
                  <c:v>0</c:v>
                </c:pt>
                <c:pt idx="13">
                  <c:v>1482</c:v>
                </c:pt>
                <c:pt idx="14">
                  <c:v>1290</c:v>
                </c:pt>
                <c:pt idx="15">
                  <c:v>1283</c:v>
                </c:pt>
                <c:pt idx="17">
                  <c:v>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379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253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341</c:v>
                </c:pt>
                <c:pt idx="8">
                  <c:v>0</c:v>
                </c:pt>
                <c:pt idx="9">
                  <c:v>185</c:v>
                </c:pt>
                <c:pt idx="10">
                  <c:v>564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757</c:v>
                </c:pt>
                <c:pt idx="17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185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295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554</c:v>
                </c:pt>
                <c:pt idx="10">
                  <c:v>376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589</c:v>
                </c:pt>
                <c:pt idx="15">
                  <c:v>0</c:v>
                </c:pt>
                <c:pt idx="17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0</c:v>
                </c:pt>
                <c:pt idx="17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370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23801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305</c:v>
                </c:pt>
                <c:pt idx="7">
                  <c:v>5871</c:v>
                </c:pt>
                <c:pt idx="8">
                  <c:v>6884</c:v>
                </c:pt>
                <c:pt idx="9">
                  <c:v>5419</c:v>
                </c:pt>
                <c:pt idx="10">
                  <c:v>5322</c:v>
                </c:pt>
                <c:pt idx="11">
                  <c:v>0</c:v>
                </c:pt>
                <c:pt idx="13">
                  <c:v>977</c:v>
                </c:pt>
                <c:pt idx="14">
                  <c:v>1700</c:v>
                </c:pt>
                <c:pt idx="15">
                  <c:v>2645</c:v>
                </c:pt>
                <c:pt idx="17">
                  <c:v>23801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1051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852</c:v>
                </c:pt>
                <c:pt idx="8">
                  <c:v>872</c:v>
                </c:pt>
                <c:pt idx="9">
                  <c:v>1292</c:v>
                </c:pt>
                <c:pt idx="10">
                  <c:v>1316</c:v>
                </c:pt>
                <c:pt idx="11">
                  <c:v>0</c:v>
                </c:pt>
                <c:pt idx="13">
                  <c:v>3071</c:v>
                </c:pt>
                <c:pt idx="14">
                  <c:v>589</c:v>
                </c:pt>
                <c:pt idx="15">
                  <c:v>1135</c:v>
                </c:pt>
                <c:pt idx="17">
                  <c:v>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8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  <c:pt idx="15">
                  <c:v>0</c:v>
                </c:pt>
                <c:pt idx="17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8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8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272</c:v>
                </c:pt>
                <c:pt idx="17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8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418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408</c:v>
                </c:pt>
                <c:pt idx="17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8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272</c:v>
                </c:pt>
                <c:pt idx="16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8"/>
                <c:pt idx="0">
                  <c:v>51154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11974</c:v>
                </c:pt>
                <c:pt idx="11">
                  <c:v>0</c:v>
                </c:pt>
                <c:pt idx="13">
                  <c:v>0</c:v>
                </c:pt>
                <c:pt idx="14">
                  <c:v>4606</c:v>
                </c:pt>
                <c:pt idx="15">
                  <c:v>7368</c:v>
                </c:pt>
                <c:pt idx="17">
                  <c:v>51154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8"/>
                <c:pt idx="0">
                  <c:v>1232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1420</c:v>
                </c:pt>
                <c:pt idx="11">
                  <c:v>0</c:v>
                </c:pt>
                <c:pt idx="13">
                  <c:v>0</c:v>
                </c:pt>
                <c:pt idx="14">
                  <c:v>1520</c:v>
                </c:pt>
                <c:pt idx="15">
                  <c:v>1358</c:v>
                </c:pt>
                <c:pt idx="17">
                  <c:v>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8"/>
                <c:pt idx="0">
                  <c:v>1039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8"/>
                <c:pt idx="0">
                  <c:v>963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75</c:v>
                </c:pt>
                <c:pt idx="9">
                  <c:v>359</c:v>
                </c:pt>
                <c:pt idx="10">
                  <c:v>529</c:v>
                </c:pt>
                <c:pt idx="11">
                  <c:v>0</c:v>
                </c:pt>
                <c:pt idx="13">
                  <c:v>300</c:v>
                </c:pt>
                <c:pt idx="14">
                  <c:v>0</c:v>
                </c:pt>
                <c:pt idx="15">
                  <c:v>229</c:v>
                </c:pt>
                <c:pt idx="17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8"/>
                <c:pt idx="0">
                  <c:v>1039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2786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0</c:v>
                </c:pt>
                <c:pt idx="9">
                  <c:v>185</c:v>
                </c:pt>
                <c:pt idx="10">
                  <c:v>376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757</c:v>
                </c:pt>
                <c:pt idx="16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8"/>
                <c:pt idx="0">
                  <c:v>85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0</c:v>
                </c:pt>
                <c:pt idx="9">
                  <c:v>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8"/>
                <c:pt idx="0">
                  <c:v>23801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305</c:v>
                </c:pt>
                <c:pt idx="7">
                  <c:v>5871</c:v>
                </c:pt>
                <c:pt idx="8">
                  <c:v>6884</c:v>
                </c:pt>
                <c:pt idx="9">
                  <c:v>5419</c:v>
                </c:pt>
                <c:pt idx="10">
                  <c:v>5322</c:v>
                </c:pt>
                <c:pt idx="11">
                  <c:v>0</c:v>
                </c:pt>
                <c:pt idx="13">
                  <c:v>977</c:v>
                </c:pt>
                <c:pt idx="14">
                  <c:v>1700</c:v>
                </c:pt>
                <c:pt idx="15">
                  <c:v>2645</c:v>
                </c:pt>
                <c:pt idx="17">
                  <c:v>23801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8"/>
                <c:pt idx="0">
                  <c:v>253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341</c:v>
                </c:pt>
                <c:pt idx="8">
                  <c:v>0</c:v>
                </c:pt>
                <c:pt idx="9">
                  <c:v>185</c:v>
                </c:pt>
                <c:pt idx="10">
                  <c:v>564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757</c:v>
                </c:pt>
                <c:pt idx="16">
                  <c:v>0</c:v>
                </c:pt>
                <c:pt idx="17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26</xdr:row>
      <xdr:rowOff>186764</xdr:rowOff>
    </xdr:from>
    <xdr:to>
      <xdr:col>21</xdr:col>
      <xdr:colOff>609599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14"/>
  <sheetViews>
    <sheetView zoomScale="85" zoomScaleNormal="85" workbookViewId="0">
      <selection activeCell="N25" sqref="N25"/>
    </sheetView>
  </sheetViews>
  <sheetFormatPr defaultRowHeight="15" x14ac:dyDescent="0.25"/>
  <cols>
    <col min="1" max="1" width="4.140625" bestFit="1" customWidth="1"/>
    <col min="2" max="2" width="16" bestFit="1" customWidth="1"/>
    <col min="3" max="3" width="12.140625" bestFit="1" customWidth="1"/>
    <col min="4" max="4" width="10" bestFit="1" customWidth="1"/>
    <col min="5" max="5" width="13.28515625" bestFit="1" customWidth="1"/>
    <col min="6" max="6" width="15.140625" bestFit="1" customWidth="1"/>
    <col min="7" max="7" width="7.85546875" bestFit="1" customWidth="1"/>
    <col min="8" max="8" width="10" bestFit="1" customWidth="1"/>
    <col min="9" max="9" width="8.28515625" bestFit="1" customWidth="1"/>
    <col min="11" max="11" width="23.7109375" bestFit="1" customWidth="1"/>
    <col min="12" max="12" width="40.42578125" bestFit="1" customWidth="1"/>
    <col min="13" max="13" width="10.85546875" bestFit="1" customWidth="1"/>
    <col min="14" max="14" width="13.5703125" bestFit="1" customWidth="1"/>
    <col min="15" max="15" width="5.28515625" bestFit="1" customWidth="1"/>
    <col min="16" max="16" width="10.28515625" bestFit="1" customWidth="1"/>
    <col min="17" max="17" width="6.28515625" bestFit="1" customWidth="1"/>
    <col min="18" max="19" width="22.85546875" bestFit="1" customWidth="1"/>
    <col min="20" max="20" width="10.5703125" bestFit="1" customWidth="1"/>
    <col min="21" max="21" width="8.140625" bestFit="1" customWidth="1"/>
    <col min="22" max="29" width="16.28515625" style="28" hidden="1" customWidth="1"/>
    <col min="30" max="30" width="15.140625" customWidth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1022</v>
      </c>
      <c r="W1" s="27" t="s">
        <v>1024</v>
      </c>
      <c r="X1" s="29" t="s">
        <v>1651</v>
      </c>
      <c r="Y1" s="29" t="s">
        <v>1652</v>
      </c>
      <c r="Z1" s="29" t="s">
        <v>1653</v>
      </c>
      <c r="AA1" s="29" t="s">
        <v>1654</v>
      </c>
      <c r="AB1" s="29" t="s">
        <v>1659</v>
      </c>
      <c r="AC1" s="29" t="s">
        <v>1660</v>
      </c>
    </row>
    <row r="2" spans="1:29" x14ac:dyDescent="0.2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8" t="s">
        <v>1071</v>
      </c>
      <c r="W2" s="28" t="s">
        <v>1072</v>
      </c>
      <c r="X2" s="28" t="s">
        <v>1664</v>
      </c>
      <c r="Y2" s="28" t="s">
        <v>1665</v>
      </c>
      <c r="Z2" s="28" t="s">
        <v>1666</v>
      </c>
      <c r="AA2" s="28" t="s">
        <v>1667</v>
      </c>
      <c r="AB2" s="28" t="s">
        <v>1668</v>
      </c>
      <c r="AC2" s="28" t="s">
        <v>1669</v>
      </c>
    </row>
    <row r="3" spans="1:29" x14ac:dyDescent="0.2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8" t="s">
        <v>1073</v>
      </c>
      <c r="W3" s="28" t="s">
        <v>1074</v>
      </c>
      <c r="X3" s="28" t="s">
        <v>1670</v>
      </c>
      <c r="Y3" s="28" t="s">
        <v>1671</v>
      </c>
      <c r="Z3" s="28" t="s">
        <v>1672</v>
      </c>
      <c r="AA3" s="28" t="s">
        <v>1673</v>
      </c>
      <c r="AB3" s="28" t="s">
        <v>1674</v>
      </c>
      <c r="AC3" s="28" t="s">
        <v>1675</v>
      </c>
    </row>
    <row r="4" spans="1:29" x14ac:dyDescent="0.2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8" t="s">
        <v>1075</v>
      </c>
      <c r="W4" s="28" t="s">
        <v>1076</v>
      </c>
      <c r="X4" s="28" t="s">
        <v>1676</v>
      </c>
      <c r="Y4" s="28" t="s">
        <v>1677</v>
      </c>
      <c r="Z4" s="28" t="s">
        <v>1678</v>
      </c>
      <c r="AA4" s="28" t="s">
        <v>1679</v>
      </c>
      <c r="AB4" s="28" t="s">
        <v>1680</v>
      </c>
      <c r="AC4" s="28" t="s">
        <v>1681</v>
      </c>
    </row>
    <row r="5" spans="1:29" x14ac:dyDescent="0.2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8" t="s">
        <v>1077</v>
      </c>
      <c r="W5" s="28" t="s">
        <v>1078</v>
      </c>
      <c r="X5" s="28" t="s">
        <v>1682</v>
      </c>
      <c r="Y5" s="28" t="s">
        <v>1683</v>
      </c>
      <c r="Z5" s="28" t="s">
        <v>1684</v>
      </c>
      <c r="AA5" s="28" t="s">
        <v>1685</v>
      </c>
      <c r="AB5" s="28" t="s">
        <v>1686</v>
      </c>
      <c r="AC5" s="28" t="s">
        <v>1687</v>
      </c>
    </row>
    <row r="6" spans="1:29" x14ac:dyDescent="0.2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8" t="s">
        <v>1079</v>
      </c>
      <c r="W6" s="28" t="s">
        <v>1080</v>
      </c>
      <c r="X6" s="28" t="s">
        <v>1688</v>
      </c>
      <c r="Y6" s="28" t="s">
        <v>1689</v>
      </c>
      <c r="Z6" s="28" t="s">
        <v>1690</v>
      </c>
      <c r="AA6" s="28" t="s">
        <v>1691</v>
      </c>
      <c r="AB6" s="28" t="s">
        <v>1692</v>
      </c>
      <c r="AC6" s="28" t="s">
        <v>1693</v>
      </c>
    </row>
    <row r="7" spans="1:29" x14ac:dyDescent="0.2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8" t="s">
        <v>1081</v>
      </c>
      <c r="W7" s="28" t="s">
        <v>1082</v>
      </c>
      <c r="X7" s="28" t="s">
        <v>1694</v>
      </c>
      <c r="Y7" s="28" t="s">
        <v>1695</v>
      </c>
      <c r="Z7" s="28" t="s">
        <v>1696</v>
      </c>
      <c r="AA7" s="28" t="s">
        <v>1697</v>
      </c>
      <c r="AB7" s="28" t="s">
        <v>1698</v>
      </c>
      <c r="AC7" s="28" t="s">
        <v>1699</v>
      </c>
    </row>
    <row r="8" spans="1:29" x14ac:dyDescent="0.2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8" t="s">
        <v>1083</v>
      </c>
      <c r="W8" s="28" t="s">
        <v>1082</v>
      </c>
      <c r="X8" s="28" t="s">
        <v>1700</v>
      </c>
      <c r="Y8" s="28" t="s">
        <v>1695</v>
      </c>
      <c r="Z8" s="28" t="s">
        <v>1701</v>
      </c>
      <c r="AA8" s="28" t="s">
        <v>1697</v>
      </c>
      <c r="AB8" s="28" t="s">
        <v>1702</v>
      </c>
      <c r="AC8" s="28" t="s">
        <v>1699</v>
      </c>
    </row>
    <row r="9" spans="1:29" x14ac:dyDescent="0.2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8" t="s">
        <v>1084</v>
      </c>
      <c r="W9" s="28" t="s">
        <v>1085</v>
      </c>
      <c r="X9" s="28" t="s">
        <v>1703</v>
      </c>
      <c r="Y9" s="28" t="s">
        <v>1704</v>
      </c>
      <c r="Z9" s="28" t="s">
        <v>1705</v>
      </c>
      <c r="AA9" s="28" t="s">
        <v>1706</v>
      </c>
      <c r="AB9" s="28" t="s">
        <v>1707</v>
      </c>
      <c r="AC9" s="28" t="s">
        <v>1708</v>
      </c>
    </row>
    <row r="10" spans="1:29" x14ac:dyDescent="0.2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8" t="s">
        <v>1084</v>
      </c>
      <c r="W10" s="28" t="s">
        <v>1085</v>
      </c>
      <c r="X10" s="28" t="s">
        <v>1703</v>
      </c>
      <c r="Y10" s="28" t="s">
        <v>1704</v>
      </c>
      <c r="Z10" s="28" t="s">
        <v>1705</v>
      </c>
      <c r="AA10" s="28" t="s">
        <v>1706</v>
      </c>
      <c r="AB10" s="28" t="s">
        <v>1707</v>
      </c>
      <c r="AC10" s="28" t="s">
        <v>1708</v>
      </c>
    </row>
    <row r="11" spans="1:29" x14ac:dyDescent="0.2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8" t="s">
        <v>1084</v>
      </c>
      <c r="W11" s="28" t="s">
        <v>1085</v>
      </c>
      <c r="X11" s="28" t="s">
        <v>1703</v>
      </c>
      <c r="Y11" s="28" t="s">
        <v>1704</v>
      </c>
      <c r="Z11" s="28" t="s">
        <v>1705</v>
      </c>
      <c r="AA11" s="28" t="s">
        <v>1706</v>
      </c>
      <c r="AB11" s="28" t="s">
        <v>1707</v>
      </c>
      <c r="AC11" s="28" t="s">
        <v>1708</v>
      </c>
    </row>
    <row r="12" spans="1:29" x14ac:dyDescent="0.2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8" t="s">
        <v>1086</v>
      </c>
      <c r="W12" s="28" t="s">
        <v>1087</v>
      </c>
      <c r="X12" s="28" t="s">
        <v>1709</v>
      </c>
      <c r="Y12" s="28" t="s">
        <v>1710</v>
      </c>
      <c r="Z12" s="28" t="s">
        <v>1711</v>
      </c>
      <c r="AA12" s="28" t="s">
        <v>1712</v>
      </c>
      <c r="AB12" s="28" t="s">
        <v>1713</v>
      </c>
      <c r="AC12" s="28" t="s">
        <v>1714</v>
      </c>
    </row>
    <row r="13" spans="1:29" x14ac:dyDescent="0.2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8" t="s">
        <v>1060</v>
      </c>
      <c r="W13" s="28" t="s">
        <v>1053</v>
      </c>
      <c r="X13" s="28" t="s">
        <v>1715</v>
      </c>
      <c r="Y13" s="28" t="s">
        <v>1716</v>
      </c>
      <c r="Z13" s="28" t="s">
        <v>1717</v>
      </c>
      <c r="AA13" s="28" t="s">
        <v>1718</v>
      </c>
      <c r="AB13" s="28" t="s">
        <v>1719</v>
      </c>
      <c r="AC13" s="28" t="s">
        <v>1720</v>
      </c>
    </row>
    <row r="14" spans="1:29" x14ac:dyDescent="0.2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8" t="s">
        <v>1060</v>
      </c>
      <c r="W14" s="28" t="s">
        <v>1053</v>
      </c>
      <c r="X14" s="28" t="s">
        <v>1715</v>
      </c>
      <c r="Y14" s="28" t="s">
        <v>1716</v>
      </c>
      <c r="Z14" s="28" t="s">
        <v>1717</v>
      </c>
      <c r="AA14" s="28" t="s">
        <v>1718</v>
      </c>
      <c r="AB14" s="28" t="s">
        <v>1719</v>
      </c>
      <c r="AC14" s="28" t="s">
        <v>1720</v>
      </c>
    </row>
    <row r="15" spans="1:29" x14ac:dyDescent="0.2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8" t="s">
        <v>1060</v>
      </c>
      <c r="W15" s="28" t="s">
        <v>1053</v>
      </c>
      <c r="X15" s="28" t="s">
        <v>1715</v>
      </c>
      <c r="Y15" s="28" t="s">
        <v>1716</v>
      </c>
      <c r="Z15" s="28" t="s">
        <v>1717</v>
      </c>
      <c r="AA15" s="28" t="s">
        <v>1718</v>
      </c>
      <c r="AB15" s="28" t="s">
        <v>1719</v>
      </c>
      <c r="AC15" s="28" t="s">
        <v>1720</v>
      </c>
    </row>
    <row r="16" spans="1:29" x14ac:dyDescent="0.2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8" t="s">
        <v>1060</v>
      </c>
      <c r="W16" s="28" t="s">
        <v>1053</v>
      </c>
      <c r="X16" s="28" t="s">
        <v>1715</v>
      </c>
      <c r="Y16" s="28" t="s">
        <v>1716</v>
      </c>
      <c r="Z16" s="28" t="s">
        <v>1717</v>
      </c>
      <c r="AA16" s="28" t="s">
        <v>1718</v>
      </c>
      <c r="AB16" s="28" t="s">
        <v>1719</v>
      </c>
      <c r="AC16" s="28" t="s">
        <v>1720</v>
      </c>
    </row>
    <row r="17" spans="1:29" x14ac:dyDescent="0.2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8" t="s">
        <v>1060</v>
      </c>
      <c r="W17" s="28" t="s">
        <v>1053</v>
      </c>
      <c r="X17" s="28" t="s">
        <v>1715</v>
      </c>
      <c r="Y17" s="28" t="s">
        <v>1716</v>
      </c>
      <c r="Z17" s="28" t="s">
        <v>1717</v>
      </c>
      <c r="AA17" s="28" t="s">
        <v>1718</v>
      </c>
      <c r="AB17" s="28" t="s">
        <v>1719</v>
      </c>
      <c r="AC17" s="28" t="s">
        <v>1720</v>
      </c>
    </row>
    <row r="18" spans="1:29" x14ac:dyDescent="0.2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8" t="s">
        <v>1060</v>
      </c>
      <c r="W18" s="28" t="s">
        <v>1053</v>
      </c>
      <c r="X18" s="28" t="s">
        <v>1715</v>
      </c>
      <c r="Y18" s="28" t="s">
        <v>1716</v>
      </c>
      <c r="Z18" s="28" t="s">
        <v>1717</v>
      </c>
      <c r="AA18" s="28" t="s">
        <v>1718</v>
      </c>
      <c r="AB18" s="28" t="s">
        <v>1719</v>
      </c>
      <c r="AC18" s="28" t="s">
        <v>1720</v>
      </c>
    </row>
    <row r="19" spans="1:29" x14ac:dyDescent="0.2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8" t="s">
        <v>1060</v>
      </c>
      <c r="W19" s="28" t="s">
        <v>1053</v>
      </c>
      <c r="X19" s="28" t="s">
        <v>1715</v>
      </c>
      <c r="Y19" s="28" t="s">
        <v>1716</v>
      </c>
      <c r="Z19" s="28" t="s">
        <v>1717</v>
      </c>
      <c r="AA19" s="28" t="s">
        <v>1718</v>
      </c>
      <c r="AB19" s="28" t="s">
        <v>1719</v>
      </c>
      <c r="AC19" s="28" t="s">
        <v>1720</v>
      </c>
    </row>
    <row r="20" spans="1:29" x14ac:dyDescent="0.2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8" t="s">
        <v>1060</v>
      </c>
      <c r="W20" s="28" t="s">
        <v>1053</v>
      </c>
      <c r="X20" s="28" t="s">
        <v>1715</v>
      </c>
      <c r="Y20" s="28" t="s">
        <v>1716</v>
      </c>
      <c r="Z20" s="28" t="s">
        <v>1717</v>
      </c>
      <c r="AA20" s="28" t="s">
        <v>1718</v>
      </c>
      <c r="AB20" s="28" t="s">
        <v>1719</v>
      </c>
      <c r="AC20" s="28" t="s">
        <v>1720</v>
      </c>
    </row>
    <row r="21" spans="1:29" x14ac:dyDescent="0.2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8" t="s">
        <v>1060</v>
      </c>
      <c r="W21" s="28" t="s">
        <v>1053</v>
      </c>
      <c r="X21" s="28" t="s">
        <v>1715</v>
      </c>
      <c r="Y21" s="28" t="s">
        <v>1716</v>
      </c>
      <c r="Z21" s="28" t="s">
        <v>1717</v>
      </c>
      <c r="AA21" s="28" t="s">
        <v>1718</v>
      </c>
      <c r="AB21" s="28" t="s">
        <v>1719</v>
      </c>
      <c r="AC21" s="28" t="s">
        <v>1720</v>
      </c>
    </row>
    <row r="22" spans="1:29" x14ac:dyDescent="0.2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8" t="s">
        <v>1060</v>
      </c>
      <c r="W22" s="28" t="s">
        <v>1053</v>
      </c>
      <c r="X22" s="28" t="s">
        <v>1715</v>
      </c>
      <c r="Y22" s="28" t="s">
        <v>1716</v>
      </c>
      <c r="Z22" s="28" t="s">
        <v>1717</v>
      </c>
      <c r="AA22" s="28" t="s">
        <v>1718</v>
      </c>
      <c r="AB22" s="28" t="s">
        <v>1719</v>
      </c>
      <c r="AC22" s="28" t="s">
        <v>1720</v>
      </c>
    </row>
    <row r="23" spans="1:29" x14ac:dyDescent="0.2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8" t="s">
        <v>1060</v>
      </c>
      <c r="W23" s="28" t="s">
        <v>1053</v>
      </c>
      <c r="X23" s="28" t="s">
        <v>1715</v>
      </c>
      <c r="Y23" s="28" t="s">
        <v>1716</v>
      </c>
      <c r="Z23" s="28" t="s">
        <v>1717</v>
      </c>
      <c r="AA23" s="28" t="s">
        <v>1718</v>
      </c>
      <c r="AB23" s="28" t="s">
        <v>1719</v>
      </c>
      <c r="AC23" s="28" t="s">
        <v>1720</v>
      </c>
    </row>
    <row r="24" spans="1:29" x14ac:dyDescent="0.2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8" t="s">
        <v>1060</v>
      </c>
      <c r="W24" s="28" t="s">
        <v>1053</v>
      </c>
      <c r="X24" s="28" t="s">
        <v>1715</v>
      </c>
      <c r="Y24" s="28" t="s">
        <v>1716</v>
      </c>
      <c r="Z24" s="28" t="s">
        <v>1717</v>
      </c>
      <c r="AA24" s="28" t="s">
        <v>1718</v>
      </c>
      <c r="AB24" s="28" t="s">
        <v>1719</v>
      </c>
      <c r="AC24" s="28" t="s">
        <v>1720</v>
      </c>
    </row>
    <row r="25" spans="1:29" x14ac:dyDescent="0.2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8" t="s">
        <v>1060</v>
      </c>
      <c r="W25" s="28" t="s">
        <v>1053</v>
      </c>
      <c r="X25" s="28" t="s">
        <v>1715</v>
      </c>
      <c r="Y25" s="28" t="s">
        <v>1716</v>
      </c>
      <c r="Z25" s="28" t="s">
        <v>1717</v>
      </c>
      <c r="AA25" s="28" t="s">
        <v>1718</v>
      </c>
      <c r="AB25" s="28" t="s">
        <v>1719</v>
      </c>
      <c r="AC25" s="28" t="s">
        <v>1720</v>
      </c>
    </row>
    <row r="26" spans="1:29" x14ac:dyDescent="0.2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8" t="s">
        <v>1060</v>
      </c>
      <c r="W26" s="28" t="s">
        <v>1053</v>
      </c>
      <c r="X26" s="28" t="s">
        <v>1715</v>
      </c>
      <c r="Y26" s="28" t="s">
        <v>1716</v>
      </c>
      <c r="Z26" s="28" t="s">
        <v>1717</v>
      </c>
      <c r="AA26" s="28" t="s">
        <v>1718</v>
      </c>
      <c r="AB26" s="28" t="s">
        <v>1719</v>
      </c>
      <c r="AC26" s="28" t="s">
        <v>1720</v>
      </c>
    </row>
    <row r="27" spans="1:29" x14ac:dyDescent="0.2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8" t="s">
        <v>1060</v>
      </c>
      <c r="W27" s="28" t="s">
        <v>1053</v>
      </c>
      <c r="X27" s="28" t="s">
        <v>1715</v>
      </c>
      <c r="Y27" s="28" t="s">
        <v>1716</v>
      </c>
      <c r="Z27" s="28" t="s">
        <v>1717</v>
      </c>
      <c r="AA27" s="28" t="s">
        <v>1718</v>
      </c>
      <c r="AB27" s="28" t="s">
        <v>1719</v>
      </c>
      <c r="AC27" s="28" t="s">
        <v>1720</v>
      </c>
    </row>
    <row r="28" spans="1:29" x14ac:dyDescent="0.2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8" t="s">
        <v>1060</v>
      </c>
      <c r="W28" s="28" t="s">
        <v>1053</v>
      </c>
      <c r="X28" s="28" t="s">
        <v>1715</v>
      </c>
      <c r="Y28" s="28" t="s">
        <v>1716</v>
      </c>
      <c r="Z28" s="28" t="s">
        <v>1717</v>
      </c>
      <c r="AA28" s="28" t="s">
        <v>1718</v>
      </c>
      <c r="AB28" s="28" t="s">
        <v>1719</v>
      </c>
      <c r="AC28" s="28" t="s">
        <v>1720</v>
      </c>
    </row>
    <row r="29" spans="1:29" x14ac:dyDescent="0.2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8" t="s">
        <v>1060</v>
      </c>
      <c r="W29" s="28" t="s">
        <v>1053</v>
      </c>
      <c r="X29" s="28" t="s">
        <v>1715</v>
      </c>
      <c r="Y29" s="28" t="s">
        <v>1716</v>
      </c>
      <c r="Z29" s="28" t="s">
        <v>1717</v>
      </c>
      <c r="AA29" s="28" t="s">
        <v>1718</v>
      </c>
      <c r="AB29" s="28" t="s">
        <v>1719</v>
      </c>
      <c r="AC29" s="28" t="s">
        <v>1720</v>
      </c>
    </row>
    <row r="30" spans="1:29" x14ac:dyDescent="0.2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8" t="s">
        <v>1060</v>
      </c>
      <c r="W30" s="28" t="s">
        <v>1053</v>
      </c>
      <c r="X30" s="28" t="s">
        <v>1715</v>
      </c>
      <c r="Y30" s="28" t="s">
        <v>1716</v>
      </c>
      <c r="Z30" s="28" t="s">
        <v>1717</v>
      </c>
      <c r="AA30" s="28" t="s">
        <v>1718</v>
      </c>
      <c r="AB30" s="28" t="s">
        <v>1719</v>
      </c>
      <c r="AC30" s="28" t="s">
        <v>1720</v>
      </c>
    </row>
    <row r="31" spans="1:29" x14ac:dyDescent="0.2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8" t="s">
        <v>1060</v>
      </c>
      <c r="W31" s="28" t="s">
        <v>1053</v>
      </c>
      <c r="X31" s="28" t="s">
        <v>1715</v>
      </c>
      <c r="Y31" s="28" t="s">
        <v>1716</v>
      </c>
      <c r="Z31" s="28" t="s">
        <v>1717</v>
      </c>
      <c r="AA31" s="28" t="s">
        <v>1718</v>
      </c>
      <c r="AB31" s="28" t="s">
        <v>1719</v>
      </c>
      <c r="AC31" s="28" t="s">
        <v>1720</v>
      </c>
    </row>
    <row r="32" spans="1:29" x14ac:dyDescent="0.2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8" t="s">
        <v>1060</v>
      </c>
      <c r="W32" s="28" t="s">
        <v>1053</v>
      </c>
      <c r="X32" s="28" t="s">
        <v>1715</v>
      </c>
      <c r="Y32" s="28" t="s">
        <v>1716</v>
      </c>
      <c r="Z32" s="28" t="s">
        <v>1717</v>
      </c>
      <c r="AA32" s="28" t="s">
        <v>1718</v>
      </c>
      <c r="AB32" s="28" t="s">
        <v>1719</v>
      </c>
      <c r="AC32" s="28" t="s">
        <v>1720</v>
      </c>
    </row>
    <row r="33" spans="1:29" x14ac:dyDescent="0.2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8" t="s">
        <v>1060</v>
      </c>
      <c r="W33" s="28" t="s">
        <v>1053</v>
      </c>
      <c r="X33" s="28" t="s">
        <v>1715</v>
      </c>
      <c r="Y33" s="28" t="s">
        <v>1716</v>
      </c>
      <c r="Z33" s="28" t="s">
        <v>1717</v>
      </c>
      <c r="AA33" s="28" t="s">
        <v>1718</v>
      </c>
      <c r="AB33" s="28" t="s">
        <v>1719</v>
      </c>
      <c r="AC33" s="28" t="s">
        <v>1720</v>
      </c>
    </row>
    <row r="34" spans="1:29" x14ac:dyDescent="0.2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8" t="s">
        <v>1060</v>
      </c>
      <c r="W34" s="28" t="s">
        <v>1053</v>
      </c>
      <c r="X34" s="28" t="s">
        <v>1715</v>
      </c>
      <c r="Y34" s="28" t="s">
        <v>1716</v>
      </c>
      <c r="Z34" s="28" t="s">
        <v>1717</v>
      </c>
      <c r="AA34" s="28" t="s">
        <v>1718</v>
      </c>
      <c r="AB34" s="28" t="s">
        <v>1719</v>
      </c>
      <c r="AC34" s="28" t="s">
        <v>1720</v>
      </c>
    </row>
    <row r="35" spans="1:29" x14ac:dyDescent="0.2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8" t="s">
        <v>1060</v>
      </c>
      <c r="W35" s="28" t="s">
        <v>1053</v>
      </c>
      <c r="X35" s="28" t="s">
        <v>1715</v>
      </c>
      <c r="Y35" s="28" t="s">
        <v>1716</v>
      </c>
      <c r="Z35" s="28" t="s">
        <v>1717</v>
      </c>
      <c r="AA35" s="28" t="s">
        <v>1718</v>
      </c>
      <c r="AB35" s="28" t="s">
        <v>1719</v>
      </c>
      <c r="AC35" s="28" t="s">
        <v>1720</v>
      </c>
    </row>
    <row r="36" spans="1:29" x14ac:dyDescent="0.2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8" t="s">
        <v>1060</v>
      </c>
      <c r="W36" s="28" t="s">
        <v>1053</v>
      </c>
      <c r="X36" s="28" t="s">
        <v>1715</v>
      </c>
      <c r="Y36" s="28" t="s">
        <v>1716</v>
      </c>
      <c r="Z36" s="28" t="s">
        <v>1717</v>
      </c>
      <c r="AA36" s="28" t="s">
        <v>1718</v>
      </c>
      <c r="AB36" s="28" t="s">
        <v>1719</v>
      </c>
      <c r="AC36" s="28" t="s">
        <v>1720</v>
      </c>
    </row>
    <row r="37" spans="1:29" x14ac:dyDescent="0.2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8" t="s">
        <v>1060</v>
      </c>
      <c r="W37" s="28" t="s">
        <v>1053</v>
      </c>
      <c r="X37" s="28" t="s">
        <v>1715</v>
      </c>
      <c r="Y37" s="28" t="s">
        <v>1716</v>
      </c>
      <c r="Z37" s="28" t="s">
        <v>1717</v>
      </c>
      <c r="AA37" s="28" t="s">
        <v>1718</v>
      </c>
      <c r="AB37" s="28" t="s">
        <v>1719</v>
      </c>
      <c r="AC37" s="28" t="s">
        <v>1720</v>
      </c>
    </row>
    <row r="38" spans="1:29" x14ac:dyDescent="0.2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8" t="s">
        <v>1060</v>
      </c>
      <c r="W38" s="28" t="s">
        <v>1053</v>
      </c>
      <c r="X38" s="28" t="s">
        <v>1715</v>
      </c>
      <c r="Y38" s="28" t="s">
        <v>1716</v>
      </c>
      <c r="Z38" s="28" t="s">
        <v>1717</v>
      </c>
      <c r="AA38" s="28" t="s">
        <v>1718</v>
      </c>
      <c r="AB38" s="28" t="s">
        <v>1719</v>
      </c>
      <c r="AC38" s="28" t="s">
        <v>1720</v>
      </c>
    </row>
    <row r="39" spans="1:29" x14ac:dyDescent="0.2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8" t="s">
        <v>1060</v>
      </c>
      <c r="W39" s="28" t="s">
        <v>1053</v>
      </c>
      <c r="X39" s="28" t="s">
        <v>1715</v>
      </c>
      <c r="Y39" s="28" t="s">
        <v>1716</v>
      </c>
      <c r="Z39" s="28" t="s">
        <v>1717</v>
      </c>
      <c r="AA39" s="28" t="s">
        <v>1718</v>
      </c>
      <c r="AB39" s="28" t="s">
        <v>1719</v>
      </c>
      <c r="AC39" s="28" t="s">
        <v>1720</v>
      </c>
    </row>
    <row r="40" spans="1:29" x14ac:dyDescent="0.2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8" t="s">
        <v>1060</v>
      </c>
      <c r="W40" s="28" t="s">
        <v>1053</v>
      </c>
      <c r="X40" s="28" t="s">
        <v>1715</v>
      </c>
      <c r="Y40" s="28" t="s">
        <v>1716</v>
      </c>
      <c r="Z40" s="28" t="s">
        <v>1717</v>
      </c>
      <c r="AA40" s="28" t="s">
        <v>1718</v>
      </c>
      <c r="AB40" s="28" t="s">
        <v>1719</v>
      </c>
      <c r="AC40" s="28" t="s">
        <v>1720</v>
      </c>
    </row>
    <row r="41" spans="1:29" x14ac:dyDescent="0.2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8" t="s">
        <v>1060</v>
      </c>
      <c r="W41" s="28" t="s">
        <v>1053</v>
      </c>
      <c r="X41" s="28" t="s">
        <v>1715</v>
      </c>
      <c r="Y41" s="28" t="s">
        <v>1716</v>
      </c>
      <c r="Z41" s="28" t="s">
        <v>1717</v>
      </c>
      <c r="AA41" s="28" t="s">
        <v>1718</v>
      </c>
      <c r="AB41" s="28" t="s">
        <v>1719</v>
      </c>
      <c r="AC41" s="28" t="s">
        <v>1720</v>
      </c>
    </row>
    <row r="42" spans="1:29" x14ac:dyDescent="0.2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8" t="s">
        <v>1060</v>
      </c>
      <c r="W42" s="28" t="s">
        <v>1053</v>
      </c>
      <c r="X42" s="28" t="s">
        <v>1715</v>
      </c>
      <c r="Y42" s="28" t="s">
        <v>1716</v>
      </c>
      <c r="Z42" s="28" t="s">
        <v>1717</v>
      </c>
      <c r="AA42" s="28" t="s">
        <v>1718</v>
      </c>
      <c r="AB42" s="28" t="s">
        <v>1719</v>
      </c>
      <c r="AC42" s="28" t="s">
        <v>1720</v>
      </c>
    </row>
    <row r="43" spans="1:29" x14ac:dyDescent="0.2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8" t="s">
        <v>1060</v>
      </c>
      <c r="W43" s="28" t="s">
        <v>1053</v>
      </c>
      <c r="X43" s="28" t="s">
        <v>1715</v>
      </c>
      <c r="Y43" s="28" t="s">
        <v>1716</v>
      </c>
      <c r="Z43" s="28" t="s">
        <v>1717</v>
      </c>
      <c r="AA43" s="28" t="s">
        <v>1718</v>
      </c>
      <c r="AB43" s="28" t="s">
        <v>1719</v>
      </c>
      <c r="AC43" s="28" t="s">
        <v>1720</v>
      </c>
    </row>
    <row r="44" spans="1:29" x14ac:dyDescent="0.2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8" t="s">
        <v>1060</v>
      </c>
      <c r="W44" s="28" t="s">
        <v>1053</v>
      </c>
      <c r="X44" s="28" t="s">
        <v>1715</v>
      </c>
      <c r="Y44" s="28" t="s">
        <v>1716</v>
      </c>
      <c r="Z44" s="28" t="s">
        <v>1717</v>
      </c>
      <c r="AA44" s="28" t="s">
        <v>1718</v>
      </c>
      <c r="AB44" s="28" t="s">
        <v>1719</v>
      </c>
      <c r="AC44" s="28" t="s">
        <v>1720</v>
      </c>
    </row>
    <row r="45" spans="1:29" x14ac:dyDescent="0.2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8" t="s">
        <v>1060</v>
      </c>
      <c r="W45" s="28" t="s">
        <v>1053</v>
      </c>
      <c r="X45" s="28" t="s">
        <v>1715</v>
      </c>
      <c r="Y45" s="28" t="s">
        <v>1716</v>
      </c>
      <c r="Z45" s="28" t="s">
        <v>1717</v>
      </c>
      <c r="AA45" s="28" t="s">
        <v>1718</v>
      </c>
      <c r="AB45" s="28" t="s">
        <v>1719</v>
      </c>
      <c r="AC45" s="28" t="s">
        <v>1720</v>
      </c>
    </row>
    <row r="46" spans="1:29" x14ac:dyDescent="0.2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8" t="s">
        <v>1060</v>
      </c>
      <c r="W46" s="28" t="s">
        <v>1053</v>
      </c>
      <c r="X46" s="28" t="s">
        <v>1715</v>
      </c>
      <c r="Y46" s="28" t="s">
        <v>1716</v>
      </c>
      <c r="Z46" s="28" t="s">
        <v>1717</v>
      </c>
      <c r="AA46" s="28" t="s">
        <v>1718</v>
      </c>
      <c r="AB46" s="28" t="s">
        <v>1719</v>
      </c>
      <c r="AC46" s="28" t="s">
        <v>1720</v>
      </c>
    </row>
    <row r="47" spans="1:29" x14ac:dyDescent="0.2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8" t="s">
        <v>1060</v>
      </c>
      <c r="W47" s="28" t="s">
        <v>1053</v>
      </c>
      <c r="X47" s="28" t="s">
        <v>1715</v>
      </c>
      <c r="Y47" s="28" t="s">
        <v>1716</v>
      </c>
      <c r="Z47" s="28" t="s">
        <v>1717</v>
      </c>
      <c r="AA47" s="28" t="s">
        <v>1718</v>
      </c>
      <c r="AB47" s="28" t="s">
        <v>1719</v>
      </c>
      <c r="AC47" s="28" t="s">
        <v>1720</v>
      </c>
    </row>
    <row r="48" spans="1:29" x14ac:dyDescent="0.2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8" t="s">
        <v>1060</v>
      </c>
      <c r="W48" s="28" t="s">
        <v>1053</v>
      </c>
      <c r="X48" s="28" t="s">
        <v>1715</v>
      </c>
      <c r="Y48" s="28" t="s">
        <v>1716</v>
      </c>
      <c r="Z48" s="28" t="s">
        <v>1717</v>
      </c>
      <c r="AA48" s="28" t="s">
        <v>1718</v>
      </c>
      <c r="AB48" s="28" t="s">
        <v>1719</v>
      </c>
      <c r="AC48" s="28" t="s">
        <v>1720</v>
      </c>
    </row>
    <row r="49" spans="1:29" x14ac:dyDescent="0.2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8" t="s">
        <v>1060</v>
      </c>
      <c r="W49" s="28" t="s">
        <v>1053</v>
      </c>
      <c r="X49" s="28" t="s">
        <v>1715</v>
      </c>
      <c r="Y49" s="28" t="s">
        <v>1716</v>
      </c>
      <c r="Z49" s="28" t="s">
        <v>1717</v>
      </c>
      <c r="AA49" s="28" t="s">
        <v>1718</v>
      </c>
      <c r="AB49" s="28" t="s">
        <v>1719</v>
      </c>
      <c r="AC49" s="28" t="s">
        <v>1720</v>
      </c>
    </row>
    <row r="50" spans="1:29" x14ac:dyDescent="0.2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8" t="s">
        <v>1060</v>
      </c>
      <c r="W50" s="28" t="s">
        <v>1053</v>
      </c>
      <c r="X50" s="28" t="s">
        <v>1715</v>
      </c>
      <c r="Y50" s="28" t="s">
        <v>1716</v>
      </c>
      <c r="Z50" s="28" t="s">
        <v>1717</v>
      </c>
      <c r="AA50" s="28" t="s">
        <v>1718</v>
      </c>
      <c r="AB50" s="28" t="s">
        <v>1719</v>
      </c>
      <c r="AC50" s="28" t="s">
        <v>1720</v>
      </c>
    </row>
    <row r="51" spans="1:29" x14ac:dyDescent="0.2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8" t="s">
        <v>1060</v>
      </c>
      <c r="W51" s="28" t="s">
        <v>1053</v>
      </c>
      <c r="X51" s="28" t="s">
        <v>1715</v>
      </c>
      <c r="Y51" s="28" t="s">
        <v>1716</v>
      </c>
      <c r="Z51" s="28" t="s">
        <v>1717</v>
      </c>
      <c r="AA51" s="28" t="s">
        <v>1718</v>
      </c>
      <c r="AB51" s="28" t="s">
        <v>1719</v>
      </c>
      <c r="AC51" s="28" t="s">
        <v>1720</v>
      </c>
    </row>
    <row r="52" spans="1:29" x14ac:dyDescent="0.2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8" t="s">
        <v>1060</v>
      </c>
      <c r="W52" s="28" t="s">
        <v>1053</v>
      </c>
      <c r="X52" s="28" t="s">
        <v>1715</v>
      </c>
      <c r="Y52" s="28" t="s">
        <v>1716</v>
      </c>
      <c r="Z52" s="28" t="s">
        <v>1717</v>
      </c>
      <c r="AA52" s="28" t="s">
        <v>1718</v>
      </c>
      <c r="AB52" s="28" t="s">
        <v>1719</v>
      </c>
      <c r="AC52" s="28" t="s">
        <v>1720</v>
      </c>
    </row>
    <row r="53" spans="1:29" x14ac:dyDescent="0.2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8" t="s">
        <v>1060</v>
      </c>
      <c r="W53" s="28" t="s">
        <v>1053</v>
      </c>
      <c r="X53" s="28" t="s">
        <v>1715</v>
      </c>
      <c r="Y53" s="28" t="s">
        <v>1716</v>
      </c>
      <c r="Z53" s="28" t="s">
        <v>1717</v>
      </c>
      <c r="AA53" s="28" t="s">
        <v>1718</v>
      </c>
      <c r="AB53" s="28" t="s">
        <v>1719</v>
      </c>
      <c r="AC53" s="28" t="s">
        <v>1720</v>
      </c>
    </row>
    <row r="54" spans="1:29" x14ac:dyDescent="0.2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8" t="s">
        <v>1060</v>
      </c>
      <c r="W54" s="28" t="s">
        <v>1053</v>
      </c>
      <c r="X54" s="28" t="s">
        <v>1715</v>
      </c>
      <c r="Y54" s="28" t="s">
        <v>1716</v>
      </c>
      <c r="Z54" s="28" t="s">
        <v>1717</v>
      </c>
      <c r="AA54" s="28" t="s">
        <v>1718</v>
      </c>
      <c r="AB54" s="28" t="s">
        <v>1719</v>
      </c>
      <c r="AC54" s="28" t="s">
        <v>1720</v>
      </c>
    </row>
    <row r="55" spans="1:29" x14ac:dyDescent="0.2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8" t="s">
        <v>1060</v>
      </c>
      <c r="W55" s="28" t="s">
        <v>1053</v>
      </c>
      <c r="X55" s="28" t="s">
        <v>1715</v>
      </c>
      <c r="Y55" s="28" t="s">
        <v>1716</v>
      </c>
      <c r="Z55" s="28" t="s">
        <v>1717</v>
      </c>
      <c r="AA55" s="28" t="s">
        <v>1718</v>
      </c>
      <c r="AB55" s="28" t="s">
        <v>1719</v>
      </c>
      <c r="AC55" s="28" t="s">
        <v>1720</v>
      </c>
    </row>
    <row r="56" spans="1:29" x14ac:dyDescent="0.2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8" t="s">
        <v>1060</v>
      </c>
      <c r="W56" s="28" t="s">
        <v>1053</v>
      </c>
      <c r="X56" s="28" t="s">
        <v>1715</v>
      </c>
      <c r="Y56" s="28" t="s">
        <v>1716</v>
      </c>
      <c r="Z56" s="28" t="s">
        <v>1717</v>
      </c>
      <c r="AA56" s="28" t="s">
        <v>1718</v>
      </c>
      <c r="AB56" s="28" t="s">
        <v>1719</v>
      </c>
      <c r="AC56" s="28" t="s">
        <v>1720</v>
      </c>
    </row>
    <row r="57" spans="1:29" x14ac:dyDescent="0.2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8" t="s">
        <v>1060</v>
      </c>
      <c r="W57" s="28" t="s">
        <v>1053</v>
      </c>
      <c r="X57" s="28" t="s">
        <v>1715</v>
      </c>
      <c r="Y57" s="28" t="s">
        <v>1716</v>
      </c>
      <c r="Z57" s="28" t="s">
        <v>1717</v>
      </c>
      <c r="AA57" s="28" t="s">
        <v>1718</v>
      </c>
      <c r="AB57" s="28" t="s">
        <v>1719</v>
      </c>
      <c r="AC57" s="28" t="s">
        <v>1720</v>
      </c>
    </row>
    <row r="58" spans="1:29" x14ac:dyDescent="0.2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8" t="s">
        <v>1060</v>
      </c>
      <c r="W58" s="28" t="s">
        <v>1053</v>
      </c>
      <c r="X58" s="28" t="s">
        <v>1715</v>
      </c>
      <c r="Y58" s="28" t="s">
        <v>1716</v>
      </c>
      <c r="Z58" s="28" t="s">
        <v>1717</v>
      </c>
      <c r="AA58" s="28" t="s">
        <v>1718</v>
      </c>
      <c r="AB58" s="28" t="s">
        <v>1719</v>
      </c>
      <c r="AC58" s="28" t="s">
        <v>1720</v>
      </c>
    </row>
    <row r="59" spans="1:29" x14ac:dyDescent="0.2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8" t="s">
        <v>1060</v>
      </c>
      <c r="W59" s="28" t="s">
        <v>1053</v>
      </c>
      <c r="X59" s="28" t="s">
        <v>1715</v>
      </c>
      <c r="Y59" s="28" t="s">
        <v>1716</v>
      </c>
      <c r="Z59" s="28" t="s">
        <v>1717</v>
      </c>
      <c r="AA59" s="28" t="s">
        <v>1718</v>
      </c>
      <c r="AB59" s="28" t="s">
        <v>1719</v>
      </c>
      <c r="AC59" s="28" t="s">
        <v>1720</v>
      </c>
    </row>
    <row r="60" spans="1:29" x14ac:dyDescent="0.2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8" t="s">
        <v>1060</v>
      </c>
      <c r="W60" s="28" t="s">
        <v>1053</v>
      </c>
      <c r="X60" s="28" t="s">
        <v>1715</v>
      </c>
      <c r="Y60" s="28" t="s">
        <v>1716</v>
      </c>
      <c r="Z60" s="28" t="s">
        <v>1717</v>
      </c>
      <c r="AA60" s="28" t="s">
        <v>1718</v>
      </c>
      <c r="AB60" s="28" t="s">
        <v>1719</v>
      </c>
      <c r="AC60" s="28" t="s">
        <v>1720</v>
      </c>
    </row>
    <row r="61" spans="1:29" x14ac:dyDescent="0.2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8" t="s">
        <v>1060</v>
      </c>
      <c r="W61" s="28" t="s">
        <v>1053</v>
      </c>
      <c r="X61" s="28" t="s">
        <v>1715</v>
      </c>
      <c r="Y61" s="28" t="s">
        <v>1716</v>
      </c>
      <c r="Z61" s="28" t="s">
        <v>1717</v>
      </c>
      <c r="AA61" s="28" t="s">
        <v>1718</v>
      </c>
      <c r="AB61" s="28" t="s">
        <v>1719</v>
      </c>
      <c r="AC61" s="28" t="s">
        <v>1720</v>
      </c>
    </row>
    <row r="62" spans="1:29" x14ac:dyDescent="0.2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8" t="s">
        <v>1060</v>
      </c>
      <c r="W62" s="28" t="s">
        <v>1053</v>
      </c>
      <c r="X62" s="28" t="s">
        <v>1715</v>
      </c>
      <c r="Y62" s="28" t="s">
        <v>1716</v>
      </c>
      <c r="Z62" s="28" t="s">
        <v>1717</v>
      </c>
      <c r="AA62" s="28" t="s">
        <v>1718</v>
      </c>
      <c r="AB62" s="28" t="s">
        <v>1719</v>
      </c>
      <c r="AC62" s="28" t="s">
        <v>1720</v>
      </c>
    </row>
    <row r="63" spans="1:29" x14ac:dyDescent="0.2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8" t="s">
        <v>1060</v>
      </c>
      <c r="W63" s="28" t="s">
        <v>1053</v>
      </c>
      <c r="X63" s="28" t="s">
        <v>1715</v>
      </c>
      <c r="Y63" s="28" t="s">
        <v>1716</v>
      </c>
      <c r="Z63" s="28" t="s">
        <v>1717</v>
      </c>
      <c r="AA63" s="28" t="s">
        <v>1718</v>
      </c>
      <c r="AB63" s="28" t="s">
        <v>1719</v>
      </c>
      <c r="AC63" s="28" t="s">
        <v>1720</v>
      </c>
    </row>
    <row r="64" spans="1:29" x14ac:dyDescent="0.2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8" t="s">
        <v>1060</v>
      </c>
      <c r="W64" s="28" t="s">
        <v>1053</v>
      </c>
      <c r="X64" s="28" t="s">
        <v>1715</v>
      </c>
      <c r="Y64" s="28" t="s">
        <v>1716</v>
      </c>
      <c r="Z64" s="28" t="s">
        <v>1717</v>
      </c>
      <c r="AA64" s="28" t="s">
        <v>1718</v>
      </c>
      <c r="AB64" s="28" t="s">
        <v>1719</v>
      </c>
      <c r="AC64" s="28" t="s">
        <v>1720</v>
      </c>
    </row>
    <row r="65" spans="1:29" x14ac:dyDescent="0.2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8" t="s">
        <v>1060</v>
      </c>
      <c r="W65" s="28" t="s">
        <v>1053</v>
      </c>
      <c r="X65" s="28" t="s">
        <v>1715</v>
      </c>
      <c r="Y65" s="28" t="s">
        <v>1716</v>
      </c>
      <c r="Z65" s="28" t="s">
        <v>1717</v>
      </c>
      <c r="AA65" s="28" t="s">
        <v>1718</v>
      </c>
      <c r="AB65" s="28" t="s">
        <v>1719</v>
      </c>
      <c r="AC65" s="28" t="s">
        <v>1720</v>
      </c>
    </row>
    <row r="66" spans="1:29" x14ac:dyDescent="0.2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8" t="s">
        <v>1060</v>
      </c>
      <c r="W66" s="28" t="s">
        <v>1053</v>
      </c>
      <c r="X66" s="28" t="s">
        <v>1715</v>
      </c>
      <c r="Y66" s="28" t="s">
        <v>1716</v>
      </c>
      <c r="Z66" s="28" t="s">
        <v>1717</v>
      </c>
      <c r="AA66" s="28" t="s">
        <v>1718</v>
      </c>
      <c r="AB66" s="28" t="s">
        <v>1719</v>
      </c>
      <c r="AC66" s="28" t="s">
        <v>1720</v>
      </c>
    </row>
    <row r="67" spans="1:29" x14ac:dyDescent="0.2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8" t="s">
        <v>1060</v>
      </c>
      <c r="W67" s="28" t="s">
        <v>1053</v>
      </c>
      <c r="X67" s="28" t="s">
        <v>1715</v>
      </c>
      <c r="Y67" s="28" t="s">
        <v>1716</v>
      </c>
      <c r="Z67" s="28" t="s">
        <v>1717</v>
      </c>
      <c r="AA67" s="28" t="s">
        <v>1718</v>
      </c>
      <c r="AB67" s="28" t="s">
        <v>1719</v>
      </c>
      <c r="AC67" s="28" t="s">
        <v>1720</v>
      </c>
    </row>
    <row r="68" spans="1:29" x14ac:dyDescent="0.2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8" t="s">
        <v>1060</v>
      </c>
      <c r="W68" s="28" t="s">
        <v>1053</v>
      </c>
      <c r="X68" s="28" t="s">
        <v>1715</v>
      </c>
      <c r="Y68" s="28" t="s">
        <v>1716</v>
      </c>
      <c r="Z68" s="28" t="s">
        <v>1717</v>
      </c>
      <c r="AA68" s="28" t="s">
        <v>1718</v>
      </c>
      <c r="AB68" s="28" t="s">
        <v>1719</v>
      </c>
      <c r="AC68" s="28" t="s">
        <v>1720</v>
      </c>
    </row>
    <row r="69" spans="1:29" x14ac:dyDescent="0.2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8" t="s">
        <v>1060</v>
      </c>
      <c r="W69" s="28" t="s">
        <v>1053</v>
      </c>
      <c r="X69" s="28" t="s">
        <v>1715</v>
      </c>
      <c r="Y69" s="28" t="s">
        <v>1716</v>
      </c>
      <c r="Z69" s="28" t="s">
        <v>1717</v>
      </c>
      <c r="AA69" s="28" t="s">
        <v>1718</v>
      </c>
      <c r="AB69" s="28" t="s">
        <v>1719</v>
      </c>
      <c r="AC69" s="28" t="s">
        <v>1720</v>
      </c>
    </row>
    <row r="70" spans="1:29" x14ac:dyDescent="0.2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8" t="s">
        <v>1060</v>
      </c>
      <c r="W70" s="28" t="s">
        <v>1053</v>
      </c>
      <c r="X70" s="28" t="s">
        <v>1715</v>
      </c>
      <c r="Y70" s="28" t="s">
        <v>1716</v>
      </c>
      <c r="Z70" s="28" t="s">
        <v>1717</v>
      </c>
      <c r="AA70" s="28" t="s">
        <v>1718</v>
      </c>
      <c r="AB70" s="28" t="s">
        <v>1719</v>
      </c>
      <c r="AC70" s="28" t="s">
        <v>1720</v>
      </c>
    </row>
    <row r="71" spans="1:29" x14ac:dyDescent="0.2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8" t="s">
        <v>1060</v>
      </c>
      <c r="W71" s="28" t="s">
        <v>1053</v>
      </c>
      <c r="X71" s="28" t="s">
        <v>1715</v>
      </c>
      <c r="Y71" s="28" t="s">
        <v>1716</v>
      </c>
      <c r="Z71" s="28" t="s">
        <v>1717</v>
      </c>
      <c r="AA71" s="28" t="s">
        <v>1718</v>
      </c>
      <c r="AB71" s="28" t="s">
        <v>1719</v>
      </c>
      <c r="AC71" s="28" t="s">
        <v>1720</v>
      </c>
    </row>
    <row r="72" spans="1:29" x14ac:dyDescent="0.2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8" t="s">
        <v>1060</v>
      </c>
      <c r="W72" s="28" t="s">
        <v>1053</v>
      </c>
      <c r="X72" s="28" t="s">
        <v>1715</v>
      </c>
      <c r="Y72" s="28" t="s">
        <v>1716</v>
      </c>
      <c r="Z72" s="28" t="s">
        <v>1717</v>
      </c>
      <c r="AA72" s="28" t="s">
        <v>1718</v>
      </c>
      <c r="AB72" s="28" t="s">
        <v>1719</v>
      </c>
      <c r="AC72" s="28" t="s">
        <v>1720</v>
      </c>
    </row>
    <row r="73" spans="1:29" x14ac:dyDescent="0.2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8" t="s">
        <v>1060</v>
      </c>
      <c r="W73" s="28" t="s">
        <v>1053</v>
      </c>
      <c r="X73" s="28" t="s">
        <v>1715</v>
      </c>
      <c r="Y73" s="28" t="s">
        <v>1716</v>
      </c>
      <c r="Z73" s="28" t="s">
        <v>1717</v>
      </c>
      <c r="AA73" s="28" t="s">
        <v>1718</v>
      </c>
      <c r="AB73" s="28" t="s">
        <v>1719</v>
      </c>
      <c r="AC73" s="28" t="s">
        <v>1720</v>
      </c>
    </row>
    <row r="74" spans="1:29" x14ac:dyDescent="0.2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8" t="s">
        <v>1060</v>
      </c>
      <c r="W74" s="28" t="s">
        <v>1053</v>
      </c>
      <c r="X74" s="28" t="s">
        <v>1715</v>
      </c>
      <c r="Y74" s="28" t="s">
        <v>1716</v>
      </c>
      <c r="Z74" s="28" t="s">
        <v>1717</v>
      </c>
      <c r="AA74" s="28" t="s">
        <v>1718</v>
      </c>
      <c r="AB74" s="28" t="s">
        <v>1719</v>
      </c>
      <c r="AC74" s="28" t="s">
        <v>1720</v>
      </c>
    </row>
    <row r="75" spans="1:29" x14ac:dyDescent="0.2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8" t="s">
        <v>1060</v>
      </c>
      <c r="W75" s="28" t="s">
        <v>1053</v>
      </c>
      <c r="X75" s="28" t="s">
        <v>1715</v>
      </c>
      <c r="Y75" s="28" t="s">
        <v>1716</v>
      </c>
      <c r="Z75" s="28" t="s">
        <v>1717</v>
      </c>
      <c r="AA75" s="28" t="s">
        <v>1718</v>
      </c>
      <c r="AB75" s="28" t="s">
        <v>1719</v>
      </c>
      <c r="AC75" s="28" t="s">
        <v>1720</v>
      </c>
    </row>
    <row r="76" spans="1:29" x14ac:dyDescent="0.2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8" t="s">
        <v>1060</v>
      </c>
      <c r="W76" s="28" t="s">
        <v>1053</v>
      </c>
      <c r="X76" s="28" t="s">
        <v>1715</v>
      </c>
      <c r="Y76" s="28" t="s">
        <v>1716</v>
      </c>
      <c r="Z76" s="28" t="s">
        <v>1717</v>
      </c>
      <c r="AA76" s="28" t="s">
        <v>1718</v>
      </c>
      <c r="AB76" s="28" t="s">
        <v>1719</v>
      </c>
      <c r="AC76" s="28" t="s">
        <v>1720</v>
      </c>
    </row>
    <row r="77" spans="1:29" x14ac:dyDescent="0.2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8" t="s">
        <v>1060</v>
      </c>
      <c r="W77" s="28" t="s">
        <v>1053</v>
      </c>
      <c r="X77" s="28" t="s">
        <v>1715</v>
      </c>
      <c r="Y77" s="28" t="s">
        <v>1716</v>
      </c>
      <c r="Z77" s="28" t="s">
        <v>1717</v>
      </c>
      <c r="AA77" s="28" t="s">
        <v>1718</v>
      </c>
      <c r="AB77" s="28" t="s">
        <v>1719</v>
      </c>
      <c r="AC77" s="28" t="s">
        <v>1720</v>
      </c>
    </row>
    <row r="78" spans="1:29" x14ac:dyDescent="0.2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8" t="s">
        <v>1060</v>
      </c>
      <c r="W78" s="28" t="s">
        <v>1053</v>
      </c>
      <c r="X78" s="28" t="s">
        <v>1715</v>
      </c>
      <c r="Y78" s="28" t="s">
        <v>1716</v>
      </c>
      <c r="Z78" s="28" t="s">
        <v>1717</v>
      </c>
      <c r="AA78" s="28" t="s">
        <v>1718</v>
      </c>
      <c r="AB78" s="28" t="s">
        <v>1719</v>
      </c>
      <c r="AC78" s="28" t="s">
        <v>1720</v>
      </c>
    </row>
    <row r="79" spans="1:29" x14ac:dyDescent="0.2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8" t="s">
        <v>1060</v>
      </c>
      <c r="W79" s="28" t="s">
        <v>1053</v>
      </c>
      <c r="X79" s="28" t="s">
        <v>1715</v>
      </c>
      <c r="Y79" s="28" t="s">
        <v>1716</v>
      </c>
      <c r="Z79" s="28" t="s">
        <v>1717</v>
      </c>
      <c r="AA79" s="28" t="s">
        <v>1718</v>
      </c>
      <c r="AB79" s="28" t="s">
        <v>1719</v>
      </c>
      <c r="AC79" s="28" t="s">
        <v>1720</v>
      </c>
    </row>
    <row r="80" spans="1:29" x14ac:dyDescent="0.2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8" t="s">
        <v>1060</v>
      </c>
      <c r="W80" s="28" t="s">
        <v>1053</v>
      </c>
      <c r="X80" s="28" t="s">
        <v>1715</v>
      </c>
      <c r="Y80" s="28" t="s">
        <v>1716</v>
      </c>
      <c r="Z80" s="28" t="s">
        <v>1717</v>
      </c>
      <c r="AA80" s="28" t="s">
        <v>1718</v>
      </c>
      <c r="AB80" s="28" t="s">
        <v>1719</v>
      </c>
      <c r="AC80" s="28" t="s">
        <v>1720</v>
      </c>
    </row>
    <row r="81" spans="1:29" x14ac:dyDescent="0.2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8" t="s">
        <v>1060</v>
      </c>
      <c r="W81" s="28" t="s">
        <v>1053</v>
      </c>
      <c r="X81" s="28" t="s">
        <v>1715</v>
      </c>
      <c r="Y81" s="28" t="s">
        <v>1716</v>
      </c>
      <c r="Z81" s="28" t="s">
        <v>1717</v>
      </c>
      <c r="AA81" s="28" t="s">
        <v>1718</v>
      </c>
      <c r="AB81" s="28" t="s">
        <v>1719</v>
      </c>
      <c r="AC81" s="28" t="s">
        <v>1720</v>
      </c>
    </row>
    <row r="82" spans="1:29" x14ac:dyDescent="0.2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8" t="s">
        <v>1060</v>
      </c>
      <c r="W82" s="28" t="s">
        <v>1053</v>
      </c>
      <c r="X82" s="28" t="s">
        <v>1715</v>
      </c>
      <c r="Y82" s="28" t="s">
        <v>1716</v>
      </c>
      <c r="Z82" s="28" t="s">
        <v>1717</v>
      </c>
      <c r="AA82" s="28" t="s">
        <v>1718</v>
      </c>
      <c r="AB82" s="28" t="s">
        <v>1719</v>
      </c>
      <c r="AC82" s="28" t="s">
        <v>1720</v>
      </c>
    </row>
    <row r="83" spans="1:29" x14ac:dyDescent="0.2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8" t="s">
        <v>1060</v>
      </c>
      <c r="W83" s="28" t="s">
        <v>1053</v>
      </c>
      <c r="X83" s="28" t="s">
        <v>1715</v>
      </c>
      <c r="Y83" s="28" t="s">
        <v>1716</v>
      </c>
      <c r="Z83" s="28" t="s">
        <v>1717</v>
      </c>
      <c r="AA83" s="28" t="s">
        <v>1718</v>
      </c>
      <c r="AB83" s="28" t="s">
        <v>1719</v>
      </c>
      <c r="AC83" s="28" t="s">
        <v>1720</v>
      </c>
    </row>
    <row r="84" spans="1:29" x14ac:dyDescent="0.2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8" t="s">
        <v>1060</v>
      </c>
      <c r="W84" s="28" t="s">
        <v>1053</v>
      </c>
      <c r="X84" s="28" t="s">
        <v>1715</v>
      </c>
      <c r="Y84" s="28" t="s">
        <v>1716</v>
      </c>
      <c r="Z84" s="28" t="s">
        <v>1717</v>
      </c>
      <c r="AA84" s="28" t="s">
        <v>1718</v>
      </c>
      <c r="AB84" s="28" t="s">
        <v>1719</v>
      </c>
      <c r="AC84" s="28" t="s">
        <v>1720</v>
      </c>
    </row>
    <row r="85" spans="1:29" x14ac:dyDescent="0.2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8" t="s">
        <v>1060</v>
      </c>
      <c r="W85" s="28" t="s">
        <v>1053</v>
      </c>
      <c r="X85" s="28" t="s">
        <v>1715</v>
      </c>
      <c r="Y85" s="28" t="s">
        <v>1716</v>
      </c>
      <c r="Z85" s="28" t="s">
        <v>1717</v>
      </c>
      <c r="AA85" s="28" t="s">
        <v>1718</v>
      </c>
      <c r="AB85" s="28" t="s">
        <v>1719</v>
      </c>
      <c r="AC85" s="28" t="s">
        <v>1720</v>
      </c>
    </row>
    <row r="86" spans="1:29" x14ac:dyDescent="0.2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8" t="s">
        <v>1060</v>
      </c>
      <c r="W86" s="28" t="s">
        <v>1053</v>
      </c>
      <c r="X86" s="28" t="s">
        <v>1715</v>
      </c>
      <c r="Y86" s="28" t="s">
        <v>1716</v>
      </c>
      <c r="Z86" s="28" t="s">
        <v>1717</v>
      </c>
      <c r="AA86" s="28" t="s">
        <v>1718</v>
      </c>
      <c r="AB86" s="28" t="s">
        <v>1719</v>
      </c>
      <c r="AC86" s="28" t="s">
        <v>1720</v>
      </c>
    </row>
    <row r="87" spans="1:29" x14ac:dyDescent="0.2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8" t="s">
        <v>1060</v>
      </c>
      <c r="W87" s="28" t="s">
        <v>1053</v>
      </c>
      <c r="X87" s="28" t="s">
        <v>1715</v>
      </c>
      <c r="Y87" s="28" t="s">
        <v>1716</v>
      </c>
      <c r="Z87" s="28" t="s">
        <v>1717</v>
      </c>
      <c r="AA87" s="28" t="s">
        <v>1718</v>
      </c>
      <c r="AB87" s="28" t="s">
        <v>1719</v>
      </c>
      <c r="AC87" s="28" t="s">
        <v>1720</v>
      </c>
    </row>
    <row r="88" spans="1:29" x14ac:dyDescent="0.2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8" t="s">
        <v>1060</v>
      </c>
      <c r="W88" s="28" t="s">
        <v>1053</v>
      </c>
      <c r="X88" s="28" t="s">
        <v>1715</v>
      </c>
      <c r="Y88" s="28" t="s">
        <v>1716</v>
      </c>
      <c r="Z88" s="28" t="s">
        <v>1717</v>
      </c>
      <c r="AA88" s="28" t="s">
        <v>1718</v>
      </c>
      <c r="AB88" s="28" t="s">
        <v>1719</v>
      </c>
      <c r="AC88" s="28" t="s">
        <v>1720</v>
      </c>
    </row>
    <row r="89" spans="1:29" x14ac:dyDescent="0.2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8" t="s">
        <v>1060</v>
      </c>
      <c r="W89" s="28" t="s">
        <v>1053</v>
      </c>
      <c r="X89" s="28" t="s">
        <v>1715</v>
      </c>
      <c r="Y89" s="28" t="s">
        <v>1716</v>
      </c>
      <c r="Z89" s="28" t="s">
        <v>1717</v>
      </c>
      <c r="AA89" s="28" t="s">
        <v>1718</v>
      </c>
      <c r="AB89" s="28" t="s">
        <v>1719</v>
      </c>
      <c r="AC89" s="28" t="s">
        <v>1720</v>
      </c>
    </row>
    <row r="90" spans="1:29" x14ac:dyDescent="0.2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8" t="s">
        <v>1060</v>
      </c>
      <c r="W90" s="28" t="s">
        <v>1053</v>
      </c>
      <c r="X90" s="28" t="s">
        <v>1715</v>
      </c>
      <c r="Y90" s="28" t="s">
        <v>1716</v>
      </c>
      <c r="Z90" s="28" t="s">
        <v>1717</v>
      </c>
      <c r="AA90" s="28" t="s">
        <v>1718</v>
      </c>
      <c r="AB90" s="28" t="s">
        <v>1719</v>
      </c>
      <c r="AC90" s="28" t="s">
        <v>1720</v>
      </c>
    </row>
    <row r="91" spans="1:29" x14ac:dyDescent="0.2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8" t="s">
        <v>1060</v>
      </c>
      <c r="W91" s="28" t="s">
        <v>1053</v>
      </c>
      <c r="X91" s="28" t="s">
        <v>1715</v>
      </c>
      <c r="Y91" s="28" t="s">
        <v>1716</v>
      </c>
      <c r="Z91" s="28" t="s">
        <v>1717</v>
      </c>
      <c r="AA91" s="28" t="s">
        <v>1718</v>
      </c>
      <c r="AB91" s="28" t="s">
        <v>1719</v>
      </c>
      <c r="AC91" s="28" t="s">
        <v>1720</v>
      </c>
    </row>
    <row r="92" spans="1:29" x14ac:dyDescent="0.2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8" t="s">
        <v>1060</v>
      </c>
      <c r="W92" s="28" t="s">
        <v>1053</v>
      </c>
      <c r="X92" s="28" t="s">
        <v>1715</v>
      </c>
      <c r="Y92" s="28" t="s">
        <v>1716</v>
      </c>
      <c r="Z92" s="28" t="s">
        <v>1717</v>
      </c>
      <c r="AA92" s="28" t="s">
        <v>1718</v>
      </c>
      <c r="AB92" s="28" t="s">
        <v>1719</v>
      </c>
      <c r="AC92" s="28" t="s">
        <v>1720</v>
      </c>
    </row>
    <row r="93" spans="1:29" x14ac:dyDescent="0.2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8" t="s">
        <v>1060</v>
      </c>
      <c r="W93" s="28" t="s">
        <v>1053</v>
      </c>
      <c r="X93" s="28" t="s">
        <v>1715</v>
      </c>
      <c r="Y93" s="28" t="s">
        <v>1716</v>
      </c>
      <c r="Z93" s="28" t="s">
        <v>1717</v>
      </c>
      <c r="AA93" s="28" t="s">
        <v>1718</v>
      </c>
      <c r="AB93" s="28" t="s">
        <v>1719</v>
      </c>
      <c r="AC93" s="28" t="s">
        <v>1720</v>
      </c>
    </row>
    <row r="94" spans="1:29" x14ac:dyDescent="0.2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8" t="s">
        <v>1060</v>
      </c>
      <c r="W94" s="28" t="s">
        <v>1053</v>
      </c>
      <c r="X94" s="28" t="s">
        <v>1715</v>
      </c>
      <c r="Y94" s="28" t="s">
        <v>1716</v>
      </c>
      <c r="Z94" s="28" t="s">
        <v>1717</v>
      </c>
      <c r="AA94" s="28" t="s">
        <v>1718</v>
      </c>
      <c r="AB94" s="28" t="s">
        <v>1719</v>
      </c>
      <c r="AC94" s="28" t="s">
        <v>1720</v>
      </c>
    </row>
    <row r="95" spans="1:29" x14ac:dyDescent="0.2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8" t="s">
        <v>1060</v>
      </c>
      <c r="W95" s="28" t="s">
        <v>1053</v>
      </c>
      <c r="X95" s="28" t="s">
        <v>1715</v>
      </c>
      <c r="Y95" s="28" t="s">
        <v>1716</v>
      </c>
      <c r="Z95" s="28" t="s">
        <v>1717</v>
      </c>
      <c r="AA95" s="28" t="s">
        <v>1718</v>
      </c>
      <c r="AB95" s="28" t="s">
        <v>1719</v>
      </c>
      <c r="AC95" s="28" t="s">
        <v>1720</v>
      </c>
    </row>
    <row r="96" spans="1:29" x14ac:dyDescent="0.2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8" t="s">
        <v>1060</v>
      </c>
      <c r="W96" s="28" t="s">
        <v>1053</v>
      </c>
      <c r="X96" s="28" t="s">
        <v>1715</v>
      </c>
      <c r="Y96" s="28" t="s">
        <v>1716</v>
      </c>
      <c r="Z96" s="28" t="s">
        <v>1717</v>
      </c>
      <c r="AA96" s="28" t="s">
        <v>1718</v>
      </c>
      <c r="AB96" s="28" t="s">
        <v>1719</v>
      </c>
      <c r="AC96" s="28" t="s">
        <v>1720</v>
      </c>
    </row>
    <row r="97" spans="1:29" x14ac:dyDescent="0.2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8" t="s">
        <v>1060</v>
      </c>
      <c r="W97" s="28" t="s">
        <v>1053</v>
      </c>
      <c r="X97" s="28" t="s">
        <v>1715</v>
      </c>
      <c r="Y97" s="28" t="s">
        <v>1716</v>
      </c>
      <c r="Z97" s="28" t="s">
        <v>1717</v>
      </c>
      <c r="AA97" s="28" t="s">
        <v>1718</v>
      </c>
      <c r="AB97" s="28" t="s">
        <v>1719</v>
      </c>
      <c r="AC97" s="28" t="s">
        <v>1720</v>
      </c>
    </row>
    <row r="98" spans="1:29" x14ac:dyDescent="0.2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8" t="s">
        <v>1060</v>
      </c>
      <c r="W98" s="28" t="s">
        <v>1053</v>
      </c>
      <c r="X98" s="28" t="s">
        <v>1715</v>
      </c>
      <c r="Y98" s="28" t="s">
        <v>1716</v>
      </c>
      <c r="Z98" s="28" t="s">
        <v>1717</v>
      </c>
      <c r="AA98" s="28" t="s">
        <v>1718</v>
      </c>
      <c r="AB98" s="28" t="s">
        <v>1719</v>
      </c>
      <c r="AC98" s="28" t="s">
        <v>1720</v>
      </c>
    </row>
    <row r="99" spans="1:29" x14ac:dyDescent="0.2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8" t="s">
        <v>1060</v>
      </c>
      <c r="W99" s="28" t="s">
        <v>1053</v>
      </c>
      <c r="X99" s="28" t="s">
        <v>1715</v>
      </c>
      <c r="Y99" s="28" t="s">
        <v>1716</v>
      </c>
      <c r="Z99" s="28" t="s">
        <v>1717</v>
      </c>
      <c r="AA99" s="28" t="s">
        <v>1718</v>
      </c>
      <c r="AB99" s="28" t="s">
        <v>1719</v>
      </c>
      <c r="AC99" s="28" t="s">
        <v>1720</v>
      </c>
    </row>
    <row r="100" spans="1:29" x14ac:dyDescent="0.2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8" t="s">
        <v>1060</v>
      </c>
      <c r="W100" s="28" t="s">
        <v>1053</v>
      </c>
      <c r="X100" s="28" t="s">
        <v>1715</v>
      </c>
      <c r="Y100" s="28" t="s">
        <v>1716</v>
      </c>
      <c r="Z100" s="28" t="s">
        <v>1717</v>
      </c>
      <c r="AA100" s="28" t="s">
        <v>1718</v>
      </c>
      <c r="AB100" s="28" t="s">
        <v>1719</v>
      </c>
      <c r="AC100" s="28" t="s">
        <v>1720</v>
      </c>
    </row>
    <row r="101" spans="1:29" x14ac:dyDescent="0.2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8" t="s">
        <v>1060</v>
      </c>
      <c r="W101" s="28" t="s">
        <v>1053</v>
      </c>
      <c r="X101" s="28" t="s">
        <v>1715</v>
      </c>
      <c r="Y101" s="28" t="s">
        <v>1716</v>
      </c>
      <c r="Z101" s="28" t="s">
        <v>1717</v>
      </c>
      <c r="AA101" s="28" t="s">
        <v>1718</v>
      </c>
      <c r="AB101" s="28" t="s">
        <v>1719</v>
      </c>
      <c r="AC101" s="28" t="s">
        <v>1720</v>
      </c>
    </row>
    <row r="102" spans="1:29" x14ac:dyDescent="0.2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8" t="s">
        <v>1060</v>
      </c>
      <c r="W102" s="28" t="s">
        <v>1053</v>
      </c>
      <c r="X102" s="28" t="s">
        <v>1715</v>
      </c>
      <c r="Y102" s="28" t="s">
        <v>1716</v>
      </c>
      <c r="Z102" s="28" t="s">
        <v>1717</v>
      </c>
      <c r="AA102" s="28" t="s">
        <v>1718</v>
      </c>
      <c r="AB102" s="28" t="s">
        <v>1719</v>
      </c>
      <c r="AC102" s="28" t="s">
        <v>1720</v>
      </c>
    </row>
    <row r="103" spans="1:29" x14ac:dyDescent="0.2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8" t="s">
        <v>1060</v>
      </c>
      <c r="W103" s="28" t="s">
        <v>1053</v>
      </c>
      <c r="X103" s="28" t="s">
        <v>1715</v>
      </c>
      <c r="Y103" s="28" t="s">
        <v>1716</v>
      </c>
      <c r="Z103" s="28" t="s">
        <v>1717</v>
      </c>
      <c r="AA103" s="28" t="s">
        <v>1718</v>
      </c>
      <c r="AB103" s="28" t="s">
        <v>1719</v>
      </c>
      <c r="AC103" s="28" t="s">
        <v>1720</v>
      </c>
    </row>
    <row r="104" spans="1:29" x14ac:dyDescent="0.2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8" t="s">
        <v>1060</v>
      </c>
      <c r="W104" s="28" t="s">
        <v>1053</v>
      </c>
      <c r="X104" s="28" t="s">
        <v>1715</v>
      </c>
      <c r="Y104" s="28" t="s">
        <v>1716</v>
      </c>
      <c r="Z104" s="28" t="s">
        <v>1717</v>
      </c>
      <c r="AA104" s="28" t="s">
        <v>1718</v>
      </c>
      <c r="AB104" s="28" t="s">
        <v>1719</v>
      </c>
      <c r="AC104" s="28" t="s">
        <v>1720</v>
      </c>
    </row>
    <row r="105" spans="1:29" x14ac:dyDescent="0.2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8" t="s">
        <v>1060</v>
      </c>
      <c r="W105" s="28" t="s">
        <v>1053</v>
      </c>
      <c r="X105" s="28" t="s">
        <v>1715</v>
      </c>
      <c r="Y105" s="28" t="s">
        <v>1716</v>
      </c>
      <c r="Z105" s="28" t="s">
        <v>1717</v>
      </c>
      <c r="AA105" s="28" t="s">
        <v>1718</v>
      </c>
      <c r="AB105" s="28" t="s">
        <v>1719</v>
      </c>
      <c r="AC105" s="28" t="s">
        <v>1720</v>
      </c>
    </row>
    <row r="106" spans="1:29" x14ac:dyDescent="0.2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8" t="s">
        <v>1060</v>
      </c>
      <c r="W106" s="28" t="s">
        <v>1053</v>
      </c>
      <c r="X106" s="28" t="s">
        <v>1715</v>
      </c>
      <c r="Y106" s="28" t="s">
        <v>1716</v>
      </c>
      <c r="Z106" s="28" t="s">
        <v>1717</v>
      </c>
      <c r="AA106" s="28" t="s">
        <v>1718</v>
      </c>
      <c r="AB106" s="28" t="s">
        <v>1719</v>
      </c>
      <c r="AC106" s="28" t="s">
        <v>1720</v>
      </c>
    </row>
    <row r="107" spans="1:29" x14ac:dyDescent="0.2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8" t="s">
        <v>1060</v>
      </c>
      <c r="W107" s="28" t="s">
        <v>1053</v>
      </c>
      <c r="X107" s="28" t="s">
        <v>1715</v>
      </c>
      <c r="Y107" s="28" t="s">
        <v>1716</v>
      </c>
      <c r="Z107" s="28" t="s">
        <v>1717</v>
      </c>
      <c r="AA107" s="28" t="s">
        <v>1718</v>
      </c>
      <c r="AB107" s="28" t="s">
        <v>1719</v>
      </c>
      <c r="AC107" s="28" t="s">
        <v>1720</v>
      </c>
    </row>
    <row r="108" spans="1:29" x14ac:dyDescent="0.2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8" t="s">
        <v>1060</v>
      </c>
      <c r="W108" s="28" t="s">
        <v>1053</v>
      </c>
      <c r="X108" s="28" t="s">
        <v>1715</v>
      </c>
      <c r="Y108" s="28" t="s">
        <v>1716</v>
      </c>
      <c r="Z108" s="28" t="s">
        <v>1717</v>
      </c>
      <c r="AA108" s="28" t="s">
        <v>1718</v>
      </c>
      <c r="AB108" s="28" t="s">
        <v>1719</v>
      </c>
      <c r="AC108" s="28" t="s">
        <v>1720</v>
      </c>
    </row>
    <row r="109" spans="1:29" x14ac:dyDescent="0.2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8" t="s">
        <v>1060</v>
      </c>
      <c r="W109" s="28" t="s">
        <v>1053</v>
      </c>
      <c r="X109" s="28" t="s">
        <v>1715</v>
      </c>
      <c r="Y109" s="28" t="s">
        <v>1716</v>
      </c>
      <c r="Z109" s="28" t="s">
        <v>1717</v>
      </c>
      <c r="AA109" s="28" t="s">
        <v>1718</v>
      </c>
      <c r="AB109" s="28" t="s">
        <v>1719</v>
      </c>
      <c r="AC109" s="28" t="s">
        <v>1720</v>
      </c>
    </row>
    <row r="110" spans="1:29" x14ac:dyDescent="0.2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8" t="s">
        <v>1060</v>
      </c>
      <c r="W110" s="28" t="s">
        <v>1053</v>
      </c>
      <c r="X110" s="28" t="s">
        <v>1715</v>
      </c>
      <c r="Y110" s="28" t="s">
        <v>1716</v>
      </c>
      <c r="Z110" s="28" t="s">
        <v>1717</v>
      </c>
      <c r="AA110" s="28" t="s">
        <v>1718</v>
      </c>
      <c r="AB110" s="28" t="s">
        <v>1719</v>
      </c>
      <c r="AC110" s="28" t="s">
        <v>1720</v>
      </c>
    </row>
    <row r="111" spans="1:29" x14ac:dyDescent="0.2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8" t="s">
        <v>1060</v>
      </c>
      <c r="W111" s="28" t="s">
        <v>1053</v>
      </c>
      <c r="X111" s="28" t="s">
        <v>1715</v>
      </c>
      <c r="Y111" s="28" t="s">
        <v>1716</v>
      </c>
      <c r="Z111" s="28" t="s">
        <v>1717</v>
      </c>
      <c r="AA111" s="28" t="s">
        <v>1718</v>
      </c>
      <c r="AB111" s="28" t="s">
        <v>1719</v>
      </c>
      <c r="AC111" s="28" t="s">
        <v>1720</v>
      </c>
    </row>
    <row r="112" spans="1:29" x14ac:dyDescent="0.2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8" t="s">
        <v>1060</v>
      </c>
      <c r="W112" s="28" t="s">
        <v>1053</v>
      </c>
      <c r="X112" s="28" t="s">
        <v>1715</v>
      </c>
      <c r="Y112" s="28" t="s">
        <v>1716</v>
      </c>
      <c r="Z112" s="28" t="s">
        <v>1717</v>
      </c>
      <c r="AA112" s="28" t="s">
        <v>1718</v>
      </c>
      <c r="AB112" s="28" t="s">
        <v>1719</v>
      </c>
      <c r="AC112" s="28" t="s">
        <v>1720</v>
      </c>
    </row>
    <row r="113" spans="1:29" x14ac:dyDescent="0.2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8" t="s">
        <v>1060</v>
      </c>
      <c r="W113" s="28" t="s">
        <v>1053</v>
      </c>
      <c r="X113" s="28" t="s">
        <v>1715</v>
      </c>
      <c r="Y113" s="28" t="s">
        <v>1716</v>
      </c>
      <c r="Z113" s="28" t="s">
        <v>1717</v>
      </c>
      <c r="AA113" s="28" t="s">
        <v>1718</v>
      </c>
      <c r="AB113" s="28" t="s">
        <v>1719</v>
      </c>
      <c r="AC113" s="28" t="s">
        <v>1720</v>
      </c>
    </row>
    <row r="114" spans="1:29" x14ac:dyDescent="0.2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8" t="s">
        <v>1060</v>
      </c>
      <c r="W114" s="28" t="s">
        <v>1053</v>
      </c>
      <c r="X114" s="28" t="s">
        <v>1715</v>
      </c>
      <c r="Y114" s="28" t="s">
        <v>1716</v>
      </c>
      <c r="Z114" s="28" t="s">
        <v>1717</v>
      </c>
      <c r="AA114" s="28" t="s">
        <v>1718</v>
      </c>
      <c r="AB114" s="28" t="s">
        <v>1719</v>
      </c>
      <c r="AC114" s="28" t="s">
        <v>1720</v>
      </c>
    </row>
    <row r="115" spans="1:29" x14ac:dyDescent="0.2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8" t="s">
        <v>1060</v>
      </c>
      <c r="W115" s="28" t="s">
        <v>1053</v>
      </c>
      <c r="X115" s="28" t="s">
        <v>1715</v>
      </c>
      <c r="Y115" s="28" t="s">
        <v>1716</v>
      </c>
      <c r="Z115" s="28" t="s">
        <v>1717</v>
      </c>
      <c r="AA115" s="28" t="s">
        <v>1718</v>
      </c>
      <c r="AB115" s="28" t="s">
        <v>1719</v>
      </c>
      <c r="AC115" s="28" t="s">
        <v>1720</v>
      </c>
    </row>
    <row r="116" spans="1:29" x14ac:dyDescent="0.2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8" t="s">
        <v>1060</v>
      </c>
      <c r="W116" s="28" t="s">
        <v>1053</v>
      </c>
      <c r="X116" s="28" t="s">
        <v>1715</v>
      </c>
      <c r="Y116" s="28" t="s">
        <v>1716</v>
      </c>
      <c r="Z116" s="28" t="s">
        <v>1717</v>
      </c>
      <c r="AA116" s="28" t="s">
        <v>1718</v>
      </c>
      <c r="AB116" s="28" t="s">
        <v>1719</v>
      </c>
      <c r="AC116" s="28" t="s">
        <v>1720</v>
      </c>
    </row>
    <row r="117" spans="1:29" x14ac:dyDescent="0.2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8" t="s">
        <v>1060</v>
      </c>
      <c r="W117" s="28" t="s">
        <v>1053</v>
      </c>
      <c r="X117" s="28" t="s">
        <v>1715</v>
      </c>
      <c r="Y117" s="28" t="s">
        <v>1716</v>
      </c>
      <c r="Z117" s="28" t="s">
        <v>1717</v>
      </c>
      <c r="AA117" s="28" t="s">
        <v>1718</v>
      </c>
      <c r="AB117" s="28" t="s">
        <v>1719</v>
      </c>
      <c r="AC117" s="28" t="s">
        <v>1720</v>
      </c>
    </row>
    <row r="118" spans="1:29" x14ac:dyDescent="0.2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8" t="s">
        <v>1060</v>
      </c>
      <c r="W118" s="28" t="s">
        <v>1053</v>
      </c>
      <c r="X118" s="28" t="s">
        <v>1715</v>
      </c>
      <c r="Y118" s="28" t="s">
        <v>1716</v>
      </c>
      <c r="Z118" s="28" t="s">
        <v>1717</v>
      </c>
      <c r="AA118" s="28" t="s">
        <v>1718</v>
      </c>
      <c r="AB118" s="28" t="s">
        <v>1719</v>
      </c>
      <c r="AC118" s="28" t="s">
        <v>1720</v>
      </c>
    </row>
    <row r="119" spans="1:29" x14ac:dyDescent="0.2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8" t="s">
        <v>1060</v>
      </c>
      <c r="W119" s="28" t="s">
        <v>1053</v>
      </c>
      <c r="X119" s="28" t="s">
        <v>1715</v>
      </c>
      <c r="Y119" s="28" t="s">
        <v>1716</v>
      </c>
      <c r="Z119" s="28" t="s">
        <v>1717</v>
      </c>
      <c r="AA119" s="28" t="s">
        <v>1718</v>
      </c>
      <c r="AB119" s="28" t="s">
        <v>1719</v>
      </c>
      <c r="AC119" s="28" t="s">
        <v>1720</v>
      </c>
    </row>
    <row r="120" spans="1:29" x14ac:dyDescent="0.2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8" t="s">
        <v>1060</v>
      </c>
      <c r="W120" s="28" t="s">
        <v>1053</v>
      </c>
      <c r="X120" s="28" t="s">
        <v>1715</v>
      </c>
      <c r="Y120" s="28" t="s">
        <v>1716</v>
      </c>
      <c r="Z120" s="28" t="s">
        <v>1717</v>
      </c>
      <c r="AA120" s="28" t="s">
        <v>1718</v>
      </c>
      <c r="AB120" s="28" t="s">
        <v>1719</v>
      </c>
      <c r="AC120" s="28" t="s">
        <v>1720</v>
      </c>
    </row>
    <row r="121" spans="1:29" x14ac:dyDescent="0.2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8" t="s">
        <v>1060</v>
      </c>
      <c r="W121" s="28" t="s">
        <v>1053</v>
      </c>
      <c r="X121" s="28" t="s">
        <v>1715</v>
      </c>
      <c r="Y121" s="28" t="s">
        <v>1716</v>
      </c>
      <c r="Z121" s="28" t="s">
        <v>1717</v>
      </c>
      <c r="AA121" s="28" t="s">
        <v>1718</v>
      </c>
      <c r="AB121" s="28" t="s">
        <v>1719</v>
      </c>
      <c r="AC121" s="28" t="s">
        <v>1720</v>
      </c>
    </row>
    <row r="122" spans="1:29" x14ac:dyDescent="0.2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8" t="s">
        <v>1060</v>
      </c>
      <c r="W122" s="28" t="s">
        <v>1053</v>
      </c>
      <c r="X122" s="28" t="s">
        <v>1715</v>
      </c>
      <c r="Y122" s="28" t="s">
        <v>1716</v>
      </c>
      <c r="Z122" s="28" t="s">
        <v>1717</v>
      </c>
      <c r="AA122" s="28" t="s">
        <v>1718</v>
      </c>
      <c r="AB122" s="28" t="s">
        <v>1719</v>
      </c>
      <c r="AC122" s="28" t="s">
        <v>1720</v>
      </c>
    </row>
    <row r="123" spans="1:29" x14ac:dyDescent="0.2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8" t="s">
        <v>1060</v>
      </c>
      <c r="W123" s="28" t="s">
        <v>1053</v>
      </c>
      <c r="X123" s="28" t="s">
        <v>1715</v>
      </c>
      <c r="Y123" s="28" t="s">
        <v>1716</v>
      </c>
      <c r="Z123" s="28" t="s">
        <v>1717</v>
      </c>
      <c r="AA123" s="28" t="s">
        <v>1718</v>
      </c>
      <c r="AB123" s="28" t="s">
        <v>1719</v>
      </c>
      <c r="AC123" s="28" t="s">
        <v>1720</v>
      </c>
    </row>
    <row r="124" spans="1:29" x14ac:dyDescent="0.2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8" t="s">
        <v>1060</v>
      </c>
      <c r="W124" s="28" t="s">
        <v>1053</v>
      </c>
      <c r="X124" s="28" t="s">
        <v>1715</v>
      </c>
      <c r="Y124" s="28" t="s">
        <v>1716</v>
      </c>
      <c r="Z124" s="28" t="s">
        <v>1717</v>
      </c>
      <c r="AA124" s="28" t="s">
        <v>1718</v>
      </c>
      <c r="AB124" s="28" t="s">
        <v>1719</v>
      </c>
      <c r="AC124" s="28" t="s">
        <v>1720</v>
      </c>
    </row>
    <row r="125" spans="1:29" x14ac:dyDescent="0.2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8" t="s">
        <v>1060</v>
      </c>
      <c r="W125" s="28" t="s">
        <v>1053</v>
      </c>
      <c r="X125" s="28" t="s">
        <v>1715</v>
      </c>
      <c r="Y125" s="28" t="s">
        <v>1716</v>
      </c>
      <c r="Z125" s="28" t="s">
        <v>1717</v>
      </c>
      <c r="AA125" s="28" t="s">
        <v>1718</v>
      </c>
      <c r="AB125" s="28" t="s">
        <v>1719</v>
      </c>
      <c r="AC125" s="28" t="s">
        <v>1720</v>
      </c>
    </row>
    <row r="126" spans="1:29" x14ac:dyDescent="0.2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8" t="s">
        <v>1060</v>
      </c>
      <c r="W126" s="28" t="s">
        <v>1053</v>
      </c>
      <c r="X126" s="28" t="s">
        <v>1715</v>
      </c>
      <c r="Y126" s="28" t="s">
        <v>1716</v>
      </c>
      <c r="Z126" s="28" t="s">
        <v>1717</v>
      </c>
      <c r="AA126" s="28" t="s">
        <v>1718</v>
      </c>
      <c r="AB126" s="28" t="s">
        <v>1719</v>
      </c>
      <c r="AC126" s="28" t="s">
        <v>1720</v>
      </c>
    </row>
    <row r="127" spans="1:29" x14ac:dyDescent="0.2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8" t="s">
        <v>1060</v>
      </c>
      <c r="W127" s="28" t="s">
        <v>1053</v>
      </c>
      <c r="X127" s="28" t="s">
        <v>1715</v>
      </c>
      <c r="Y127" s="28" t="s">
        <v>1716</v>
      </c>
      <c r="Z127" s="28" t="s">
        <v>1717</v>
      </c>
      <c r="AA127" s="28" t="s">
        <v>1718</v>
      </c>
      <c r="AB127" s="28" t="s">
        <v>1719</v>
      </c>
      <c r="AC127" s="28" t="s">
        <v>1720</v>
      </c>
    </row>
    <row r="128" spans="1:29" x14ac:dyDescent="0.2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8" t="s">
        <v>1060</v>
      </c>
      <c r="W128" s="28" t="s">
        <v>1053</v>
      </c>
      <c r="X128" s="28" t="s">
        <v>1715</v>
      </c>
      <c r="Y128" s="28" t="s">
        <v>1716</v>
      </c>
      <c r="Z128" s="28" t="s">
        <v>1717</v>
      </c>
      <c r="AA128" s="28" t="s">
        <v>1718</v>
      </c>
      <c r="AB128" s="28" t="s">
        <v>1719</v>
      </c>
      <c r="AC128" s="28" t="s">
        <v>1720</v>
      </c>
    </row>
    <row r="129" spans="1:29" x14ac:dyDescent="0.2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8" t="s">
        <v>1060</v>
      </c>
      <c r="W129" s="28" t="s">
        <v>1053</v>
      </c>
      <c r="X129" s="28" t="s">
        <v>1715</v>
      </c>
      <c r="Y129" s="28" t="s">
        <v>1716</v>
      </c>
      <c r="Z129" s="28" t="s">
        <v>1717</v>
      </c>
      <c r="AA129" s="28" t="s">
        <v>1718</v>
      </c>
      <c r="AB129" s="28" t="s">
        <v>1719</v>
      </c>
      <c r="AC129" s="28" t="s">
        <v>1720</v>
      </c>
    </row>
    <row r="130" spans="1:29" x14ac:dyDescent="0.2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8" t="s">
        <v>1060</v>
      </c>
      <c r="W130" s="28" t="s">
        <v>1053</v>
      </c>
      <c r="X130" s="28" t="s">
        <v>1715</v>
      </c>
      <c r="Y130" s="28" t="s">
        <v>1716</v>
      </c>
      <c r="Z130" s="28" t="s">
        <v>1717</v>
      </c>
      <c r="AA130" s="28" t="s">
        <v>1718</v>
      </c>
      <c r="AB130" s="28" t="s">
        <v>1719</v>
      </c>
      <c r="AC130" s="28" t="s">
        <v>1720</v>
      </c>
    </row>
    <row r="131" spans="1:29" x14ac:dyDescent="0.2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8" t="s">
        <v>1060</v>
      </c>
      <c r="W131" s="28" t="s">
        <v>1053</v>
      </c>
      <c r="X131" s="28" t="s">
        <v>1715</v>
      </c>
      <c r="Y131" s="28" t="s">
        <v>1716</v>
      </c>
      <c r="Z131" s="28" t="s">
        <v>1717</v>
      </c>
      <c r="AA131" s="28" t="s">
        <v>1718</v>
      </c>
      <c r="AB131" s="28" t="s">
        <v>1719</v>
      </c>
      <c r="AC131" s="28" t="s">
        <v>1720</v>
      </c>
    </row>
    <row r="132" spans="1:29" x14ac:dyDescent="0.2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8" t="s">
        <v>1060</v>
      </c>
      <c r="W132" s="28" t="s">
        <v>1053</v>
      </c>
      <c r="X132" s="28" t="s">
        <v>1715</v>
      </c>
      <c r="Y132" s="28" t="s">
        <v>1716</v>
      </c>
      <c r="Z132" s="28" t="s">
        <v>1717</v>
      </c>
      <c r="AA132" s="28" t="s">
        <v>1718</v>
      </c>
      <c r="AB132" s="28" t="s">
        <v>1719</v>
      </c>
      <c r="AC132" s="28" t="s">
        <v>1720</v>
      </c>
    </row>
    <row r="133" spans="1:29" x14ac:dyDescent="0.2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8" t="s">
        <v>1060</v>
      </c>
      <c r="W133" s="28" t="s">
        <v>1053</v>
      </c>
      <c r="X133" s="28" t="s">
        <v>1715</v>
      </c>
      <c r="Y133" s="28" t="s">
        <v>1716</v>
      </c>
      <c r="Z133" s="28" t="s">
        <v>1717</v>
      </c>
      <c r="AA133" s="28" t="s">
        <v>1718</v>
      </c>
      <c r="AB133" s="28" t="s">
        <v>1719</v>
      </c>
      <c r="AC133" s="28" t="s">
        <v>1720</v>
      </c>
    </row>
    <row r="134" spans="1:29" x14ac:dyDescent="0.2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8" t="s">
        <v>1060</v>
      </c>
      <c r="W134" s="28" t="s">
        <v>1053</v>
      </c>
      <c r="X134" s="28" t="s">
        <v>1715</v>
      </c>
      <c r="Y134" s="28" t="s">
        <v>1716</v>
      </c>
      <c r="Z134" s="28" t="s">
        <v>1717</v>
      </c>
      <c r="AA134" s="28" t="s">
        <v>1718</v>
      </c>
      <c r="AB134" s="28" t="s">
        <v>1719</v>
      </c>
      <c r="AC134" s="28" t="s">
        <v>1720</v>
      </c>
    </row>
    <row r="135" spans="1:29" x14ac:dyDescent="0.2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8" t="s">
        <v>1060</v>
      </c>
      <c r="W135" s="28" t="s">
        <v>1053</v>
      </c>
      <c r="X135" s="28" t="s">
        <v>1715</v>
      </c>
      <c r="Y135" s="28" t="s">
        <v>1716</v>
      </c>
      <c r="Z135" s="28" t="s">
        <v>1717</v>
      </c>
      <c r="AA135" s="28" t="s">
        <v>1718</v>
      </c>
      <c r="AB135" s="28" t="s">
        <v>1719</v>
      </c>
      <c r="AC135" s="28" t="s">
        <v>1720</v>
      </c>
    </row>
    <row r="136" spans="1:29" x14ac:dyDescent="0.2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8" t="s">
        <v>1060</v>
      </c>
      <c r="W136" s="28" t="s">
        <v>1053</v>
      </c>
      <c r="X136" s="28" t="s">
        <v>1715</v>
      </c>
      <c r="Y136" s="28" t="s">
        <v>1716</v>
      </c>
      <c r="Z136" s="28" t="s">
        <v>1717</v>
      </c>
      <c r="AA136" s="28" t="s">
        <v>1718</v>
      </c>
      <c r="AB136" s="28" t="s">
        <v>1719</v>
      </c>
      <c r="AC136" s="28" t="s">
        <v>1720</v>
      </c>
    </row>
    <row r="137" spans="1:29" x14ac:dyDescent="0.2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8" t="s">
        <v>1060</v>
      </c>
      <c r="W137" s="28" t="s">
        <v>1053</v>
      </c>
      <c r="X137" s="28" t="s">
        <v>1715</v>
      </c>
      <c r="Y137" s="28" t="s">
        <v>1716</v>
      </c>
      <c r="Z137" s="28" t="s">
        <v>1717</v>
      </c>
      <c r="AA137" s="28" t="s">
        <v>1718</v>
      </c>
      <c r="AB137" s="28" t="s">
        <v>1719</v>
      </c>
      <c r="AC137" s="28" t="s">
        <v>1720</v>
      </c>
    </row>
    <row r="138" spans="1:29" x14ac:dyDescent="0.2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8" t="s">
        <v>1060</v>
      </c>
      <c r="W138" s="28" t="s">
        <v>1053</v>
      </c>
      <c r="X138" s="28" t="s">
        <v>1715</v>
      </c>
      <c r="Y138" s="28" t="s">
        <v>1716</v>
      </c>
      <c r="Z138" s="28" t="s">
        <v>1717</v>
      </c>
      <c r="AA138" s="28" t="s">
        <v>1718</v>
      </c>
      <c r="AB138" s="28" t="s">
        <v>1719</v>
      </c>
      <c r="AC138" s="28" t="s">
        <v>1720</v>
      </c>
    </row>
    <row r="139" spans="1:29" x14ac:dyDescent="0.2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8" t="s">
        <v>1060</v>
      </c>
      <c r="W139" s="28" t="s">
        <v>1053</v>
      </c>
      <c r="X139" s="28" t="s">
        <v>1715</v>
      </c>
      <c r="Y139" s="28" t="s">
        <v>1716</v>
      </c>
      <c r="Z139" s="28" t="s">
        <v>1717</v>
      </c>
      <c r="AA139" s="28" t="s">
        <v>1718</v>
      </c>
      <c r="AB139" s="28" t="s">
        <v>1719</v>
      </c>
      <c r="AC139" s="28" t="s">
        <v>1720</v>
      </c>
    </row>
    <row r="140" spans="1:29" x14ac:dyDescent="0.2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8" t="s">
        <v>1060</v>
      </c>
      <c r="W140" s="28" t="s">
        <v>1053</v>
      </c>
      <c r="X140" s="28" t="s">
        <v>1715</v>
      </c>
      <c r="Y140" s="28" t="s">
        <v>1716</v>
      </c>
      <c r="Z140" s="28" t="s">
        <v>1717</v>
      </c>
      <c r="AA140" s="28" t="s">
        <v>1718</v>
      </c>
      <c r="AB140" s="28" t="s">
        <v>1719</v>
      </c>
      <c r="AC140" s="28" t="s">
        <v>1720</v>
      </c>
    </row>
    <row r="141" spans="1:29" x14ac:dyDescent="0.2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8" t="s">
        <v>1060</v>
      </c>
      <c r="W141" s="28" t="s">
        <v>1053</v>
      </c>
      <c r="X141" s="28" t="s">
        <v>1715</v>
      </c>
      <c r="Y141" s="28" t="s">
        <v>1716</v>
      </c>
      <c r="Z141" s="28" t="s">
        <v>1717</v>
      </c>
      <c r="AA141" s="28" t="s">
        <v>1718</v>
      </c>
      <c r="AB141" s="28" t="s">
        <v>1719</v>
      </c>
      <c r="AC141" s="28" t="s">
        <v>1720</v>
      </c>
    </row>
    <row r="142" spans="1:29" x14ac:dyDescent="0.2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8" t="s">
        <v>1060</v>
      </c>
      <c r="W142" s="28" t="s">
        <v>1053</v>
      </c>
      <c r="X142" s="28" t="s">
        <v>1715</v>
      </c>
      <c r="Y142" s="28" t="s">
        <v>1716</v>
      </c>
      <c r="Z142" s="28" t="s">
        <v>1717</v>
      </c>
      <c r="AA142" s="28" t="s">
        <v>1718</v>
      </c>
      <c r="AB142" s="28" t="s">
        <v>1719</v>
      </c>
      <c r="AC142" s="28" t="s">
        <v>1720</v>
      </c>
    </row>
    <row r="143" spans="1:29" x14ac:dyDescent="0.2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8" t="s">
        <v>1060</v>
      </c>
      <c r="W143" s="28" t="s">
        <v>1053</v>
      </c>
      <c r="X143" s="28" t="s">
        <v>1715</v>
      </c>
      <c r="Y143" s="28" t="s">
        <v>1716</v>
      </c>
      <c r="Z143" s="28" t="s">
        <v>1717</v>
      </c>
      <c r="AA143" s="28" t="s">
        <v>1718</v>
      </c>
      <c r="AB143" s="28" t="s">
        <v>1719</v>
      </c>
      <c r="AC143" s="28" t="s">
        <v>1720</v>
      </c>
    </row>
    <row r="144" spans="1:29" x14ac:dyDescent="0.2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8" t="s">
        <v>1060</v>
      </c>
      <c r="W144" s="28" t="s">
        <v>1053</v>
      </c>
      <c r="X144" s="28" t="s">
        <v>1715</v>
      </c>
      <c r="Y144" s="28" t="s">
        <v>1716</v>
      </c>
      <c r="Z144" s="28" t="s">
        <v>1717</v>
      </c>
      <c r="AA144" s="28" t="s">
        <v>1718</v>
      </c>
      <c r="AB144" s="28" t="s">
        <v>1719</v>
      </c>
      <c r="AC144" s="28" t="s">
        <v>1720</v>
      </c>
    </row>
    <row r="145" spans="1:29" x14ac:dyDescent="0.2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8" t="s">
        <v>1060</v>
      </c>
      <c r="W145" s="28" t="s">
        <v>1053</v>
      </c>
      <c r="X145" s="28" t="s">
        <v>1715</v>
      </c>
      <c r="Y145" s="28" t="s">
        <v>1716</v>
      </c>
      <c r="Z145" s="28" t="s">
        <v>1717</v>
      </c>
      <c r="AA145" s="28" t="s">
        <v>1718</v>
      </c>
      <c r="AB145" s="28" t="s">
        <v>1719</v>
      </c>
      <c r="AC145" s="28" t="s">
        <v>1720</v>
      </c>
    </row>
    <row r="146" spans="1:29" x14ac:dyDescent="0.2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8" t="s">
        <v>1060</v>
      </c>
      <c r="W146" s="28" t="s">
        <v>1053</v>
      </c>
      <c r="X146" s="28" t="s">
        <v>1715</v>
      </c>
      <c r="Y146" s="28" t="s">
        <v>1716</v>
      </c>
      <c r="Z146" s="28" t="s">
        <v>1717</v>
      </c>
      <c r="AA146" s="28" t="s">
        <v>1718</v>
      </c>
      <c r="AB146" s="28" t="s">
        <v>1719</v>
      </c>
      <c r="AC146" s="28" t="s">
        <v>1720</v>
      </c>
    </row>
    <row r="147" spans="1:29" x14ac:dyDescent="0.2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8" t="s">
        <v>1060</v>
      </c>
      <c r="W147" s="28" t="s">
        <v>1053</v>
      </c>
      <c r="X147" s="28" t="s">
        <v>1715</v>
      </c>
      <c r="Y147" s="28" t="s">
        <v>1716</v>
      </c>
      <c r="Z147" s="28" t="s">
        <v>1717</v>
      </c>
      <c r="AA147" s="28" t="s">
        <v>1718</v>
      </c>
      <c r="AB147" s="28" t="s">
        <v>1719</v>
      </c>
      <c r="AC147" s="28" t="s">
        <v>1720</v>
      </c>
    </row>
    <row r="148" spans="1:29" x14ac:dyDescent="0.2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8" t="s">
        <v>1060</v>
      </c>
      <c r="W148" s="28" t="s">
        <v>1053</v>
      </c>
      <c r="X148" s="28" t="s">
        <v>1715</v>
      </c>
      <c r="Y148" s="28" t="s">
        <v>1716</v>
      </c>
      <c r="Z148" s="28" t="s">
        <v>1717</v>
      </c>
      <c r="AA148" s="28" t="s">
        <v>1718</v>
      </c>
      <c r="AB148" s="28" t="s">
        <v>1719</v>
      </c>
      <c r="AC148" s="28" t="s">
        <v>1720</v>
      </c>
    </row>
    <row r="149" spans="1:29" x14ac:dyDescent="0.2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8" t="s">
        <v>1060</v>
      </c>
      <c r="W149" s="28" t="s">
        <v>1053</v>
      </c>
      <c r="X149" s="28" t="s">
        <v>1715</v>
      </c>
      <c r="Y149" s="28" t="s">
        <v>1716</v>
      </c>
      <c r="Z149" s="28" t="s">
        <v>1717</v>
      </c>
      <c r="AA149" s="28" t="s">
        <v>1718</v>
      </c>
      <c r="AB149" s="28" t="s">
        <v>1719</v>
      </c>
      <c r="AC149" s="28" t="s">
        <v>1720</v>
      </c>
    </row>
    <row r="150" spans="1:29" x14ac:dyDescent="0.2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8" t="s">
        <v>1060</v>
      </c>
      <c r="W150" s="28" t="s">
        <v>1053</v>
      </c>
      <c r="X150" s="28" t="s">
        <v>1715</v>
      </c>
      <c r="Y150" s="28" t="s">
        <v>1716</v>
      </c>
      <c r="Z150" s="28" t="s">
        <v>1717</v>
      </c>
      <c r="AA150" s="28" t="s">
        <v>1718</v>
      </c>
      <c r="AB150" s="28" t="s">
        <v>1719</v>
      </c>
      <c r="AC150" s="28" t="s">
        <v>1720</v>
      </c>
    </row>
    <row r="151" spans="1:29" x14ac:dyDescent="0.2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8" t="s">
        <v>1060</v>
      </c>
      <c r="W151" s="28" t="s">
        <v>1053</v>
      </c>
      <c r="X151" s="28" t="s">
        <v>1715</v>
      </c>
      <c r="Y151" s="28" t="s">
        <v>1716</v>
      </c>
      <c r="Z151" s="28" t="s">
        <v>1717</v>
      </c>
      <c r="AA151" s="28" t="s">
        <v>1718</v>
      </c>
      <c r="AB151" s="28" t="s">
        <v>1719</v>
      </c>
      <c r="AC151" s="28" t="s">
        <v>1720</v>
      </c>
    </row>
    <row r="152" spans="1:29" x14ac:dyDescent="0.2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8" t="s">
        <v>1060</v>
      </c>
      <c r="W152" s="28" t="s">
        <v>1053</v>
      </c>
      <c r="X152" s="28" t="s">
        <v>1715</v>
      </c>
      <c r="Y152" s="28" t="s">
        <v>1716</v>
      </c>
      <c r="Z152" s="28" t="s">
        <v>1717</v>
      </c>
      <c r="AA152" s="28" t="s">
        <v>1718</v>
      </c>
      <c r="AB152" s="28" t="s">
        <v>1719</v>
      </c>
      <c r="AC152" s="28" t="s">
        <v>1720</v>
      </c>
    </row>
    <row r="153" spans="1:29" x14ac:dyDescent="0.2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8" t="s">
        <v>1060</v>
      </c>
      <c r="W153" s="28" t="s">
        <v>1053</v>
      </c>
      <c r="X153" s="28" t="s">
        <v>1715</v>
      </c>
      <c r="Y153" s="28" t="s">
        <v>1716</v>
      </c>
      <c r="Z153" s="28" t="s">
        <v>1717</v>
      </c>
      <c r="AA153" s="28" t="s">
        <v>1718</v>
      </c>
      <c r="AB153" s="28" t="s">
        <v>1719</v>
      </c>
      <c r="AC153" s="28" t="s">
        <v>1720</v>
      </c>
    </row>
    <row r="154" spans="1:29" x14ac:dyDescent="0.2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8" t="s">
        <v>1060</v>
      </c>
      <c r="W154" s="28" t="s">
        <v>1053</v>
      </c>
      <c r="X154" s="28" t="s">
        <v>1715</v>
      </c>
      <c r="Y154" s="28" t="s">
        <v>1716</v>
      </c>
      <c r="Z154" s="28" t="s">
        <v>1717</v>
      </c>
      <c r="AA154" s="28" t="s">
        <v>1718</v>
      </c>
      <c r="AB154" s="28" t="s">
        <v>1719</v>
      </c>
      <c r="AC154" s="28" t="s">
        <v>1720</v>
      </c>
    </row>
    <row r="155" spans="1:29" x14ac:dyDescent="0.2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8" t="s">
        <v>1060</v>
      </c>
      <c r="W155" s="28" t="s">
        <v>1053</v>
      </c>
      <c r="X155" s="28" t="s">
        <v>1715</v>
      </c>
      <c r="Y155" s="28" t="s">
        <v>1716</v>
      </c>
      <c r="Z155" s="28" t="s">
        <v>1717</v>
      </c>
      <c r="AA155" s="28" t="s">
        <v>1718</v>
      </c>
      <c r="AB155" s="28" t="s">
        <v>1719</v>
      </c>
      <c r="AC155" s="28" t="s">
        <v>1720</v>
      </c>
    </row>
    <row r="156" spans="1:29" x14ac:dyDescent="0.2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8" t="s">
        <v>1060</v>
      </c>
      <c r="W156" s="28" t="s">
        <v>1053</v>
      </c>
      <c r="X156" s="28" t="s">
        <v>1715</v>
      </c>
      <c r="Y156" s="28" t="s">
        <v>1716</v>
      </c>
      <c r="Z156" s="28" t="s">
        <v>1717</v>
      </c>
      <c r="AA156" s="28" t="s">
        <v>1718</v>
      </c>
      <c r="AB156" s="28" t="s">
        <v>1719</v>
      </c>
      <c r="AC156" s="28" t="s">
        <v>1720</v>
      </c>
    </row>
    <row r="157" spans="1:29" x14ac:dyDescent="0.2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8" t="s">
        <v>1060</v>
      </c>
      <c r="W157" s="28" t="s">
        <v>1053</v>
      </c>
      <c r="X157" s="28" t="s">
        <v>1715</v>
      </c>
      <c r="Y157" s="28" t="s">
        <v>1716</v>
      </c>
      <c r="Z157" s="28" t="s">
        <v>1717</v>
      </c>
      <c r="AA157" s="28" t="s">
        <v>1718</v>
      </c>
      <c r="AB157" s="28" t="s">
        <v>1719</v>
      </c>
      <c r="AC157" s="28" t="s">
        <v>1720</v>
      </c>
    </row>
    <row r="158" spans="1:29" x14ac:dyDescent="0.2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8" t="s">
        <v>1060</v>
      </c>
      <c r="W158" s="28" t="s">
        <v>1053</v>
      </c>
      <c r="X158" s="28" t="s">
        <v>1715</v>
      </c>
      <c r="Y158" s="28" t="s">
        <v>1716</v>
      </c>
      <c r="Z158" s="28" t="s">
        <v>1717</v>
      </c>
      <c r="AA158" s="28" t="s">
        <v>1718</v>
      </c>
      <c r="AB158" s="28" t="s">
        <v>1719</v>
      </c>
      <c r="AC158" s="28" t="s">
        <v>1720</v>
      </c>
    </row>
    <row r="159" spans="1:29" x14ac:dyDescent="0.2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8" t="s">
        <v>1060</v>
      </c>
      <c r="W159" s="28" t="s">
        <v>1053</v>
      </c>
      <c r="X159" s="28" t="s">
        <v>1715</v>
      </c>
      <c r="Y159" s="28" t="s">
        <v>1716</v>
      </c>
      <c r="Z159" s="28" t="s">
        <v>1717</v>
      </c>
      <c r="AA159" s="28" t="s">
        <v>1718</v>
      </c>
      <c r="AB159" s="28" t="s">
        <v>1719</v>
      </c>
      <c r="AC159" s="28" t="s">
        <v>1720</v>
      </c>
    </row>
    <row r="160" spans="1:29" x14ac:dyDescent="0.2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8" t="s">
        <v>1060</v>
      </c>
      <c r="W160" s="28" t="s">
        <v>1053</v>
      </c>
      <c r="X160" s="28" t="s">
        <v>1715</v>
      </c>
      <c r="Y160" s="28" t="s">
        <v>1716</v>
      </c>
      <c r="Z160" s="28" t="s">
        <v>1717</v>
      </c>
      <c r="AA160" s="28" t="s">
        <v>1718</v>
      </c>
      <c r="AB160" s="28" t="s">
        <v>1719</v>
      </c>
      <c r="AC160" s="28" t="s">
        <v>1720</v>
      </c>
    </row>
    <row r="161" spans="1:29" x14ac:dyDescent="0.2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8" t="s">
        <v>1060</v>
      </c>
      <c r="W161" s="28" t="s">
        <v>1053</v>
      </c>
      <c r="X161" s="28" t="s">
        <v>1715</v>
      </c>
      <c r="Y161" s="28" t="s">
        <v>1716</v>
      </c>
      <c r="Z161" s="28" t="s">
        <v>1717</v>
      </c>
      <c r="AA161" s="28" t="s">
        <v>1718</v>
      </c>
      <c r="AB161" s="28" t="s">
        <v>1719</v>
      </c>
      <c r="AC161" s="28" t="s">
        <v>1720</v>
      </c>
    </row>
    <row r="162" spans="1:29" x14ac:dyDescent="0.2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8" t="s">
        <v>1060</v>
      </c>
      <c r="W162" s="28" t="s">
        <v>1053</v>
      </c>
      <c r="X162" s="28" t="s">
        <v>1715</v>
      </c>
      <c r="Y162" s="28" t="s">
        <v>1716</v>
      </c>
      <c r="Z162" s="28" t="s">
        <v>1717</v>
      </c>
      <c r="AA162" s="28" t="s">
        <v>1718</v>
      </c>
      <c r="AB162" s="28" t="s">
        <v>1719</v>
      </c>
      <c r="AC162" s="28" t="s">
        <v>1720</v>
      </c>
    </row>
    <row r="163" spans="1:29" x14ac:dyDescent="0.2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8" t="s">
        <v>1060</v>
      </c>
      <c r="W163" s="28" t="s">
        <v>1053</v>
      </c>
      <c r="X163" s="28" t="s">
        <v>1715</v>
      </c>
      <c r="Y163" s="28" t="s">
        <v>1716</v>
      </c>
      <c r="Z163" s="28" t="s">
        <v>1717</v>
      </c>
      <c r="AA163" s="28" t="s">
        <v>1718</v>
      </c>
      <c r="AB163" s="28" t="s">
        <v>1719</v>
      </c>
      <c r="AC163" s="28" t="s">
        <v>1720</v>
      </c>
    </row>
    <row r="164" spans="1:29" x14ac:dyDescent="0.2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8" t="s">
        <v>1060</v>
      </c>
      <c r="W164" s="28" t="s">
        <v>1053</v>
      </c>
      <c r="X164" s="28" t="s">
        <v>1715</v>
      </c>
      <c r="Y164" s="28" t="s">
        <v>1716</v>
      </c>
      <c r="Z164" s="28" t="s">
        <v>1717</v>
      </c>
      <c r="AA164" s="28" t="s">
        <v>1718</v>
      </c>
      <c r="AB164" s="28" t="s">
        <v>1719</v>
      </c>
      <c r="AC164" s="28" t="s">
        <v>1720</v>
      </c>
    </row>
    <row r="165" spans="1:29" x14ac:dyDescent="0.2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8" t="s">
        <v>1060</v>
      </c>
      <c r="W165" s="28" t="s">
        <v>1053</v>
      </c>
      <c r="X165" s="28" t="s">
        <v>1715</v>
      </c>
      <c r="Y165" s="28" t="s">
        <v>1716</v>
      </c>
      <c r="Z165" s="28" t="s">
        <v>1717</v>
      </c>
      <c r="AA165" s="28" t="s">
        <v>1718</v>
      </c>
      <c r="AB165" s="28" t="s">
        <v>1719</v>
      </c>
      <c r="AC165" s="28" t="s">
        <v>1720</v>
      </c>
    </row>
    <row r="166" spans="1:29" x14ac:dyDescent="0.2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8" t="s">
        <v>1060</v>
      </c>
      <c r="W166" s="28" t="s">
        <v>1053</v>
      </c>
      <c r="X166" s="28" t="s">
        <v>1715</v>
      </c>
      <c r="Y166" s="28" t="s">
        <v>1716</v>
      </c>
      <c r="Z166" s="28" t="s">
        <v>1717</v>
      </c>
      <c r="AA166" s="28" t="s">
        <v>1718</v>
      </c>
      <c r="AB166" s="28" t="s">
        <v>1719</v>
      </c>
      <c r="AC166" s="28" t="s">
        <v>1720</v>
      </c>
    </row>
    <row r="167" spans="1:29" x14ac:dyDescent="0.2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8" t="s">
        <v>1060</v>
      </c>
      <c r="W167" s="28" t="s">
        <v>1053</v>
      </c>
      <c r="X167" s="28" t="s">
        <v>1715</v>
      </c>
      <c r="Y167" s="28" t="s">
        <v>1716</v>
      </c>
      <c r="Z167" s="28" t="s">
        <v>1717</v>
      </c>
      <c r="AA167" s="28" t="s">
        <v>1718</v>
      </c>
      <c r="AB167" s="28" t="s">
        <v>1719</v>
      </c>
      <c r="AC167" s="28" t="s">
        <v>1720</v>
      </c>
    </row>
    <row r="168" spans="1:29" x14ac:dyDescent="0.2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8" t="s">
        <v>1060</v>
      </c>
      <c r="W168" s="28" t="s">
        <v>1053</v>
      </c>
      <c r="X168" s="28" t="s">
        <v>1715</v>
      </c>
      <c r="Y168" s="28" t="s">
        <v>1716</v>
      </c>
      <c r="Z168" s="28" t="s">
        <v>1717</v>
      </c>
      <c r="AA168" s="28" t="s">
        <v>1718</v>
      </c>
      <c r="AB168" s="28" t="s">
        <v>1719</v>
      </c>
      <c r="AC168" s="28" t="s">
        <v>1720</v>
      </c>
    </row>
    <row r="169" spans="1:29" x14ac:dyDescent="0.2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8" t="s">
        <v>1060</v>
      </c>
      <c r="W169" s="28" t="s">
        <v>1053</v>
      </c>
      <c r="X169" s="28" t="s">
        <v>1715</v>
      </c>
      <c r="Y169" s="28" t="s">
        <v>1716</v>
      </c>
      <c r="Z169" s="28" t="s">
        <v>1717</v>
      </c>
      <c r="AA169" s="28" t="s">
        <v>1718</v>
      </c>
      <c r="AB169" s="28" t="s">
        <v>1719</v>
      </c>
      <c r="AC169" s="28" t="s">
        <v>1720</v>
      </c>
    </row>
    <row r="170" spans="1:29" x14ac:dyDescent="0.2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8" t="s">
        <v>1060</v>
      </c>
      <c r="W170" s="28" t="s">
        <v>1053</v>
      </c>
      <c r="X170" s="28" t="s">
        <v>1715</v>
      </c>
      <c r="Y170" s="28" t="s">
        <v>1716</v>
      </c>
      <c r="Z170" s="28" t="s">
        <v>1717</v>
      </c>
      <c r="AA170" s="28" t="s">
        <v>1718</v>
      </c>
      <c r="AB170" s="28" t="s">
        <v>1719</v>
      </c>
      <c r="AC170" s="28" t="s">
        <v>1720</v>
      </c>
    </row>
    <row r="171" spans="1:29" x14ac:dyDescent="0.2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8" t="s">
        <v>1060</v>
      </c>
      <c r="W171" s="28" t="s">
        <v>1053</v>
      </c>
      <c r="X171" s="28" t="s">
        <v>1715</v>
      </c>
      <c r="Y171" s="28" t="s">
        <v>1716</v>
      </c>
      <c r="Z171" s="28" t="s">
        <v>1717</v>
      </c>
      <c r="AA171" s="28" t="s">
        <v>1718</v>
      </c>
      <c r="AB171" s="28" t="s">
        <v>1719</v>
      </c>
      <c r="AC171" s="28" t="s">
        <v>1720</v>
      </c>
    </row>
    <row r="172" spans="1:29" x14ac:dyDescent="0.2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8" t="s">
        <v>1060</v>
      </c>
      <c r="W172" s="28" t="s">
        <v>1053</v>
      </c>
      <c r="X172" s="28" t="s">
        <v>1715</v>
      </c>
      <c r="Y172" s="28" t="s">
        <v>1716</v>
      </c>
      <c r="Z172" s="28" t="s">
        <v>1717</v>
      </c>
      <c r="AA172" s="28" t="s">
        <v>1718</v>
      </c>
      <c r="AB172" s="28" t="s">
        <v>1719</v>
      </c>
      <c r="AC172" s="28" t="s">
        <v>1720</v>
      </c>
    </row>
    <row r="173" spans="1:29" x14ac:dyDescent="0.2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8" t="s">
        <v>1060</v>
      </c>
      <c r="W173" s="28" t="s">
        <v>1053</v>
      </c>
      <c r="X173" s="28" t="s">
        <v>1715</v>
      </c>
      <c r="Y173" s="28" t="s">
        <v>1716</v>
      </c>
      <c r="Z173" s="28" t="s">
        <v>1717</v>
      </c>
      <c r="AA173" s="28" t="s">
        <v>1718</v>
      </c>
      <c r="AB173" s="28" t="s">
        <v>1719</v>
      </c>
      <c r="AC173" s="28" t="s">
        <v>1720</v>
      </c>
    </row>
    <row r="174" spans="1:29" x14ac:dyDescent="0.2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8" t="s">
        <v>1060</v>
      </c>
      <c r="W174" s="28" t="s">
        <v>1053</v>
      </c>
      <c r="X174" s="28" t="s">
        <v>1715</v>
      </c>
      <c r="Y174" s="28" t="s">
        <v>1716</v>
      </c>
      <c r="Z174" s="28" t="s">
        <v>1717</v>
      </c>
      <c r="AA174" s="28" t="s">
        <v>1718</v>
      </c>
      <c r="AB174" s="28" t="s">
        <v>1719</v>
      </c>
      <c r="AC174" s="28" t="s">
        <v>1720</v>
      </c>
    </row>
    <row r="175" spans="1:29" x14ac:dyDescent="0.2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8" t="s">
        <v>1060</v>
      </c>
      <c r="W175" s="28" t="s">
        <v>1053</v>
      </c>
      <c r="X175" s="28" t="s">
        <v>1715</v>
      </c>
      <c r="Y175" s="28" t="s">
        <v>1716</v>
      </c>
      <c r="Z175" s="28" t="s">
        <v>1717</v>
      </c>
      <c r="AA175" s="28" t="s">
        <v>1718</v>
      </c>
      <c r="AB175" s="28" t="s">
        <v>1719</v>
      </c>
      <c r="AC175" s="28" t="s">
        <v>1720</v>
      </c>
    </row>
    <row r="176" spans="1:29" x14ac:dyDescent="0.2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8" t="s">
        <v>1060</v>
      </c>
      <c r="W176" s="28" t="s">
        <v>1053</v>
      </c>
      <c r="X176" s="28" t="s">
        <v>1715</v>
      </c>
      <c r="Y176" s="28" t="s">
        <v>1716</v>
      </c>
      <c r="Z176" s="28" t="s">
        <v>1717</v>
      </c>
      <c r="AA176" s="28" t="s">
        <v>1718</v>
      </c>
      <c r="AB176" s="28" t="s">
        <v>1719</v>
      </c>
      <c r="AC176" s="28" t="s">
        <v>1720</v>
      </c>
    </row>
    <row r="177" spans="1:29" x14ac:dyDescent="0.2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8" t="s">
        <v>1060</v>
      </c>
      <c r="W177" s="28" t="s">
        <v>1053</v>
      </c>
      <c r="X177" s="28" t="s">
        <v>1715</v>
      </c>
      <c r="Y177" s="28" t="s">
        <v>1716</v>
      </c>
      <c r="Z177" s="28" t="s">
        <v>1717</v>
      </c>
      <c r="AA177" s="28" t="s">
        <v>1718</v>
      </c>
      <c r="AB177" s="28" t="s">
        <v>1719</v>
      </c>
      <c r="AC177" s="28" t="s">
        <v>1720</v>
      </c>
    </row>
    <row r="178" spans="1:29" x14ac:dyDescent="0.2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8" t="s">
        <v>1060</v>
      </c>
      <c r="W178" s="28" t="s">
        <v>1053</v>
      </c>
      <c r="X178" s="28" t="s">
        <v>1715</v>
      </c>
      <c r="Y178" s="28" t="s">
        <v>1716</v>
      </c>
      <c r="Z178" s="28" t="s">
        <v>1717</v>
      </c>
      <c r="AA178" s="28" t="s">
        <v>1718</v>
      </c>
      <c r="AB178" s="28" t="s">
        <v>1719</v>
      </c>
      <c r="AC178" s="28" t="s">
        <v>1720</v>
      </c>
    </row>
    <row r="179" spans="1:29" x14ac:dyDescent="0.2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8" t="s">
        <v>1060</v>
      </c>
      <c r="W179" s="28" t="s">
        <v>1053</v>
      </c>
      <c r="X179" s="28" t="s">
        <v>1715</v>
      </c>
      <c r="Y179" s="28" t="s">
        <v>1716</v>
      </c>
      <c r="Z179" s="28" t="s">
        <v>1717</v>
      </c>
      <c r="AA179" s="28" t="s">
        <v>1718</v>
      </c>
      <c r="AB179" s="28" t="s">
        <v>1719</v>
      </c>
      <c r="AC179" s="28" t="s">
        <v>1720</v>
      </c>
    </row>
    <row r="180" spans="1:29" x14ac:dyDescent="0.2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8" t="s">
        <v>1060</v>
      </c>
      <c r="W180" s="28" t="s">
        <v>1053</v>
      </c>
      <c r="X180" s="28" t="s">
        <v>1715</v>
      </c>
      <c r="Y180" s="28" t="s">
        <v>1716</v>
      </c>
      <c r="Z180" s="28" t="s">
        <v>1717</v>
      </c>
      <c r="AA180" s="28" t="s">
        <v>1718</v>
      </c>
      <c r="AB180" s="28" t="s">
        <v>1719</v>
      </c>
      <c r="AC180" s="28" t="s">
        <v>1720</v>
      </c>
    </row>
    <row r="181" spans="1:29" x14ac:dyDescent="0.2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8" t="s">
        <v>1060</v>
      </c>
      <c r="W181" s="28" t="s">
        <v>1053</v>
      </c>
      <c r="X181" s="28" t="s">
        <v>1715</v>
      </c>
      <c r="Y181" s="28" t="s">
        <v>1716</v>
      </c>
      <c r="Z181" s="28" t="s">
        <v>1717</v>
      </c>
      <c r="AA181" s="28" t="s">
        <v>1718</v>
      </c>
      <c r="AB181" s="28" t="s">
        <v>1719</v>
      </c>
      <c r="AC181" s="28" t="s">
        <v>1720</v>
      </c>
    </row>
    <row r="182" spans="1:29" x14ac:dyDescent="0.2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8" t="s">
        <v>1060</v>
      </c>
      <c r="W182" s="28" t="s">
        <v>1053</v>
      </c>
      <c r="X182" s="28" t="s">
        <v>1715</v>
      </c>
      <c r="Y182" s="28" t="s">
        <v>1716</v>
      </c>
      <c r="Z182" s="28" t="s">
        <v>1717</v>
      </c>
      <c r="AA182" s="28" t="s">
        <v>1718</v>
      </c>
      <c r="AB182" s="28" t="s">
        <v>1719</v>
      </c>
      <c r="AC182" s="28" t="s">
        <v>1720</v>
      </c>
    </row>
    <row r="183" spans="1:29" x14ac:dyDescent="0.2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8" t="s">
        <v>1060</v>
      </c>
      <c r="W183" s="28" t="s">
        <v>1053</v>
      </c>
      <c r="X183" s="28" t="s">
        <v>1715</v>
      </c>
      <c r="Y183" s="28" t="s">
        <v>1716</v>
      </c>
      <c r="Z183" s="28" t="s">
        <v>1717</v>
      </c>
      <c r="AA183" s="28" t="s">
        <v>1718</v>
      </c>
      <c r="AB183" s="28" t="s">
        <v>1719</v>
      </c>
      <c r="AC183" s="28" t="s">
        <v>1720</v>
      </c>
    </row>
    <row r="184" spans="1:29" x14ac:dyDescent="0.2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8" t="s">
        <v>1060</v>
      </c>
      <c r="W184" s="28" t="s">
        <v>1053</v>
      </c>
      <c r="X184" s="28" t="s">
        <v>1715</v>
      </c>
      <c r="Y184" s="28" t="s">
        <v>1716</v>
      </c>
      <c r="Z184" s="28" t="s">
        <v>1717</v>
      </c>
      <c r="AA184" s="28" t="s">
        <v>1718</v>
      </c>
      <c r="AB184" s="28" t="s">
        <v>1719</v>
      </c>
      <c r="AC184" s="28" t="s">
        <v>1720</v>
      </c>
    </row>
    <row r="185" spans="1:29" x14ac:dyDescent="0.2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8" t="s">
        <v>1060</v>
      </c>
      <c r="W185" s="28" t="s">
        <v>1053</v>
      </c>
      <c r="X185" s="28" t="s">
        <v>1715</v>
      </c>
      <c r="Y185" s="28" t="s">
        <v>1716</v>
      </c>
      <c r="Z185" s="28" t="s">
        <v>1717</v>
      </c>
      <c r="AA185" s="28" t="s">
        <v>1718</v>
      </c>
      <c r="AB185" s="28" t="s">
        <v>1719</v>
      </c>
      <c r="AC185" s="28" t="s">
        <v>1720</v>
      </c>
    </row>
    <row r="186" spans="1:29" x14ac:dyDescent="0.2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8" t="s">
        <v>1060</v>
      </c>
      <c r="W186" s="28" t="s">
        <v>1053</v>
      </c>
      <c r="X186" s="28" t="s">
        <v>1715</v>
      </c>
      <c r="Y186" s="28" t="s">
        <v>1716</v>
      </c>
      <c r="Z186" s="28" t="s">
        <v>1717</v>
      </c>
      <c r="AA186" s="28" t="s">
        <v>1718</v>
      </c>
      <c r="AB186" s="28" t="s">
        <v>1719</v>
      </c>
      <c r="AC186" s="28" t="s">
        <v>1720</v>
      </c>
    </row>
    <row r="187" spans="1:29" x14ac:dyDescent="0.2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8" t="s">
        <v>1060</v>
      </c>
      <c r="W187" s="28" t="s">
        <v>1053</v>
      </c>
      <c r="X187" s="28" t="s">
        <v>1715</v>
      </c>
      <c r="Y187" s="28" t="s">
        <v>1716</v>
      </c>
      <c r="Z187" s="28" t="s">
        <v>1717</v>
      </c>
      <c r="AA187" s="28" t="s">
        <v>1718</v>
      </c>
      <c r="AB187" s="28" t="s">
        <v>1719</v>
      </c>
      <c r="AC187" s="28" t="s">
        <v>1720</v>
      </c>
    </row>
    <row r="188" spans="1:29" x14ac:dyDescent="0.2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8" t="s">
        <v>1060</v>
      </c>
      <c r="W188" s="28" t="s">
        <v>1053</v>
      </c>
      <c r="X188" s="28" t="s">
        <v>1715</v>
      </c>
      <c r="Y188" s="28" t="s">
        <v>1716</v>
      </c>
      <c r="Z188" s="28" t="s">
        <v>1717</v>
      </c>
      <c r="AA188" s="28" t="s">
        <v>1718</v>
      </c>
      <c r="AB188" s="28" t="s">
        <v>1719</v>
      </c>
      <c r="AC188" s="28" t="s">
        <v>1720</v>
      </c>
    </row>
    <row r="189" spans="1:29" x14ac:dyDescent="0.2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8" t="s">
        <v>1060</v>
      </c>
      <c r="W189" s="28" t="s">
        <v>1053</v>
      </c>
      <c r="X189" s="28" t="s">
        <v>1715</v>
      </c>
      <c r="Y189" s="28" t="s">
        <v>1716</v>
      </c>
      <c r="Z189" s="28" t="s">
        <v>1717</v>
      </c>
      <c r="AA189" s="28" t="s">
        <v>1718</v>
      </c>
      <c r="AB189" s="28" t="s">
        <v>1719</v>
      </c>
      <c r="AC189" s="28" t="s">
        <v>1720</v>
      </c>
    </row>
    <row r="190" spans="1:29" x14ac:dyDescent="0.2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8" t="s">
        <v>1060</v>
      </c>
      <c r="W190" s="28" t="s">
        <v>1053</v>
      </c>
      <c r="X190" s="28" t="s">
        <v>1715</v>
      </c>
      <c r="Y190" s="28" t="s">
        <v>1716</v>
      </c>
      <c r="Z190" s="28" t="s">
        <v>1717</v>
      </c>
      <c r="AA190" s="28" t="s">
        <v>1718</v>
      </c>
      <c r="AB190" s="28" t="s">
        <v>1719</v>
      </c>
      <c r="AC190" s="28" t="s">
        <v>1720</v>
      </c>
    </row>
    <row r="191" spans="1:29" x14ac:dyDescent="0.2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8" t="s">
        <v>1060</v>
      </c>
      <c r="W191" s="28" t="s">
        <v>1053</v>
      </c>
      <c r="X191" s="28" t="s">
        <v>1715</v>
      </c>
      <c r="Y191" s="28" t="s">
        <v>1716</v>
      </c>
      <c r="Z191" s="28" t="s">
        <v>1717</v>
      </c>
      <c r="AA191" s="28" t="s">
        <v>1718</v>
      </c>
      <c r="AB191" s="28" t="s">
        <v>1719</v>
      </c>
      <c r="AC191" s="28" t="s">
        <v>1720</v>
      </c>
    </row>
    <row r="192" spans="1:29" x14ac:dyDescent="0.2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8" t="s">
        <v>1060</v>
      </c>
      <c r="W192" s="28" t="s">
        <v>1053</v>
      </c>
      <c r="X192" s="28" t="s">
        <v>1715</v>
      </c>
      <c r="Y192" s="28" t="s">
        <v>1716</v>
      </c>
      <c r="Z192" s="28" t="s">
        <v>1717</v>
      </c>
      <c r="AA192" s="28" t="s">
        <v>1718</v>
      </c>
      <c r="AB192" s="28" t="s">
        <v>1719</v>
      </c>
      <c r="AC192" s="28" t="s">
        <v>1720</v>
      </c>
    </row>
    <row r="193" spans="1:29" x14ac:dyDescent="0.2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8" t="s">
        <v>1060</v>
      </c>
      <c r="W193" s="28" t="s">
        <v>1053</v>
      </c>
      <c r="X193" s="28" t="s">
        <v>1715</v>
      </c>
      <c r="Y193" s="28" t="s">
        <v>1716</v>
      </c>
      <c r="Z193" s="28" t="s">
        <v>1717</v>
      </c>
      <c r="AA193" s="28" t="s">
        <v>1718</v>
      </c>
      <c r="AB193" s="28" t="s">
        <v>1719</v>
      </c>
      <c r="AC193" s="28" t="s">
        <v>1720</v>
      </c>
    </row>
    <row r="194" spans="1:29" x14ac:dyDescent="0.2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8" t="s">
        <v>1060</v>
      </c>
      <c r="W194" s="28" t="s">
        <v>1053</v>
      </c>
      <c r="X194" s="28" t="s">
        <v>1715</v>
      </c>
      <c r="Y194" s="28" t="s">
        <v>1716</v>
      </c>
      <c r="Z194" s="28" t="s">
        <v>1717</v>
      </c>
      <c r="AA194" s="28" t="s">
        <v>1718</v>
      </c>
      <c r="AB194" s="28" t="s">
        <v>1719</v>
      </c>
      <c r="AC194" s="28" t="s">
        <v>1720</v>
      </c>
    </row>
    <row r="195" spans="1:29" x14ac:dyDescent="0.2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8" t="s">
        <v>1060</v>
      </c>
      <c r="W195" s="28" t="s">
        <v>1053</v>
      </c>
      <c r="X195" s="28" t="s">
        <v>1715</v>
      </c>
      <c r="Y195" s="28" t="s">
        <v>1716</v>
      </c>
      <c r="Z195" s="28" t="s">
        <v>1717</v>
      </c>
      <c r="AA195" s="28" t="s">
        <v>1718</v>
      </c>
      <c r="AB195" s="28" t="s">
        <v>1719</v>
      </c>
      <c r="AC195" s="28" t="s">
        <v>1720</v>
      </c>
    </row>
    <row r="196" spans="1:29" x14ac:dyDescent="0.2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8" t="s">
        <v>1060</v>
      </c>
      <c r="W196" s="28" t="s">
        <v>1053</v>
      </c>
      <c r="X196" s="28" t="s">
        <v>1715</v>
      </c>
      <c r="Y196" s="28" t="s">
        <v>1716</v>
      </c>
      <c r="Z196" s="28" t="s">
        <v>1717</v>
      </c>
      <c r="AA196" s="28" t="s">
        <v>1718</v>
      </c>
      <c r="AB196" s="28" t="s">
        <v>1719</v>
      </c>
      <c r="AC196" s="28" t="s">
        <v>1720</v>
      </c>
    </row>
    <row r="197" spans="1:29" x14ac:dyDescent="0.2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8" t="s">
        <v>1060</v>
      </c>
      <c r="W197" s="28" t="s">
        <v>1053</v>
      </c>
      <c r="X197" s="28" t="s">
        <v>1715</v>
      </c>
      <c r="Y197" s="28" t="s">
        <v>1716</v>
      </c>
      <c r="Z197" s="28" t="s">
        <v>1717</v>
      </c>
      <c r="AA197" s="28" t="s">
        <v>1718</v>
      </c>
      <c r="AB197" s="28" t="s">
        <v>1719</v>
      </c>
      <c r="AC197" s="28" t="s">
        <v>1720</v>
      </c>
    </row>
    <row r="198" spans="1:29" x14ac:dyDescent="0.2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8" t="s">
        <v>1060</v>
      </c>
      <c r="W198" s="28" t="s">
        <v>1053</v>
      </c>
      <c r="X198" s="28" t="s">
        <v>1715</v>
      </c>
      <c r="Y198" s="28" t="s">
        <v>1716</v>
      </c>
      <c r="Z198" s="28" t="s">
        <v>1717</v>
      </c>
      <c r="AA198" s="28" t="s">
        <v>1718</v>
      </c>
      <c r="AB198" s="28" t="s">
        <v>1719</v>
      </c>
      <c r="AC198" s="28" t="s">
        <v>1720</v>
      </c>
    </row>
    <row r="199" spans="1:29" x14ac:dyDescent="0.2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8" t="s">
        <v>1060</v>
      </c>
      <c r="W199" s="28" t="s">
        <v>1053</v>
      </c>
      <c r="X199" s="28" t="s">
        <v>1715</v>
      </c>
      <c r="Y199" s="28" t="s">
        <v>1716</v>
      </c>
      <c r="Z199" s="28" t="s">
        <v>1717</v>
      </c>
      <c r="AA199" s="28" t="s">
        <v>1718</v>
      </c>
      <c r="AB199" s="28" t="s">
        <v>1719</v>
      </c>
      <c r="AC199" s="28" t="s">
        <v>1720</v>
      </c>
    </row>
    <row r="200" spans="1:29" x14ac:dyDescent="0.2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8" t="s">
        <v>1060</v>
      </c>
      <c r="W200" s="28" t="s">
        <v>1053</v>
      </c>
      <c r="X200" s="28" t="s">
        <v>1715</v>
      </c>
      <c r="Y200" s="28" t="s">
        <v>1716</v>
      </c>
      <c r="Z200" s="28" t="s">
        <v>1717</v>
      </c>
      <c r="AA200" s="28" t="s">
        <v>1718</v>
      </c>
      <c r="AB200" s="28" t="s">
        <v>1719</v>
      </c>
      <c r="AC200" s="28" t="s">
        <v>1720</v>
      </c>
    </row>
    <row r="201" spans="1:29" x14ac:dyDescent="0.2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8" t="s">
        <v>1060</v>
      </c>
      <c r="W201" s="28" t="s">
        <v>1053</v>
      </c>
      <c r="X201" s="28" t="s">
        <v>1715</v>
      </c>
      <c r="Y201" s="28" t="s">
        <v>1716</v>
      </c>
      <c r="Z201" s="28" t="s">
        <v>1717</v>
      </c>
      <c r="AA201" s="28" t="s">
        <v>1718</v>
      </c>
      <c r="AB201" s="28" t="s">
        <v>1719</v>
      </c>
      <c r="AC201" s="28" t="s">
        <v>1720</v>
      </c>
    </row>
    <row r="202" spans="1:29" x14ac:dyDescent="0.2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8" t="s">
        <v>1060</v>
      </c>
      <c r="W202" s="28" t="s">
        <v>1053</v>
      </c>
      <c r="X202" s="28" t="s">
        <v>1715</v>
      </c>
      <c r="Y202" s="28" t="s">
        <v>1716</v>
      </c>
      <c r="Z202" s="28" t="s">
        <v>1717</v>
      </c>
      <c r="AA202" s="28" t="s">
        <v>1718</v>
      </c>
      <c r="AB202" s="28" t="s">
        <v>1719</v>
      </c>
      <c r="AC202" s="28" t="s">
        <v>1720</v>
      </c>
    </row>
    <row r="203" spans="1:29" x14ac:dyDescent="0.2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8" t="s">
        <v>1060</v>
      </c>
      <c r="W203" s="28" t="s">
        <v>1053</v>
      </c>
      <c r="X203" s="28" t="s">
        <v>1715</v>
      </c>
      <c r="Y203" s="28" t="s">
        <v>1716</v>
      </c>
      <c r="Z203" s="28" t="s">
        <v>1717</v>
      </c>
      <c r="AA203" s="28" t="s">
        <v>1718</v>
      </c>
      <c r="AB203" s="28" t="s">
        <v>1719</v>
      </c>
      <c r="AC203" s="28" t="s">
        <v>1720</v>
      </c>
    </row>
    <row r="204" spans="1:29" x14ac:dyDescent="0.2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8" t="s">
        <v>1060</v>
      </c>
      <c r="W204" s="28" t="s">
        <v>1053</v>
      </c>
      <c r="X204" s="28" t="s">
        <v>1715</v>
      </c>
      <c r="Y204" s="28" t="s">
        <v>1716</v>
      </c>
      <c r="Z204" s="28" t="s">
        <v>1717</v>
      </c>
      <c r="AA204" s="28" t="s">
        <v>1718</v>
      </c>
      <c r="AB204" s="28" t="s">
        <v>1719</v>
      </c>
      <c r="AC204" s="28" t="s">
        <v>1720</v>
      </c>
    </row>
    <row r="205" spans="1:29" x14ac:dyDescent="0.2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8" t="s">
        <v>1060</v>
      </c>
      <c r="W205" s="28" t="s">
        <v>1053</v>
      </c>
      <c r="X205" s="28" t="s">
        <v>1715</v>
      </c>
      <c r="Y205" s="28" t="s">
        <v>1716</v>
      </c>
      <c r="Z205" s="28" t="s">
        <v>1717</v>
      </c>
      <c r="AA205" s="28" t="s">
        <v>1718</v>
      </c>
      <c r="AB205" s="28" t="s">
        <v>1719</v>
      </c>
      <c r="AC205" s="28" t="s">
        <v>1720</v>
      </c>
    </row>
    <row r="206" spans="1:29" x14ac:dyDescent="0.2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8" t="s">
        <v>1060</v>
      </c>
      <c r="W206" s="28" t="s">
        <v>1053</v>
      </c>
      <c r="X206" s="28" t="s">
        <v>1715</v>
      </c>
      <c r="Y206" s="28" t="s">
        <v>1716</v>
      </c>
      <c r="Z206" s="28" t="s">
        <v>1717</v>
      </c>
      <c r="AA206" s="28" t="s">
        <v>1718</v>
      </c>
      <c r="AB206" s="28" t="s">
        <v>1719</v>
      </c>
      <c r="AC206" s="28" t="s">
        <v>1720</v>
      </c>
    </row>
    <row r="207" spans="1:29" x14ac:dyDescent="0.2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8" t="s">
        <v>1060</v>
      </c>
      <c r="W207" s="28" t="s">
        <v>1053</v>
      </c>
      <c r="X207" s="28" t="s">
        <v>1715</v>
      </c>
      <c r="Y207" s="28" t="s">
        <v>1716</v>
      </c>
      <c r="Z207" s="28" t="s">
        <v>1717</v>
      </c>
      <c r="AA207" s="28" t="s">
        <v>1718</v>
      </c>
      <c r="AB207" s="28" t="s">
        <v>1719</v>
      </c>
      <c r="AC207" s="28" t="s">
        <v>1720</v>
      </c>
    </row>
    <row r="208" spans="1:29" x14ac:dyDescent="0.2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8" t="s">
        <v>1060</v>
      </c>
      <c r="W208" s="28" t="s">
        <v>1053</v>
      </c>
      <c r="X208" s="28" t="s">
        <v>1715</v>
      </c>
      <c r="Y208" s="28" t="s">
        <v>1716</v>
      </c>
      <c r="Z208" s="28" t="s">
        <v>1717</v>
      </c>
      <c r="AA208" s="28" t="s">
        <v>1718</v>
      </c>
      <c r="AB208" s="28" t="s">
        <v>1719</v>
      </c>
      <c r="AC208" s="28" t="s">
        <v>1720</v>
      </c>
    </row>
    <row r="209" spans="1:29" x14ac:dyDescent="0.2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8" t="s">
        <v>1060</v>
      </c>
      <c r="W209" s="28" t="s">
        <v>1053</v>
      </c>
      <c r="X209" s="28" t="s">
        <v>1715</v>
      </c>
      <c r="Y209" s="28" t="s">
        <v>1716</v>
      </c>
      <c r="Z209" s="28" t="s">
        <v>1721</v>
      </c>
      <c r="AA209" s="28" t="s">
        <v>1722</v>
      </c>
      <c r="AB209" s="28" t="s">
        <v>1723</v>
      </c>
      <c r="AC209" s="28" t="s">
        <v>1724</v>
      </c>
    </row>
    <row r="210" spans="1:29" x14ac:dyDescent="0.2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8" t="s">
        <v>1060</v>
      </c>
      <c r="W210" s="28" t="s">
        <v>1053</v>
      </c>
      <c r="X210" s="28" t="s">
        <v>1715</v>
      </c>
      <c r="Y210" s="28" t="s">
        <v>1716</v>
      </c>
      <c r="Z210" s="28" t="s">
        <v>1721</v>
      </c>
      <c r="AA210" s="28" t="s">
        <v>1722</v>
      </c>
      <c r="AB210" s="28" t="s">
        <v>1723</v>
      </c>
      <c r="AC210" s="28" t="s">
        <v>1724</v>
      </c>
    </row>
    <row r="211" spans="1:29" x14ac:dyDescent="0.2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8" t="s">
        <v>1060</v>
      </c>
      <c r="W211" s="28" t="s">
        <v>1053</v>
      </c>
      <c r="X211" s="28" t="s">
        <v>1715</v>
      </c>
      <c r="Y211" s="28" t="s">
        <v>1716</v>
      </c>
      <c r="Z211" s="28" t="s">
        <v>1721</v>
      </c>
      <c r="AA211" s="28" t="s">
        <v>1722</v>
      </c>
      <c r="AB211" s="28" t="s">
        <v>1723</v>
      </c>
      <c r="AC211" s="28" t="s">
        <v>1724</v>
      </c>
    </row>
    <row r="212" spans="1:29" x14ac:dyDescent="0.2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8" t="s">
        <v>1060</v>
      </c>
      <c r="W212" s="28" t="s">
        <v>1053</v>
      </c>
      <c r="X212" s="28" t="s">
        <v>1715</v>
      </c>
      <c r="Y212" s="28" t="s">
        <v>1716</v>
      </c>
      <c r="Z212" s="28" t="s">
        <v>1721</v>
      </c>
      <c r="AA212" s="28" t="s">
        <v>1722</v>
      </c>
      <c r="AB212" s="28" t="s">
        <v>1723</v>
      </c>
      <c r="AC212" s="28" t="s">
        <v>1724</v>
      </c>
    </row>
    <row r="213" spans="1:29" x14ac:dyDescent="0.2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8" t="s">
        <v>1060</v>
      </c>
      <c r="W213" s="28" t="s">
        <v>1053</v>
      </c>
      <c r="X213" s="28" t="s">
        <v>1715</v>
      </c>
      <c r="Y213" s="28" t="s">
        <v>1716</v>
      </c>
      <c r="Z213" s="28" t="s">
        <v>1721</v>
      </c>
      <c r="AA213" s="28" t="s">
        <v>1722</v>
      </c>
      <c r="AB213" s="28" t="s">
        <v>1723</v>
      </c>
      <c r="AC213" s="28" t="s">
        <v>1724</v>
      </c>
    </row>
    <row r="214" spans="1:29" x14ac:dyDescent="0.2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8" t="s">
        <v>1060</v>
      </c>
      <c r="W214" s="28" t="s">
        <v>1053</v>
      </c>
      <c r="X214" s="28" t="s">
        <v>1715</v>
      </c>
      <c r="Y214" s="28" t="s">
        <v>1716</v>
      </c>
      <c r="Z214" s="28" t="s">
        <v>1721</v>
      </c>
      <c r="AA214" s="28" t="s">
        <v>1722</v>
      </c>
      <c r="AB214" s="28" t="s">
        <v>1723</v>
      </c>
      <c r="AC214" s="28" t="s">
        <v>1724</v>
      </c>
    </row>
    <row r="215" spans="1:29" x14ac:dyDescent="0.2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8" t="s">
        <v>1060</v>
      </c>
      <c r="W215" s="28" t="s">
        <v>1053</v>
      </c>
      <c r="X215" s="28" t="s">
        <v>1715</v>
      </c>
      <c r="Y215" s="28" t="s">
        <v>1716</v>
      </c>
      <c r="Z215" s="28" t="s">
        <v>1721</v>
      </c>
      <c r="AA215" s="28" t="s">
        <v>1722</v>
      </c>
      <c r="AB215" s="28" t="s">
        <v>1723</v>
      </c>
      <c r="AC215" s="28" t="s">
        <v>1724</v>
      </c>
    </row>
    <row r="216" spans="1:29" x14ac:dyDescent="0.2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8" t="s">
        <v>1060</v>
      </c>
      <c r="W216" s="28" t="s">
        <v>1053</v>
      </c>
      <c r="X216" s="28" t="s">
        <v>1715</v>
      </c>
      <c r="Y216" s="28" t="s">
        <v>1716</v>
      </c>
      <c r="Z216" s="28" t="s">
        <v>1721</v>
      </c>
      <c r="AA216" s="28" t="s">
        <v>1722</v>
      </c>
      <c r="AB216" s="28" t="s">
        <v>1723</v>
      </c>
      <c r="AC216" s="28" t="s">
        <v>1724</v>
      </c>
    </row>
    <row r="217" spans="1:29" x14ac:dyDescent="0.2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8" t="s">
        <v>1060</v>
      </c>
      <c r="W217" s="28" t="s">
        <v>1053</v>
      </c>
      <c r="X217" s="28" t="s">
        <v>1715</v>
      </c>
      <c r="Y217" s="28" t="s">
        <v>1716</v>
      </c>
      <c r="Z217" s="28" t="s">
        <v>1721</v>
      </c>
      <c r="AA217" s="28" t="s">
        <v>1722</v>
      </c>
      <c r="AB217" s="28" t="s">
        <v>1723</v>
      </c>
      <c r="AC217" s="28" t="s">
        <v>1724</v>
      </c>
    </row>
    <row r="218" spans="1:29" x14ac:dyDescent="0.2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8" t="s">
        <v>1060</v>
      </c>
      <c r="W218" s="28" t="s">
        <v>1053</v>
      </c>
      <c r="X218" s="28" t="s">
        <v>1715</v>
      </c>
      <c r="Y218" s="28" t="s">
        <v>1716</v>
      </c>
      <c r="Z218" s="28" t="s">
        <v>1721</v>
      </c>
      <c r="AA218" s="28" t="s">
        <v>1722</v>
      </c>
      <c r="AB218" s="28" t="s">
        <v>1723</v>
      </c>
      <c r="AC218" s="28" t="s">
        <v>1724</v>
      </c>
    </row>
    <row r="219" spans="1:29" x14ac:dyDescent="0.2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8" t="s">
        <v>1060</v>
      </c>
      <c r="W219" s="28" t="s">
        <v>1053</v>
      </c>
      <c r="X219" s="28" t="s">
        <v>1715</v>
      </c>
      <c r="Y219" s="28" t="s">
        <v>1716</v>
      </c>
      <c r="Z219" s="28" t="s">
        <v>1721</v>
      </c>
      <c r="AA219" s="28" t="s">
        <v>1722</v>
      </c>
      <c r="AB219" s="28" t="s">
        <v>1723</v>
      </c>
      <c r="AC219" s="28" t="s">
        <v>1724</v>
      </c>
    </row>
    <row r="220" spans="1:29" x14ac:dyDescent="0.2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8" t="s">
        <v>1060</v>
      </c>
      <c r="W220" s="28" t="s">
        <v>1053</v>
      </c>
      <c r="X220" s="28" t="s">
        <v>1715</v>
      </c>
      <c r="Y220" s="28" t="s">
        <v>1716</v>
      </c>
      <c r="Z220" s="28" t="s">
        <v>1721</v>
      </c>
      <c r="AA220" s="28" t="s">
        <v>1722</v>
      </c>
      <c r="AB220" s="28" t="s">
        <v>1723</v>
      </c>
      <c r="AC220" s="28" t="s">
        <v>1724</v>
      </c>
    </row>
    <row r="221" spans="1:29" x14ac:dyDescent="0.2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8" t="s">
        <v>1060</v>
      </c>
      <c r="W221" s="28" t="s">
        <v>1053</v>
      </c>
      <c r="X221" s="28" t="s">
        <v>1715</v>
      </c>
      <c r="Y221" s="28" t="s">
        <v>1716</v>
      </c>
      <c r="Z221" s="28" t="s">
        <v>1721</v>
      </c>
      <c r="AA221" s="28" t="s">
        <v>1722</v>
      </c>
      <c r="AB221" s="28" t="s">
        <v>1723</v>
      </c>
      <c r="AC221" s="28" t="s">
        <v>1724</v>
      </c>
    </row>
    <row r="222" spans="1:29" x14ac:dyDescent="0.2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8" t="s">
        <v>1060</v>
      </c>
      <c r="W222" s="28" t="s">
        <v>1053</v>
      </c>
      <c r="X222" s="28" t="s">
        <v>1715</v>
      </c>
      <c r="Y222" s="28" t="s">
        <v>1716</v>
      </c>
      <c r="Z222" s="28" t="s">
        <v>1721</v>
      </c>
      <c r="AA222" s="28" t="s">
        <v>1722</v>
      </c>
      <c r="AB222" s="28" t="s">
        <v>1723</v>
      </c>
      <c r="AC222" s="28" t="s">
        <v>1724</v>
      </c>
    </row>
    <row r="223" spans="1:29" x14ac:dyDescent="0.2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8" t="s">
        <v>1060</v>
      </c>
      <c r="W223" s="28" t="s">
        <v>1053</v>
      </c>
      <c r="X223" s="28" t="s">
        <v>1715</v>
      </c>
      <c r="Y223" s="28" t="s">
        <v>1716</v>
      </c>
      <c r="Z223" s="28" t="s">
        <v>1721</v>
      </c>
      <c r="AA223" s="28" t="s">
        <v>1722</v>
      </c>
      <c r="AB223" s="28" t="s">
        <v>1723</v>
      </c>
      <c r="AC223" s="28" t="s">
        <v>1724</v>
      </c>
    </row>
    <row r="224" spans="1:29" x14ac:dyDescent="0.2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8" t="s">
        <v>1060</v>
      </c>
      <c r="W224" s="28" t="s">
        <v>1053</v>
      </c>
      <c r="X224" s="28" t="s">
        <v>1715</v>
      </c>
      <c r="Y224" s="28" t="s">
        <v>1716</v>
      </c>
      <c r="Z224" s="28" t="s">
        <v>1721</v>
      </c>
      <c r="AA224" s="28" t="s">
        <v>1722</v>
      </c>
      <c r="AB224" s="28" t="s">
        <v>1723</v>
      </c>
      <c r="AC224" s="28" t="s">
        <v>1724</v>
      </c>
    </row>
    <row r="225" spans="1:29" x14ac:dyDescent="0.2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8" t="s">
        <v>1060</v>
      </c>
      <c r="W225" s="28" t="s">
        <v>1053</v>
      </c>
      <c r="X225" s="28" t="s">
        <v>1715</v>
      </c>
      <c r="Y225" s="28" t="s">
        <v>1716</v>
      </c>
      <c r="Z225" s="28" t="s">
        <v>1721</v>
      </c>
      <c r="AA225" s="28" t="s">
        <v>1722</v>
      </c>
      <c r="AB225" s="28" t="s">
        <v>1723</v>
      </c>
      <c r="AC225" s="28" t="s">
        <v>1724</v>
      </c>
    </row>
    <row r="226" spans="1:29" x14ac:dyDescent="0.2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8" t="s">
        <v>1060</v>
      </c>
      <c r="W226" s="28" t="s">
        <v>1053</v>
      </c>
      <c r="X226" s="28" t="s">
        <v>1715</v>
      </c>
      <c r="Y226" s="28" t="s">
        <v>1716</v>
      </c>
      <c r="Z226" s="28" t="s">
        <v>1721</v>
      </c>
      <c r="AA226" s="28" t="s">
        <v>1722</v>
      </c>
      <c r="AB226" s="28" t="s">
        <v>1723</v>
      </c>
      <c r="AC226" s="28" t="s">
        <v>1724</v>
      </c>
    </row>
    <row r="227" spans="1:29" x14ac:dyDescent="0.2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8" t="s">
        <v>1060</v>
      </c>
      <c r="W227" s="28" t="s">
        <v>1053</v>
      </c>
      <c r="X227" s="28" t="s">
        <v>1715</v>
      </c>
      <c r="Y227" s="28" t="s">
        <v>1716</v>
      </c>
      <c r="Z227" s="28" t="s">
        <v>1721</v>
      </c>
      <c r="AA227" s="28" t="s">
        <v>1722</v>
      </c>
      <c r="AB227" s="28" t="s">
        <v>1723</v>
      </c>
      <c r="AC227" s="28" t="s">
        <v>1724</v>
      </c>
    </row>
    <row r="228" spans="1:29" x14ac:dyDescent="0.2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8" t="s">
        <v>1060</v>
      </c>
      <c r="W228" s="28" t="s">
        <v>1053</v>
      </c>
      <c r="X228" s="28" t="s">
        <v>1715</v>
      </c>
      <c r="Y228" s="28" t="s">
        <v>1716</v>
      </c>
      <c r="Z228" s="28" t="s">
        <v>1721</v>
      </c>
      <c r="AA228" s="28" t="s">
        <v>1722</v>
      </c>
      <c r="AB228" s="28" t="s">
        <v>1723</v>
      </c>
      <c r="AC228" s="28" t="s">
        <v>1724</v>
      </c>
    </row>
    <row r="229" spans="1:29" x14ac:dyDescent="0.2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8" t="s">
        <v>1060</v>
      </c>
      <c r="W229" s="28" t="s">
        <v>1053</v>
      </c>
      <c r="X229" s="28" t="s">
        <v>1715</v>
      </c>
      <c r="Y229" s="28" t="s">
        <v>1716</v>
      </c>
      <c r="Z229" s="28" t="s">
        <v>1721</v>
      </c>
      <c r="AA229" s="28" t="s">
        <v>1722</v>
      </c>
      <c r="AB229" s="28" t="s">
        <v>1723</v>
      </c>
      <c r="AC229" s="28" t="s">
        <v>1724</v>
      </c>
    </row>
    <row r="230" spans="1:29" x14ac:dyDescent="0.2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8" t="s">
        <v>1061</v>
      </c>
      <c r="W230" s="28" t="s">
        <v>1054</v>
      </c>
      <c r="X230" s="28" t="s">
        <v>1725</v>
      </c>
      <c r="Y230" s="28" t="s">
        <v>1726</v>
      </c>
      <c r="Z230" s="28" t="s">
        <v>1727</v>
      </c>
      <c r="AA230" s="28" t="s">
        <v>1728</v>
      </c>
      <c r="AB230" s="28" t="s">
        <v>1729</v>
      </c>
      <c r="AC230" s="28" t="s">
        <v>1730</v>
      </c>
    </row>
    <row r="231" spans="1:29" x14ac:dyDescent="0.2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8" t="s">
        <v>1062</v>
      </c>
      <c r="W231" s="28" t="s">
        <v>1055</v>
      </c>
      <c r="X231" s="28" t="s">
        <v>1731</v>
      </c>
      <c r="Y231" s="28" t="s">
        <v>1732</v>
      </c>
      <c r="Z231" s="28" t="s">
        <v>1733</v>
      </c>
      <c r="AA231" s="28" t="s">
        <v>1734</v>
      </c>
      <c r="AB231" s="28" t="s">
        <v>1735</v>
      </c>
      <c r="AC231" s="28" t="s">
        <v>1736</v>
      </c>
    </row>
    <row r="232" spans="1:29" x14ac:dyDescent="0.2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8" t="s">
        <v>1061</v>
      </c>
      <c r="W232" s="28" t="s">
        <v>1054</v>
      </c>
      <c r="X232" s="28" t="s">
        <v>1725</v>
      </c>
      <c r="Y232" s="28" t="s">
        <v>1726</v>
      </c>
      <c r="Z232" s="28" t="s">
        <v>1727</v>
      </c>
      <c r="AA232" s="28" t="s">
        <v>1728</v>
      </c>
      <c r="AB232" s="28" t="s">
        <v>1729</v>
      </c>
      <c r="AC232" s="28" t="s">
        <v>1730</v>
      </c>
    </row>
    <row r="233" spans="1:29" x14ac:dyDescent="0.2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8" t="s">
        <v>1061</v>
      </c>
      <c r="W233" s="28" t="s">
        <v>1054</v>
      </c>
      <c r="X233" s="28" t="s">
        <v>1725</v>
      </c>
      <c r="Y233" s="28" t="s">
        <v>1726</v>
      </c>
      <c r="Z233" s="28" t="s">
        <v>1727</v>
      </c>
      <c r="AA233" s="28" t="s">
        <v>1728</v>
      </c>
      <c r="AB233" s="28" t="s">
        <v>1729</v>
      </c>
      <c r="AC233" s="28" t="s">
        <v>1730</v>
      </c>
    </row>
    <row r="234" spans="1:29" x14ac:dyDescent="0.2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8" t="s">
        <v>1061</v>
      </c>
      <c r="W234" s="28" t="s">
        <v>1054</v>
      </c>
      <c r="X234" s="28" t="s">
        <v>1725</v>
      </c>
      <c r="Y234" s="28" t="s">
        <v>1726</v>
      </c>
      <c r="Z234" s="28" t="s">
        <v>1727</v>
      </c>
      <c r="AA234" s="28" t="s">
        <v>1728</v>
      </c>
      <c r="AB234" s="28" t="s">
        <v>1729</v>
      </c>
      <c r="AC234" s="28" t="s">
        <v>1730</v>
      </c>
    </row>
    <row r="235" spans="1:29" x14ac:dyDescent="0.2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8" t="s">
        <v>1061</v>
      </c>
      <c r="W235" s="28" t="s">
        <v>1054</v>
      </c>
      <c r="X235" s="28" t="s">
        <v>1725</v>
      </c>
      <c r="Y235" s="28" t="s">
        <v>1726</v>
      </c>
      <c r="Z235" s="28" t="s">
        <v>1727</v>
      </c>
      <c r="AA235" s="28" t="s">
        <v>1728</v>
      </c>
      <c r="AB235" s="28" t="s">
        <v>1729</v>
      </c>
      <c r="AC235" s="28" t="s">
        <v>1730</v>
      </c>
    </row>
    <row r="236" spans="1:29" x14ac:dyDescent="0.2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8" t="s">
        <v>1061</v>
      </c>
      <c r="W236" s="28" t="s">
        <v>1054</v>
      </c>
      <c r="X236" s="28" t="s">
        <v>1725</v>
      </c>
      <c r="Y236" s="28" t="s">
        <v>1726</v>
      </c>
      <c r="Z236" s="28" t="s">
        <v>1727</v>
      </c>
      <c r="AA236" s="28" t="s">
        <v>1728</v>
      </c>
      <c r="AB236" s="28" t="s">
        <v>1729</v>
      </c>
      <c r="AC236" s="28" t="s">
        <v>1730</v>
      </c>
    </row>
    <row r="237" spans="1:29" x14ac:dyDescent="0.2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8" t="s">
        <v>1061</v>
      </c>
      <c r="W237" s="28" t="s">
        <v>1054</v>
      </c>
      <c r="X237" s="28" t="s">
        <v>1725</v>
      </c>
      <c r="Y237" s="28" t="s">
        <v>1726</v>
      </c>
      <c r="Z237" s="28" t="s">
        <v>1727</v>
      </c>
      <c r="AA237" s="28" t="s">
        <v>1728</v>
      </c>
      <c r="AB237" s="28" t="s">
        <v>1729</v>
      </c>
      <c r="AC237" s="28" t="s">
        <v>1730</v>
      </c>
    </row>
    <row r="238" spans="1:29" x14ac:dyDescent="0.2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8" t="s">
        <v>1061</v>
      </c>
      <c r="W238" s="28" t="s">
        <v>1054</v>
      </c>
      <c r="X238" s="28" t="s">
        <v>1725</v>
      </c>
      <c r="Y238" s="28" t="s">
        <v>1726</v>
      </c>
      <c r="Z238" s="28" t="s">
        <v>1727</v>
      </c>
      <c r="AA238" s="28" t="s">
        <v>1728</v>
      </c>
      <c r="AB238" s="28" t="s">
        <v>1729</v>
      </c>
      <c r="AC238" s="28" t="s">
        <v>1730</v>
      </c>
    </row>
    <row r="239" spans="1:29" x14ac:dyDescent="0.2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8" t="s">
        <v>1088</v>
      </c>
      <c r="W239" s="28" t="s">
        <v>1080</v>
      </c>
      <c r="X239" s="28" t="s">
        <v>1737</v>
      </c>
      <c r="Y239" s="28" t="s">
        <v>1738</v>
      </c>
      <c r="Z239" s="28" t="s">
        <v>1739</v>
      </c>
      <c r="AA239" s="28" t="s">
        <v>1740</v>
      </c>
      <c r="AB239" s="28" t="s">
        <v>1741</v>
      </c>
      <c r="AC239" s="28" t="s">
        <v>1742</v>
      </c>
    </row>
    <row r="240" spans="1:29" x14ac:dyDescent="0.2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8" t="s">
        <v>1089</v>
      </c>
      <c r="W240" s="28" t="s">
        <v>1090</v>
      </c>
      <c r="X240" s="28" t="s">
        <v>1743</v>
      </c>
      <c r="Y240" s="28" t="s">
        <v>1744</v>
      </c>
      <c r="Z240" s="28" t="s">
        <v>1745</v>
      </c>
      <c r="AA240" s="28" t="s">
        <v>1746</v>
      </c>
      <c r="AB240" s="28" t="s">
        <v>1747</v>
      </c>
      <c r="AC240" s="28" t="s">
        <v>1748</v>
      </c>
    </row>
    <row r="241" spans="1:29" x14ac:dyDescent="0.2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8" t="s">
        <v>1091</v>
      </c>
      <c r="W241" s="28" t="s">
        <v>1092</v>
      </c>
      <c r="X241" s="28" t="s">
        <v>1749</v>
      </c>
      <c r="Y241" s="28" t="s">
        <v>1750</v>
      </c>
      <c r="Z241" s="28" t="s">
        <v>1751</v>
      </c>
      <c r="AA241" s="28" t="s">
        <v>1752</v>
      </c>
      <c r="AB241" s="28" t="s">
        <v>1753</v>
      </c>
      <c r="AC241" s="28" t="s">
        <v>1754</v>
      </c>
    </row>
    <row r="242" spans="1:29" x14ac:dyDescent="0.2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8" t="s">
        <v>1093</v>
      </c>
      <c r="W242" s="28" t="s">
        <v>1094</v>
      </c>
      <c r="X242" s="28" t="s">
        <v>1755</v>
      </c>
      <c r="Y242" s="28" t="s">
        <v>1756</v>
      </c>
      <c r="Z242" s="28" t="s">
        <v>1757</v>
      </c>
      <c r="AA242" s="28" t="s">
        <v>1758</v>
      </c>
      <c r="AB242" s="28" t="s">
        <v>1759</v>
      </c>
      <c r="AC242" s="28" t="s">
        <v>1760</v>
      </c>
    </row>
    <row r="243" spans="1:29" x14ac:dyDescent="0.2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8" t="s">
        <v>1095</v>
      </c>
      <c r="W243" s="28" t="s">
        <v>1096</v>
      </c>
      <c r="X243" s="28" t="s">
        <v>1761</v>
      </c>
      <c r="Y243" s="28" t="s">
        <v>1762</v>
      </c>
      <c r="Z243" s="28" t="s">
        <v>1763</v>
      </c>
      <c r="AA243" s="28" t="s">
        <v>1764</v>
      </c>
      <c r="AB243" s="28" t="s">
        <v>1765</v>
      </c>
      <c r="AC243" s="28" t="s">
        <v>1766</v>
      </c>
    </row>
    <row r="244" spans="1:29" x14ac:dyDescent="0.2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8" t="s">
        <v>1097</v>
      </c>
      <c r="W244" s="28" t="s">
        <v>1092</v>
      </c>
      <c r="X244" s="28" t="s">
        <v>1767</v>
      </c>
      <c r="Y244" s="28" t="s">
        <v>1750</v>
      </c>
      <c r="Z244" s="28" t="s">
        <v>1768</v>
      </c>
      <c r="AA244" s="28" t="s">
        <v>1769</v>
      </c>
      <c r="AB244" s="28" t="s">
        <v>1770</v>
      </c>
      <c r="AC244" s="28" t="s">
        <v>1771</v>
      </c>
    </row>
    <row r="245" spans="1:29" x14ac:dyDescent="0.2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8" t="s">
        <v>1098</v>
      </c>
      <c r="W245" s="28" t="s">
        <v>1099</v>
      </c>
      <c r="X245" s="28" t="s">
        <v>1772</v>
      </c>
      <c r="Y245" s="28" t="s">
        <v>1773</v>
      </c>
      <c r="Z245" s="28" t="s">
        <v>1774</v>
      </c>
      <c r="AA245" s="28" t="s">
        <v>1775</v>
      </c>
      <c r="AB245" s="28" t="s">
        <v>1776</v>
      </c>
      <c r="AC245" s="28" t="s">
        <v>1777</v>
      </c>
    </row>
    <row r="246" spans="1:29" x14ac:dyDescent="0.2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8" t="s">
        <v>1100</v>
      </c>
      <c r="W246" s="28" t="s">
        <v>1101</v>
      </c>
      <c r="X246" s="28" t="s">
        <v>1778</v>
      </c>
      <c r="Y246" s="28" t="s">
        <v>1779</v>
      </c>
      <c r="Z246" s="28" t="s">
        <v>1780</v>
      </c>
      <c r="AA246" s="28" t="s">
        <v>1781</v>
      </c>
      <c r="AB246" s="28" t="s">
        <v>1782</v>
      </c>
      <c r="AC246" s="28" t="s">
        <v>1783</v>
      </c>
    </row>
    <row r="247" spans="1:29" x14ac:dyDescent="0.2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8" t="s">
        <v>1102</v>
      </c>
      <c r="W247" s="28" t="s">
        <v>1103</v>
      </c>
      <c r="X247" s="28" t="s">
        <v>1784</v>
      </c>
      <c r="Y247" s="28" t="s">
        <v>1785</v>
      </c>
      <c r="Z247" s="28" t="s">
        <v>1786</v>
      </c>
      <c r="AA247" s="28" t="s">
        <v>1787</v>
      </c>
      <c r="AB247" s="28" t="s">
        <v>1788</v>
      </c>
      <c r="AC247" s="28" t="s">
        <v>1789</v>
      </c>
    </row>
    <row r="248" spans="1:29" x14ac:dyDescent="0.2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8" t="s">
        <v>1104</v>
      </c>
      <c r="W248" s="28" t="s">
        <v>1105</v>
      </c>
      <c r="X248" s="28" t="s">
        <v>1790</v>
      </c>
      <c r="Y248" s="28" t="s">
        <v>1791</v>
      </c>
      <c r="Z248" s="28" t="s">
        <v>1792</v>
      </c>
      <c r="AA248" s="28" t="s">
        <v>1793</v>
      </c>
      <c r="AB248" s="28" t="s">
        <v>1794</v>
      </c>
      <c r="AC248" s="28" t="s">
        <v>1795</v>
      </c>
    </row>
    <row r="249" spans="1:29" x14ac:dyDescent="0.2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8" t="s">
        <v>1098</v>
      </c>
      <c r="W249" s="28" t="s">
        <v>1099</v>
      </c>
      <c r="X249" s="28" t="s">
        <v>1772</v>
      </c>
      <c r="Y249" s="28" t="s">
        <v>1773</v>
      </c>
      <c r="Z249" s="28" t="s">
        <v>1796</v>
      </c>
      <c r="AA249" s="28" t="s">
        <v>1797</v>
      </c>
      <c r="AB249" s="28" t="s">
        <v>1798</v>
      </c>
      <c r="AC249" s="28" t="s">
        <v>1799</v>
      </c>
    </row>
    <row r="250" spans="1:29" x14ac:dyDescent="0.2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8" t="s">
        <v>1097</v>
      </c>
      <c r="W250" s="28" t="s">
        <v>1092</v>
      </c>
      <c r="X250" s="28" t="s">
        <v>1767</v>
      </c>
      <c r="Y250" s="28" t="s">
        <v>1750</v>
      </c>
      <c r="Z250" s="28" t="s">
        <v>1800</v>
      </c>
      <c r="AA250" s="28" t="s">
        <v>1801</v>
      </c>
      <c r="AB250" s="28" t="s">
        <v>1802</v>
      </c>
      <c r="AC250" s="28" t="s">
        <v>1803</v>
      </c>
    </row>
    <row r="251" spans="1:29" x14ac:dyDescent="0.2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8" t="s">
        <v>1097</v>
      </c>
      <c r="W251" s="28" t="s">
        <v>1092</v>
      </c>
      <c r="X251" s="28" t="s">
        <v>1767</v>
      </c>
      <c r="Y251" s="28" t="s">
        <v>1750</v>
      </c>
      <c r="Z251" s="28" t="s">
        <v>1804</v>
      </c>
      <c r="AA251" s="28" t="s">
        <v>1805</v>
      </c>
      <c r="AB251" s="28" t="s">
        <v>1806</v>
      </c>
      <c r="AC251" s="28" t="s">
        <v>1807</v>
      </c>
    </row>
    <row r="252" spans="1:29" x14ac:dyDescent="0.2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8" t="s">
        <v>1106</v>
      </c>
      <c r="W252" s="28" t="s">
        <v>1107</v>
      </c>
      <c r="X252" s="28" t="s">
        <v>1808</v>
      </c>
      <c r="Y252" s="28" t="s">
        <v>1809</v>
      </c>
      <c r="Z252" s="28" t="s">
        <v>1810</v>
      </c>
      <c r="AA252" s="28" t="s">
        <v>1811</v>
      </c>
      <c r="AB252" s="28" t="s">
        <v>1812</v>
      </c>
      <c r="AC252" s="28" t="s">
        <v>1813</v>
      </c>
    </row>
    <row r="253" spans="1:29" x14ac:dyDescent="0.2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8" t="s">
        <v>1097</v>
      </c>
      <c r="W253" s="28" t="s">
        <v>1092</v>
      </c>
      <c r="X253" s="28" t="s">
        <v>1767</v>
      </c>
      <c r="Y253" s="28" t="s">
        <v>1750</v>
      </c>
      <c r="Z253" s="28" t="s">
        <v>1814</v>
      </c>
      <c r="AA253" s="28" t="s">
        <v>1752</v>
      </c>
      <c r="AB253" s="28" t="s">
        <v>1815</v>
      </c>
      <c r="AC253" s="28" t="s">
        <v>1754</v>
      </c>
    </row>
    <row r="254" spans="1:29" x14ac:dyDescent="0.2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8" t="s">
        <v>1108</v>
      </c>
      <c r="W254" s="28" t="s">
        <v>1099</v>
      </c>
      <c r="X254" s="28" t="s">
        <v>1816</v>
      </c>
      <c r="Y254" s="28" t="s">
        <v>1773</v>
      </c>
      <c r="Z254" s="28" t="s">
        <v>1817</v>
      </c>
      <c r="AA254" s="28" t="s">
        <v>1818</v>
      </c>
      <c r="AB254" s="28" t="s">
        <v>1819</v>
      </c>
      <c r="AC254" s="28" t="s">
        <v>1820</v>
      </c>
    </row>
    <row r="255" spans="1:29" x14ac:dyDescent="0.2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8" t="s">
        <v>1109</v>
      </c>
      <c r="W255" s="28" t="s">
        <v>1105</v>
      </c>
      <c r="X255" s="28" t="s">
        <v>1821</v>
      </c>
      <c r="Y255" s="28" t="s">
        <v>1791</v>
      </c>
      <c r="Z255" s="28" t="s">
        <v>1822</v>
      </c>
      <c r="AA255" s="28" t="s">
        <v>1823</v>
      </c>
      <c r="AB255" s="28" t="s">
        <v>1824</v>
      </c>
      <c r="AC255" s="28" t="s">
        <v>1825</v>
      </c>
    </row>
    <row r="256" spans="1:29" x14ac:dyDescent="0.2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8" t="s">
        <v>1108</v>
      </c>
      <c r="W256" s="28" t="s">
        <v>1099</v>
      </c>
      <c r="X256" s="28" t="s">
        <v>1816</v>
      </c>
      <c r="Y256" s="28" t="s">
        <v>1773</v>
      </c>
      <c r="Z256" s="28" t="s">
        <v>1817</v>
      </c>
      <c r="AA256" s="28" t="s">
        <v>1818</v>
      </c>
      <c r="AB256" s="28" t="s">
        <v>1819</v>
      </c>
      <c r="AC256" s="28" t="s">
        <v>1820</v>
      </c>
    </row>
    <row r="257" spans="1:29" x14ac:dyDescent="0.2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8" t="s">
        <v>1110</v>
      </c>
      <c r="W257" s="28" t="s">
        <v>1092</v>
      </c>
      <c r="X257" s="28" t="s">
        <v>1826</v>
      </c>
      <c r="Y257" s="28" t="s">
        <v>1750</v>
      </c>
      <c r="Z257" s="28" t="s">
        <v>1827</v>
      </c>
      <c r="AA257" s="28" t="s">
        <v>1752</v>
      </c>
      <c r="AB257" s="28" t="s">
        <v>1828</v>
      </c>
      <c r="AC257" s="28" t="s">
        <v>1754</v>
      </c>
    </row>
    <row r="258" spans="1:29" x14ac:dyDescent="0.2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8" t="s">
        <v>1111</v>
      </c>
      <c r="W258" s="28" t="s">
        <v>1107</v>
      </c>
      <c r="X258" s="28" t="s">
        <v>1829</v>
      </c>
      <c r="Y258" s="28" t="s">
        <v>1809</v>
      </c>
      <c r="Z258" s="28" t="s">
        <v>1830</v>
      </c>
      <c r="AA258" s="28" t="s">
        <v>1831</v>
      </c>
      <c r="AB258" s="28" t="s">
        <v>1832</v>
      </c>
      <c r="AC258" s="28" t="s">
        <v>1833</v>
      </c>
    </row>
    <row r="259" spans="1:29" x14ac:dyDescent="0.2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8" t="s">
        <v>1109</v>
      </c>
      <c r="W259" s="28" t="s">
        <v>1105</v>
      </c>
      <c r="X259" s="28" t="s">
        <v>1821</v>
      </c>
      <c r="Y259" s="28" t="s">
        <v>1791</v>
      </c>
      <c r="Z259" s="28" t="s">
        <v>1834</v>
      </c>
      <c r="AA259" s="28" t="s">
        <v>1835</v>
      </c>
      <c r="AB259" s="28" t="s">
        <v>1836</v>
      </c>
      <c r="AC259" s="28" t="s">
        <v>1837</v>
      </c>
    </row>
    <row r="260" spans="1:29" x14ac:dyDescent="0.2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8" t="s">
        <v>1109</v>
      </c>
      <c r="W260" s="28" t="s">
        <v>1105</v>
      </c>
      <c r="X260" s="28" t="s">
        <v>1821</v>
      </c>
      <c r="Y260" s="28" t="s">
        <v>1791</v>
      </c>
      <c r="Z260" s="28" t="s">
        <v>1838</v>
      </c>
      <c r="AA260" s="28" t="s">
        <v>1793</v>
      </c>
      <c r="AB260" s="28" t="s">
        <v>1839</v>
      </c>
      <c r="AC260" s="28" t="s">
        <v>1795</v>
      </c>
    </row>
    <row r="261" spans="1:29" x14ac:dyDescent="0.2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8" t="s">
        <v>1109</v>
      </c>
      <c r="W261" s="28" t="s">
        <v>1105</v>
      </c>
      <c r="X261" s="28" t="s">
        <v>1821</v>
      </c>
      <c r="Y261" s="28" t="s">
        <v>1791</v>
      </c>
      <c r="Z261" s="28" t="s">
        <v>1838</v>
      </c>
      <c r="AA261" s="28" t="s">
        <v>1793</v>
      </c>
      <c r="AB261" s="28" t="s">
        <v>1839</v>
      </c>
      <c r="AC261" s="28" t="s">
        <v>1795</v>
      </c>
    </row>
    <row r="262" spans="1:29" x14ac:dyDescent="0.2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8" t="s">
        <v>1112</v>
      </c>
      <c r="W262" s="28" t="s">
        <v>1113</v>
      </c>
      <c r="X262" s="28" t="s">
        <v>1840</v>
      </c>
      <c r="Y262" s="28" t="s">
        <v>1841</v>
      </c>
      <c r="Z262" s="28" t="s">
        <v>1842</v>
      </c>
      <c r="AA262" s="28" t="s">
        <v>1843</v>
      </c>
      <c r="AB262" s="28" t="s">
        <v>1844</v>
      </c>
      <c r="AC262" s="28" t="s">
        <v>1845</v>
      </c>
    </row>
    <row r="263" spans="1:29" x14ac:dyDescent="0.2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8" t="s">
        <v>1114</v>
      </c>
      <c r="W263" s="28" t="s">
        <v>1115</v>
      </c>
      <c r="X263" s="28" t="s">
        <v>1846</v>
      </c>
      <c r="Y263" s="28" t="s">
        <v>1847</v>
      </c>
      <c r="Z263" s="28" t="s">
        <v>1848</v>
      </c>
      <c r="AA263" s="28" t="s">
        <v>1849</v>
      </c>
      <c r="AB263" s="28" t="s">
        <v>1850</v>
      </c>
      <c r="AC263" s="28" t="s">
        <v>1851</v>
      </c>
    </row>
    <row r="264" spans="1:29" x14ac:dyDescent="0.2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8" t="s">
        <v>1114</v>
      </c>
      <c r="W264" s="28" t="s">
        <v>1115</v>
      </c>
      <c r="X264" s="28" t="s">
        <v>1846</v>
      </c>
      <c r="Y264" s="28" t="s">
        <v>1847</v>
      </c>
      <c r="Z264" s="28" t="s">
        <v>1848</v>
      </c>
      <c r="AA264" s="28" t="s">
        <v>1849</v>
      </c>
      <c r="AB264" s="28" t="s">
        <v>1850</v>
      </c>
      <c r="AC264" s="28" t="s">
        <v>1851</v>
      </c>
    </row>
    <row r="265" spans="1:29" x14ac:dyDescent="0.2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8" t="s">
        <v>1114</v>
      </c>
      <c r="W265" s="28" t="s">
        <v>1115</v>
      </c>
      <c r="X265" s="28" t="s">
        <v>1846</v>
      </c>
      <c r="Y265" s="28" t="s">
        <v>1847</v>
      </c>
      <c r="Z265" s="28" t="s">
        <v>1848</v>
      </c>
      <c r="AA265" s="28" t="s">
        <v>1849</v>
      </c>
      <c r="AB265" s="28" t="s">
        <v>1850</v>
      </c>
      <c r="AC265" s="28" t="s">
        <v>1851</v>
      </c>
    </row>
    <row r="266" spans="1:29" x14ac:dyDescent="0.2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8" t="s">
        <v>1116</v>
      </c>
      <c r="W266" s="28" t="s">
        <v>1101</v>
      </c>
      <c r="X266" s="28" t="s">
        <v>1852</v>
      </c>
      <c r="Y266" s="28" t="s">
        <v>1779</v>
      </c>
      <c r="Z266" s="28" t="s">
        <v>1853</v>
      </c>
      <c r="AA266" s="28" t="s">
        <v>1781</v>
      </c>
      <c r="AB266" s="28" t="s">
        <v>1854</v>
      </c>
      <c r="AC266" s="28" t="s">
        <v>1783</v>
      </c>
    </row>
    <row r="267" spans="1:29" x14ac:dyDescent="0.2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8" t="s">
        <v>1117</v>
      </c>
      <c r="W267" s="28" t="s">
        <v>1118</v>
      </c>
      <c r="X267" s="28" t="s">
        <v>1855</v>
      </c>
      <c r="Y267" s="28" t="s">
        <v>1856</v>
      </c>
      <c r="Z267" s="28" t="s">
        <v>1857</v>
      </c>
      <c r="AA267" s="28" t="s">
        <v>1858</v>
      </c>
      <c r="AB267" s="28" t="s">
        <v>1859</v>
      </c>
      <c r="AC267" s="28" t="s">
        <v>1860</v>
      </c>
    </row>
    <row r="268" spans="1:29" x14ac:dyDescent="0.2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8" t="s">
        <v>1114</v>
      </c>
      <c r="W268" s="28" t="s">
        <v>1115</v>
      </c>
      <c r="X268" s="28" t="s">
        <v>1846</v>
      </c>
      <c r="Y268" s="28" t="s">
        <v>1847</v>
      </c>
      <c r="Z268" s="28" t="s">
        <v>1848</v>
      </c>
      <c r="AA268" s="28" t="s">
        <v>1849</v>
      </c>
      <c r="AB268" s="28" t="s">
        <v>1850</v>
      </c>
      <c r="AC268" s="28" t="s">
        <v>1851</v>
      </c>
    </row>
    <row r="269" spans="1:29" x14ac:dyDescent="0.2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8" t="s">
        <v>1114</v>
      </c>
      <c r="W269" s="28" t="s">
        <v>1115</v>
      </c>
      <c r="X269" s="28" t="s">
        <v>1846</v>
      </c>
      <c r="Y269" s="28" t="s">
        <v>1847</v>
      </c>
      <c r="Z269" s="28" t="s">
        <v>1848</v>
      </c>
      <c r="AA269" s="28" t="s">
        <v>1849</v>
      </c>
      <c r="AB269" s="28" t="s">
        <v>1850</v>
      </c>
      <c r="AC269" s="28" t="s">
        <v>1851</v>
      </c>
    </row>
    <row r="270" spans="1:29" x14ac:dyDescent="0.2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8" t="s">
        <v>1114</v>
      </c>
      <c r="W270" s="28" t="s">
        <v>1115</v>
      </c>
      <c r="X270" s="28" t="s">
        <v>1846</v>
      </c>
      <c r="Y270" s="28" t="s">
        <v>1847</v>
      </c>
      <c r="Z270" s="28" t="s">
        <v>1848</v>
      </c>
      <c r="AA270" s="28" t="s">
        <v>1849</v>
      </c>
      <c r="AB270" s="28" t="s">
        <v>1850</v>
      </c>
      <c r="AC270" s="28" t="s">
        <v>1851</v>
      </c>
    </row>
    <row r="271" spans="1:29" x14ac:dyDescent="0.2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8" t="s">
        <v>1114</v>
      </c>
      <c r="W271" s="28" t="s">
        <v>1115</v>
      </c>
      <c r="X271" s="28" t="s">
        <v>1846</v>
      </c>
      <c r="Y271" s="28" t="s">
        <v>1847</v>
      </c>
      <c r="Z271" s="28" t="s">
        <v>1848</v>
      </c>
      <c r="AA271" s="28" t="s">
        <v>1849</v>
      </c>
      <c r="AB271" s="28" t="s">
        <v>1850</v>
      </c>
      <c r="AC271" s="28" t="s">
        <v>1851</v>
      </c>
    </row>
    <row r="272" spans="1:29" x14ac:dyDescent="0.2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8" t="s">
        <v>1119</v>
      </c>
      <c r="W272" s="28" t="s">
        <v>1105</v>
      </c>
      <c r="X272" s="28" t="s">
        <v>1861</v>
      </c>
      <c r="Y272" s="28" t="s">
        <v>1791</v>
      </c>
      <c r="Z272" s="28" t="s">
        <v>1862</v>
      </c>
      <c r="AA272" s="28" t="s">
        <v>1793</v>
      </c>
      <c r="AB272" s="28" t="s">
        <v>1863</v>
      </c>
      <c r="AC272" s="28" t="s">
        <v>1795</v>
      </c>
    </row>
    <row r="273" spans="1:29" x14ac:dyDescent="0.2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8" t="s">
        <v>1114</v>
      </c>
      <c r="W273" s="28" t="s">
        <v>1115</v>
      </c>
      <c r="X273" s="28" t="s">
        <v>1846</v>
      </c>
      <c r="Y273" s="28" t="s">
        <v>1847</v>
      </c>
      <c r="Z273" s="28" t="s">
        <v>1848</v>
      </c>
      <c r="AA273" s="28" t="s">
        <v>1849</v>
      </c>
      <c r="AB273" s="28" t="s">
        <v>1850</v>
      </c>
      <c r="AC273" s="28" t="s">
        <v>1851</v>
      </c>
    </row>
    <row r="274" spans="1:29" x14ac:dyDescent="0.2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8" t="s">
        <v>1120</v>
      </c>
      <c r="W274" s="28" t="s">
        <v>1092</v>
      </c>
      <c r="X274" s="28" t="s">
        <v>1864</v>
      </c>
      <c r="Y274" s="28" t="s">
        <v>1750</v>
      </c>
      <c r="Z274" s="28" t="s">
        <v>1865</v>
      </c>
      <c r="AA274" s="28" t="s">
        <v>1866</v>
      </c>
      <c r="AB274" s="28" t="s">
        <v>1867</v>
      </c>
      <c r="AC274" s="28" t="s">
        <v>1868</v>
      </c>
    </row>
    <row r="275" spans="1:29" x14ac:dyDescent="0.2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8" t="s">
        <v>1121</v>
      </c>
      <c r="W275" s="28" t="s">
        <v>1122</v>
      </c>
      <c r="X275" s="28" t="s">
        <v>1869</v>
      </c>
      <c r="Y275" s="28" t="s">
        <v>1870</v>
      </c>
      <c r="Z275" s="28" t="s">
        <v>1871</v>
      </c>
      <c r="AA275" s="28" t="s">
        <v>1872</v>
      </c>
      <c r="AB275" s="28" t="s">
        <v>1873</v>
      </c>
      <c r="AC275" s="28" t="s">
        <v>1874</v>
      </c>
    </row>
    <row r="276" spans="1:29" x14ac:dyDescent="0.2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8" t="s">
        <v>1123</v>
      </c>
      <c r="W276" s="28" t="s">
        <v>1124</v>
      </c>
      <c r="X276" s="28" t="s">
        <v>1875</v>
      </c>
      <c r="Y276" s="28" t="s">
        <v>1876</v>
      </c>
      <c r="Z276" s="28" t="s">
        <v>1877</v>
      </c>
      <c r="AA276" s="28" t="s">
        <v>1878</v>
      </c>
      <c r="AB276" s="28" t="s">
        <v>1879</v>
      </c>
      <c r="AC276" s="28" t="s">
        <v>1880</v>
      </c>
    </row>
    <row r="277" spans="1:29" x14ac:dyDescent="0.2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8" t="s">
        <v>1125</v>
      </c>
      <c r="W277" s="28" t="s">
        <v>1126</v>
      </c>
      <c r="X277" s="28" t="s">
        <v>1881</v>
      </c>
      <c r="Y277" s="28" t="s">
        <v>1882</v>
      </c>
      <c r="Z277" s="28" t="s">
        <v>1883</v>
      </c>
      <c r="AA277" s="28" t="s">
        <v>1884</v>
      </c>
      <c r="AB277" s="28" t="s">
        <v>1885</v>
      </c>
      <c r="AC277" s="28" t="s">
        <v>1886</v>
      </c>
    </row>
    <row r="278" spans="1:29" x14ac:dyDescent="0.2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8" t="s">
        <v>1121</v>
      </c>
      <c r="W278" s="28" t="s">
        <v>1122</v>
      </c>
      <c r="X278" s="28" t="s">
        <v>1869</v>
      </c>
      <c r="Y278" s="28" t="s">
        <v>1870</v>
      </c>
      <c r="Z278" s="28" t="s">
        <v>1871</v>
      </c>
      <c r="AA278" s="28" t="s">
        <v>1872</v>
      </c>
      <c r="AB278" s="28" t="s">
        <v>1873</v>
      </c>
      <c r="AC278" s="28" t="s">
        <v>1874</v>
      </c>
    </row>
    <row r="279" spans="1:29" x14ac:dyDescent="0.2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8" t="s">
        <v>1127</v>
      </c>
      <c r="W279" s="28" t="s">
        <v>1128</v>
      </c>
      <c r="X279" s="28" t="s">
        <v>1887</v>
      </c>
      <c r="Y279" s="28" t="s">
        <v>1888</v>
      </c>
      <c r="Z279" s="28" t="s">
        <v>1889</v>
      </c>
      <c r="AA279" s="28" t="s">
        <v>1890</v>
      </c>
      <c r="AB279" s="28" t="s">
        <v>1891</v>
      </c>
      <c r="AC279" s="28" t="s">
        <v>1892</v>
      </c>
    </row>
    <row r="280" spans="1:29" x14ac:dyDescent="0.2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8" t="s">
        <v>1129</v>
      </c>
      <c r="W280" s="28" t="s">
        <v>1130</v>
      </c>
      <c r="X280" s="28" t="s">
        <v>1893</v>
      </c>
      <c r="Y280" s="28" t="s">
        <v>1894</v>
      </c>
      <c r="Z280" s="28" t="s">
        <v>1895</v>
      </c>
      <c r="AA280" s="28" t="s">
        <v>1896</v>
      </c>
      <c r="AB280" s="28" t="s">
        <v>1897</v>
      </c>
      <c r="AC280" s="28" t="s">
        <v>1898</v>
      </c>
    </row>
    <row r="281" spans="1:29" x14ac:dyDescent="0.2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8" t="s">
        <v>1129</v>
      </c>
      <c r="W281" s="28" t="s">
        <v>1130</v>
      </c>
      <c r="X281" s="28" t="s">
        <v>1893</v>
      </c>
      <c r="Y281" s="28" t="s">
        <v>1894</v>
      </c>
      <c r="Z281" s="28" t="s">
        <v>1895</v>
      </c>
      <c r="AA281" s="28" t="s">
        <v>1896</v>
      </c>
      <c r="AB281" s="28" t="s">
        <v>1897</v>
      </c>
      <c r="AC281" s="28" t="s">
        <v>1898</v>
      </c>
    </row>
    <row r="282" spans="1:29" x14ac:dyDescent="0.2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8" t="s">
        <v>1123</v>
      </c>
      <c r="W282" s="28" t="s">
        <v>1124</v>
      </c>
      <c r="X282" s="28" t="s">
        <v>1875</v>
      </c>
      <c r="Y282" s="28" t="s">
        <v>1876</v>
      </c>
      <c r="Z282" s="28" t="s">
        <v>1899</v>
      </c>
      <c r="AA282" s="28" t="s">
        <v>1900</v>
      </c>
      <c r="AB282" s="28" t="s">
        <v>1901</v>
      </c>
      <c r="AC282" s="28" t="s">
        <v>1902</v>
      </c>
    </row>
    <row r="283" spans="1:29" x14ac:dyDescent="0.2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8" t="s">
        <v>1121</v>
      </c>
      <c r="W283" s="28" t="s">
        <v>1122</v>
      </c>
      <c r="X283" s="28" t="s">
        <v>1869</v>
      </c>
      <c r="Y283" s="28" t="s">
        <v>1870</v>
      </c>
      <c r="Z283" s="28" t="s">
        <v>1903</v>
      </c>
      <c r="AA283" s="28" t="s">
        <v>1904</v>
      </c>
      <c r="AB283" s="28" t="s">
        <v>1905</v>
      </c>
      <c r="AC283" s="28" t="s">
        <v>1906</v>
      </c>
    </row>
    <row r="284" spans="1:29" x14ac:dyDescent="0.2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8" t="s">
        <v>1131</v>
      </c>
      <c r="W284" s="28" t="s">
        <v>1132</v>
      </c>
      <c r="X284" s="28" t="s">
        <v>1907</v>
      </c>
      <c r="Y284" s="28" t="s">
        <v>1908</v>
      </c>
      <c r="Z284" s="28" t="s">
        <v>1909</v>
      </c>
      <c r="AA284" s="28" t="s">
        <v>1910</v>
      </c>
      <c r="AB284" s="28" t="s">
        <v>1911</v>
      </c>
      <c r="AC284" s="28" t="s">
        <v>1912</v>
      </c>
    </row>
    <row r="285" spans="1:29" x14ac:dyDescent="0.2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8" t="s">
        <v>1133</v>
      </c>
      <c r="W285" s="28" t="s">
        <v>1134</v>
      </c>
      <c r="X285" s="28" t="s">
        <v>1913</v>
      </c>
      <c r="Y285" s="28" t="s">
        <v>1914</v>
      </c>
      <c r="Z285" s="28" t="s">
        <v>1915</v>
      </c>
      <c r="AA285" s="28" t="s">
        <v>1916</v>
      </c>
      <c r="AB285" s="28" t="s">
        <v>1917</v>
      </c>
      <c r="AC285" s="28" t="s">
        <v>1918</v>
      </c>
    </row>
    <row r="286" spans="1:29" x14ac:dyDescent="0.2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8" t="s">
        <v>1135</v>
      </c>
      <c r="W286" s="28" t="s">
        <v>1136</v>
      </c>
      <c r="X286" s="28" t="s">
        <v>1919</v>
      </c>
      <c r="Y286" s="28" t="s">
        <v>1920</v>
      </c>
      <c r="Z286" s="28" t="s">
        <v>1921</v>
      </c>
      <c r="AA286" s="28" t="s">
        <v>1922</v>
      </c>
      <c r="AB286" s="28" t="s">
        <v>1923</v>
      </c>
      <c r="AC286" s="28" t="s">
        <v>1924</v>
      </c>
    </row>
    <row r="287" spans="1:29" x14ac:dyDescent="0.2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8" t="s">
        <v>1137</v>
      </c>
      <c r="W287" s="28" t="s">
        <v>1132</v>
      </c>
      <c r="X287" s="28" t="s">
        <v>1925</v>
      </c>
      <c r="Y287" s="28" t="s">
        <v>1908</v>
      </c>
      <c r="Z287" s="28" t="s">
        <v>1926</v>
      </c>
      <c r="AA287" s="28" t="s">
        <v>1927</v>
      </c>
      <c r="AB287" s="28" t="s">
        <v>1928</v>
      </c>
      <c r="AC287" s="28" t="s">
        <v>1929</v>
      </c>
    </row>
    <row r="288" spans="1:29" x14ac:dyDescent="0.2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8" t="s">
        <v>1138</v>
      </c>
      <c r="W288" s="28" t="s">
        <v>1122</v>
      </c>
      <c r="X288" s="28" t="s">
        <v>1930</v>
      </c>
      <c r="Y288" s="28" t="s">
        <v>1870</v>
      </c>
      <c r="Z288" s="28" t="s">
        <v>1931</v>
      </c>
      <c r="AA288" s="28" t="s">
        <v>1872</v>
      </c>
      <c r="AB288" s="28" t="s">
        <v>1932</v>
      </c>
      <c r="AC288" s="28" t="s">
        <v>1874</v>
      </c>
    </row>
    <row r="289" spans="1:29" x14ac:dyDescent="0.2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8" t="s">
        <v>1139</v>
      </c>
      <c r="W289" s="28" t="s">
        <v>1140</v>
      </c>
      <c r="X289" s="28" t="s">
        <v>1933</v>
      </c>
      <c r="Y289" s="28" t="s">
        <v>1934</v>
      </c>
      <c r="Z289" s="28" t="s">
        <v>1935</v>
      </c>
      <c r="AA289" s="28" t="s">
        <v>1936</v>
      </c>
      <c r="AB289" s="28" t="s">
        <v>1937</v>
      </c>
      <c r="AC289" s="28" t="s">
        <v>1938</v>
      </c>
    </row>
    <row r="290" spans="1:29" x14ac:dyDescent="0.2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8" t="s">
        <v>1141</v>
      </c>
      <c r="W290" s="28" t="s">
        <v>1142</v>
      </c>
      <c r="X290" s="28" t="s">
        <v>1939</v>
      </c>
      <c r="Y290" s="28" t="s">
        <v>1940</v>
      </c>
      <c r="Z290" s="28" t="s">
        <v>1941</v>
      </c>
      <c r="AA290" s="28" t="s">
        <v>1942</v>
      </c>
      <c r="AB290" s="28" t="s">
        <v>1943</v>
      </c>
      <c r="AC290" s="28" t="s">
        <v>1944</v>
      </c>
    </row>
    <row r="291" spans="1:29" x14ac:dyDescent="0.2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8" t="s">
        <v>1143</v>
      </c>
      <c r="W291" s="28" t="s">
        <v>1136</v>
      </c>
      <c r="X291" s="28" t="s">
        <v>1945</v>
      </c>
      <c r="Y291" s="28" t="s">
        <v>1920</v>
      </c>
      <c r="Z291" s="28" t="s">
        <v>1946</v>
      </c>
      <c r="AA291" s="28" t="s">
        <v>1947</v>
      </c>
      <c r="AB291" s="28" t="s">
        <v>1948</v>
      </c>
      <c r="AC291" s="28" t="s">
        <v>1949</v>
      </c>
    </row>
    <row r="292" spans="1:29" x14ac:dyDescent="0.2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8" t="s">
        <v>1144</v>
      </c>
      <c r="W292" s="28" t="s">
        <v>1132</v>
      </c>
      <c r="X292" s="28" t="s">
        <v>1950</v>
      </c>
      <c r="Y292" s="28" t="s">
        <v>1908</v>
      </c>
      <c r="Z292" s="28" t="s">
        <v>1951</v>
      </c>
      <c r="AA292" s="28" t="s">
        <v>1910</v>
      </c>
      <c r="AB292" s="28" t="s">
        <v>1952</v>
      </c>
      <c r="AC292" s="28" t="s">
        <v>1912</v>
      </c>
    </row>
    <row r="293" spans="1:29" x14ac:dyDescent="0.2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8" t="s">
        <v>1143</v>
      </c>
      <c r="W293" s="28" t="s">
        <v>1136</v>
      </c>
      <c r="X293" s="28" t="s">
        <v>1945</v>
      </c>
      <c r="Y293" s="28" t="s">
        <v>1920</v>
      </c>
      <c r="Z293" s="28" t="s">
        <v>1953</v>
      </c>
      <c r="AA293" s="28" t="s">
        <v>1954</v>
      </c>
      <c r="AB293" s="28" t="s">
        <v>1955</v>
      </c>
      <c r="AC293" s="28" t="s">
        <v>1956</v>
      </c>
    </row>
    <row r="294" spans="1:29" x14ac:dyDescent="0.2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8" t="s">
        <v>1145</v>
      </c>
      <c r="W294" s="28" t="s">
        <v>1146</v>
      </c>
      <c r="X294" s="28" t="s">
        <v>1957</v>
      </c>
      <c r="Y294" s="28" t="s">
        <v>1958</v>
      </c>
      <c r="Z294" s="28" t="s">
        <v>1959</v>
      </c>
      <c r="AA294" s="28" t="s">
        <v>1960</v>
      </c>
      <c r="AB294" s="28" t="s">
        <v>1961</v>
      </c>
      <c r="AC294" s="28" t="s">
        <v>1962</v>
      </c>
    </row>
    <row r="295" spans="1:29" x14ac:dyDescent="0.2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8" t="s">
        <v>1143</v>
      </c>
      <c r="W295" s="28" t="s">
        <v>1136</v>
      </c>
      <c r="X295" s="28" t="s">
        <v>1945</v>
      </c>
      <c r="Y295" s="28" t="s">
        <v>1920</v>
      </c>
      <c r="Z295" s="28" t="s">
        <v>1963</v>
      </c>
      <c r="AA295" s="28" t="s">
        <v>1922</v>
      </c>
      <c r="AB295" s="28" t="s">
        <v>1964</v>
      </c>
      <c r="AC295" s="28" t="s">
        <v>1924</v>
      </c>
    </row>
    <row r="296" spans="1:29" x14ac:dyDescent="0.2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8" t="s">
        <v>1144</v>
      </c>
      <c r="W296" s="28" t="s">
        <v>1132</v>
      </c>
      <c r="X296" s="28" t="s">
        <v>1950</v>
      </c>
      <c r="Y296" s="28" t="s">
        <v>1908</v>
      </c>
      <c r="Z296" s="28" t="s">
        <v>1965</v>
      </c>
      <c r="AA296" s="28" t="s">
        <v>1927</v>
      </c>
      <c r="AB296" s="28" t="s">
        <v>1966</v>
      </c>
      <c r="AC296" s="28" t="s">
        <v>1929</v>
      </c>
    </row>
    <row r="297" spans="1:29" x14ac:dyDescent="0.2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8" t="s">
        <v>1143</v>
      </c>
      <c r="W297" s="28" t="s">
        <v>1136</v>
      </c>
      <c r="X297" s="28" t="s">
        <v>1945</v>
      </c>
      <c r="Y297" s="28" t="s">
        <v>1920</v>
      </c>
      <c r="Z297" s="28" t="s">
        <v>1963</v>
      </c>
      <c r="AA297" s="28" t="s">
        <v>1922</v>
      </c>
      <c r="AB297" s="28" t="s">
        <v>1964</v>
      </c>
      <c r="AC297" s="28" t="s">
        <v>1924</v>
      </c>
    </row>
    <row r="298" spans="1:29" x14ac:dyDescent="0.2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8" t="s">
        <v>1147</v>
      </c>
      <c r="W298" s="28" t="s">
        <v>1128</v>
      </c>
      <c r="X298" s="28" t="s">
        <v>1967</v>
      </c>
      <c r="Y298" s="28" t="s">
        <v>1888</v>
      </c>
      <c r="Z298" s="28" t="s">
        <v>1968</v>
      </c>
      <c r="AA298" s="28" t="s">
        <v>1969</v>
      </c>
      <c r="AB298" s="28" t="s">
        <v>1970</v>
      </c>
      <c r="AC298" s="28" t="s">
        <v>1971</v>
      </c>
    </row>
    <row r="299" spans="1:29" x14ac:dyDescent="0.2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8" t="s">
        <v>1148</v>
      </c>
      <c r="W299" s="28" t="s">
        <v>1136</v>
      </c>
      <c r="X299" s="28" t="s">
        <v>1972</v>
      </c>
      <c r="Y299" s="28" t="s">
        <v>1920</v>
      </c>
      <c r="Z299" s="28" t="s">
        <v>1973</v>
      </c>
      <c r="AA299" s="28" t="s">
        <v>1954</v>
      </c>
      <c r="AB299" s="28" t="s">
        <v>1974</v>
      </c>
      <c r="AC299" s="28" t="s">
        <v>1956</v>
      </c>
    </row>
    <row r="300" spans="1:29" x14ac:dyDescent="0.2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8" t="s">
        <v>1148</v>
      </c>
      <c r="W300" s="28" t="s">
        <v>1136</v>
      </c>
      <c r="X300" s="28" t="s">
        <v>1972</v>
      </c>
      <c r="Y300" s="28" t="s">
        <v>1920</v>
      </c>
      <c r="Z300" s="28" t="s">
        <v>1973</v>
      </c>
      <c r="AA300" s="28" t="s">
        <v>1954</v>
      </c>
      <c r="AB300" s="28" t="s">
        <v>1974</v>
      </c>
      <c r="AC300" s="28" t="s">
        <v>1956</v>
      </c>
    </row>
    <row r="301" spans="1:29" x14ac:dyDescent="0.2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8" t="s">
        <v>1149</v>
      </c>
      <c r="W301" s="28" t="s">
        <v>1150</v>
      </c>
      <c r="X301" s="28" t="s">
        <v>1975</v>
      </c>
      <c r="Y301" s="28" t="s">
        <v>1976</v>
      </c>
      <c r="Z301" s="28" t="s">
        <v>1977</v>
      </c>
      <c r="AA301" s="28" t="s">
        <v>1978</v>
      </c>
      <c r="AB301" s="28" t="s">
        <v>1979</v>
      </c>
      <c r="AC301" s="28" t="s">
        <v>1980</v>
      </c>
    </row>
    <row r="302" spans="1:29" x14ac:dyDescent="0.2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8" t="s">
        <v>1151</v>
      </c>
      <c r="W302" s="28" t="s">
        <v>1152</v>
      </c>
      <c r="X302" s="28" t="s">
        <v>1981</v>
      </c>
      <c r="Y302" s="28" t="s">
        <v>1982</v>
      </c>
      <c r="Z302" s="28" t="s">
        <v>1983</v>
      </c>
      <c r="AA302" s="28" t="s">
        <v>1984</v>
      </c>
      <c r="AB302" s="28" t="s">
        <v>1985</v>
      </c>
      <c r="AC302" s="28" t="s">
        <v>1986</v>
      </c>
    </row>
    <row r="303" spans="1:29" x14ac:dyDescent="0.2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8" t="s">
        <v>1153</v>
      </c>
      <c r="W303" s="28" t="s">
        <v>1152</v>
      </c>
      <c r="X303" s="28" t="s">
        <v>1987</v>
      </c>
      <c r="Y303" s="28" t="s">
        <v>1982</v>
      </c>
      <c r="Z303" s="28" t="s">
        <v>1988</v>
      </c>
      <c r="AA303" s="28" t="s">
        <v>1984</v>
      </c>
      <c r="AB303" s="28" t="s">
        <v>1989</v>
      </c>
      <c r="AC303" s="28" t="s">
        <v>1986</v>
      </c>
    </row>
    <row r="304" spans="1:29" x14ac:dyDescent="0.2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8" t="s">
        <v>1154</v>
      </c>
      <c r="W304" s="28" t="s">
        <v>1155</v>
      </c>
      <c r="X304" s="28" t="s">
        <v>1990</v>
      </c>
      <c r="Y304" s="28" t="s">
        <v>1991</v>
      </c>
      <c r="Z304" s="28" t="s">
        <v>1992</v>
      </c>
      <c r="AA304" s="28" t="s">
        <v>1993</v>
      </c>
      <c r="AB304" s="28" t="s">
        <v>1994</v>
      </c>
      <c r="AC304" s="28" t="s">
        <v>1995</v>
      </c>
    </row>
    <row r="305" spans="1:29" x14ac:dyDescent="0.2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8" t="s">
        <v>1153</v>
      </c>
      <c r="W305" s="28" t="s">
        <v>1152</v>
      </c>
      <c r="X305" s="28" t="s">
        <v>1987</v>
      </c>
      <c r="Y305" s="28" t="s">
        <v>1982</v>
      </c>
      <c r="Z305" s="28" t="s">
        <v>1996</v>
      </c>
      <c r="AA305" s="28" t="s">
        <v>1997</v>
      </c>
      <c r="AB305" s="28" t="s">
        <v>1998</v>
      </c>
      <c r="AC305" s="28" t="s">
        <v>1999</v>
      </c>
    </row>
    <row r="306" spans="1:29" x14ac:dyDescent="0.2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8" t="s">
        <v>1153</v>
      </c>
      <c r="W306" s="28" t="s">
        <v>1152</v>
      </c>
      <c r="X306" s="28" t="s">
        <v>1987</v>
      </c>
      <c r="Y306" s="28" t="s">
        <v>1982</v>
      </c>
      <c r="Z306" s="28" t="s">
        <v>1996</v>
      </c>
      <c r="AA306" s="28" t="s">
        <v>1997</v>
      </c>
      <c r="AB306" s="28" t="s">
        <v>1998</v>
      </c>
      <c r="AC306" s="28" t="s">
        <v>1999</v>
      </c>
    </row>
    <row r="307" spans="1:29" x14ac:dyDescent="0.2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8" t="s">
        <v>1156</v>
      </c>
      <c r="W307" s="28" t="s">
        <v>1155</v>
      </c>
      <c r="X307" s="28" t="s">
        <v>2000</v>
      </c>
      <c r="Y307" s="28" t="s">
        <v>1991</v>
      </c>
      <c r="Z307" s="28" t="s">
        <v>2001</v>
      </c>
      <c r="AA307" s="28" t="s">
        <v>2002</v>
      </c>
      <c r="AB307" s="28" t="s">
        <v>2003</v>
      </c>
      <c r="AC307" s="28" t="s">
        <v>2004</v>
      </c>
    </row>
    <row r="308" spans="1:29" x14ac:dyDescent="0.2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8" t="s">
        <v>1156</v>
      </c>
      <c r="W308" s="28" t="s">
        <v>1155</v>
      </c>
      <c r="X308" s="28" t="s">
        <v>2000</v>
      </c>
      <c r="Y308" s="28" t="s">
        <v>1991</v>
      </c>
      <c r="Z308" s="28" t="s">
        <v>2005</v>
      </c>
      <c r="AA308" s="28" t="s">
        <v>2006</v>
      </c>
      <c r="AB308" s="28" t="s">
        <v>2007</v>
      </c>
      <c r="AC308" s="28" t="s">
        <v>2008</v>
      </c>
    </row>
    <row r="309" spans="1:29" x14ac:dyDescent="0.2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8" t="s">
        <v>1157</v>
      </c>
      <c r="W309" s="28" t="s">
        <v>1158</v>
      </c>
      <c r="X309" s="28" t="s">
        <v>2009</v>
      </c>
      <c r="Y309" s="28" t="s">
        <v>2010</v>
      </c>
      <c r="Z309" s="28" t="s">
        <v>2011</v>
      </c>
      <c r="AA309" s="28" t="s">
        <v>2012</v>
      </c>
      <c r="AB309" s="28" t="s">
        <v>2013</v>
      </c>
      <c r="AC309" s="28" t="s">
        <v>2014</v>
      </c>
    </row>
    <row r="310" spans="1:29" x14ac:dyDescent="0.2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8" t="s">
        <v>1159</v>
      </c>
      <c r="W310" s="28" t="s">
        <v>1152</v>
      </c>
      <c r="X310" s="28" t="s">
        <v>2015</v>
      </c>
      <c r="Y310" s="28" t="s">
        <v>1982</v>
      </c>
      <c r="Z310" s="28" t="s">
        <v>2016</v>
      </c>
      <c r="AA310" s="28" t="s">
        <v>2017</v>
      </c>
      <c r="AB310" s="28" t="s">
        <v>2018</v>
      </c>
      <c r="AC310" s="28" t="s">
        <v>2019</v>
      </c>
    </row>
    <row r="311" spans="1:29" x14ac:dyDescent="0.2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8" t="s">
        <v>1160</v>
      </c>
      <c r="W311" s="28" t="s">
        <v>1161</v>
      </c>
      <c r="X311" s="28" t="s">
        <v>2020</v>
      </c>
      <c r="Y311" s="28" t="s">
        <v>2021</v>
      </c>
      <c r="Z311" s="28" t="s">
        <v>2022</v>
      </c>
      <c r="AA311" s="28" t="s">
        <v>2023</v>
      </c>
      <c r="AB311" s="28" t="s">
        <v>2024</v>
      </c>
      <c r="AC311" s="28" t="s">
        <v>2025</v>
      </c>
    </row>
    <row r="312" spans="1:29" x14ac:dyDescent="0.2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8" t="s">
        <v>1159</v>
      </c>
      <c r="W312" s="28" t="s">
        <v>1152</v>
      </c>
      <c r="X312" s="28" t="s">
        <v>2015</v>
      </c>
      <c r="Y312" s="28" t="s">
        <v>1982</v>
      </c>
      <c r="Z312" s="28" t="s">
        <v>2026</v>
      </c>
      <c r="AA312" s="28" t="s">
        <v>2027</v>
      </c>
      <c r="AB312" s="28" t="s">
        <v>2028</v>
      </c>
      <c r="AC312" s="28" t="s">
        <v>2029</v>
      </c>
    </row>
    <row r="313" spans="1:29" x14ac:dyDescent="0.2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8" t="s">
        <v>1162</v>
      </c>
      <c r="W313" s="28" t="s">
        <v>1163</v>
      </c>
      <c r="X313" s="28" t="s">
        <v>2030</v>
      </c>
      <c r="Y313" s="28" t="s">
        <v>2031</v>
      </c>
      <c r="Z313" s="28" t="s">
        <v>2032</v>
      </c>
      <c r="AA313" s="28" t="s">
        <v>2033</v>
      </c>
      <c r="AB313" s="28" t="s">
        <v>2034</v>
      </c>
      <c r="AC313" s="28" t="s">
        <v>2035</v>
      </c>
    </row>
    <row r="314" spans="1:29" x14ac:dyDescent="0.2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8" t="s">
        <v>1164</v>
      </c>
      <c r="W314" s="28" t="s">
        <v>1165</v>
      </c>
      <c r="X314" s="28" t="s">
        <v>2036</v>
      </c>
      <c r="Y314" s="28" t="s">
        <v>2037</v>
      </c>
      <c r="Z314" s="28" t="s">
        <v>2038</v>
      </c>
      <c r="AA314" s="28" t="s">
        <v>2039</v>
      </c>
      <c r="AB314" s="28" t="s">
        <v>2040</v>
      </c>
      <c r="AC314" s="28" t="s">
        <v>2041</v>
      </c>
    </row>
    <row r="315" spans="1:29" x14ac:dyDescent="0.2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8" t="s">
        <v>1166</v>
      </c>
      <c r="W315" s="28" t="s">
        <v>1152</v>
      </c>
      <c r="X315" s="28" t="s">
        <v>2042</v>
      </c>
      <c r="Y315" s="28" t="s">
        <v>1982</v>
      </c>
      <c r="Z315" s="28" t="s">
        <v>2043</v>
      </c>
      <c r="AA315" s="28" t="s">
        <v>1997</v>
      </c>
      <c r="AB315" s="28" t="s">
        <v>2044</v>
      </c>
      <c r="AC315" s="28" t="s">
        <v>1999</v>
      </c>
    </row>
    <row r="316" spans="1:29" x14ac:dyDescent="0.2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8" t="s">
        <v>1167</v>
      </c>
      <c r="W316" s="28" t="s">
        <v>1168</v>
      </c>
      <c r="X316" s="28" t="s">
        <v>2045</v>
      </c>
      <c r="Y316" s="28" t="s">
        <v>2046</v>
      </c>
      <c r="Z316" s="28" t="s">
        <v>2047</v>
      </c>
      <c r="AA316" s="28" t="s">
        <v>2048</v>
      </c>
      <c r="AB316" s="28" t="s">
        <v>2049</v>
      </c>
      <c r="AC316" s="28" t="s">
        <v>2050</v>
      </c>
    </row>
    <row r="317" spans="1:29" x14ac:dyDescent="0.2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8" t="s">
        <v>1167</v>
      </c>
      <c r="W317" s="28" t="s">
        <v>1168</v>
      </c>
      <c r="X317" s="28" t="s">
        <v>2045</v>
      </c>
      <c r="Y317" s="28" t="s">
        <v>2046</v>
      </c>
      <c r="Z317" s="28" t="s">
        <v>2047</v>
      </c>
      <c r="AA317" s="28" t="s">
        <v>2048</v>
      </c>
      <c r="AB317" s="28" t="s">
        <v>2049</v>
      </c>
      <c r="AC317" s="28" t="s">
        <v>2050</v>
      </c>
    </row>
    <row r="318" spans="1:29" x14ac:dyDescent="0.2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8" t="s">
        <v>1167</v>
      </c>
      <c r="W318" s="28" t="s">
        <v>1168</v>
      </c>
      <c r="X318" s="28" t="s">
        <v>2045</v>
      </c>
      <c r="Y318" s="28" t="s">
        <v>2046</v>
      </c>
      <c r="Z318" s="28" t="s">
        <v>2047</v>
      </c>
      <c r="AA318" s="28" t="s">
        <v>2048</v>
      </c>
      <c r="AB318" s="28" t="s">
        <v>2049</v>
      </c>
      <c r="AC318" s="28" t="s">
        <v>2050</v>
      </c>
    </row>
    <row r="319" spans="1:29" x14ac:dyDescent="0.2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8" t="s">
        <v>1167</v>
      </c>
      <c r="W319" s="28" t="s">
        <v>1168</v>
      </c>
      <c r="X319" s="28" t="s">
        <v>2045</v>
      </c>
      <c r="Y319" s="28" t="s">
        <v>2046</v>
      </c>
      <c r="Z319" s="28" t="s">
        <v>2047</v>
      </c>
      <c r="AA319" s="28" t="s">
        <v>2048</v>
      </c>
      <c r="AB319" s="28" t="s">
        <v>2049</v>
      </c>
      <c r="AC319" s="28" t="s">
        <v>2050</v>
      </c>
    </row>
    <row r="320" spans="1:29" x14ac:dyDescent="0.2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8" t="s">
        <v>1167</v>
      </c>
      <c r="W320" s="28" t="s">
        <v>1168</v>
      </c>
      <c r="X320" s="28" t="s">
        <v>2045</v>
      </c>
      <c r="Y320" s="28" t="s">
        <v>2046</v>
      </c>
      <c r="Z320" s="28" t="s">
        <v>2047</v>
      </c>
      <c r="AA320" s="28" t="s">
        <v>2048</v>
      </c>
      <c r="AB320" s="28" t="s">
        <v>2049</v>
      </c>
      <c r="AC320" s="28" t="s">
        <v>2050</v>
      </c>
    </row>
    <row r="321" spans="1:29" x14ac:dyDescent="0.2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8" t="s">
        <v>1169</v>
      </c>
      <c r="W321" s="28" t="s">
        <v>1170</v>
      </c>
      <c r="X321" s="28" t="s">
        <v>2051</v>
      </c>
      <c r="Y321" s="28" t="s">
        <v>2052</v>
      </c>
      <c r="Z321" s="28" t="s">
        <v>2053</v>
      </c>
      <c r="AA321" s="28" t="s">
        <v>2054</v>
      </c>
      <c r="AB321" s="28" t="s">
        <v>2055</v>
      </c>
      <c r="AC321" s="28" t="s">
        <v>2056</v>
      </c>
    </row>
    <row r="322" spans="1:29" x14ac:dyDescent="0.2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8" t="s">
        <v>1167</v>
      </c>
      <c r="W322" s="28" t="s">
        <v>1168</v>
      </c>
      <c r="X322" s="28" t="s">
        <v>2045</v>
      </c>
      <c r="Y322" s="28" t="s">
        <v>2046</v>
      </c>
      <c r="Z322" s="28" t="s">
        <v>2047</v>
      </c>
      <c r="AA322" s="28" t="s">
        <v>2048</v>
      </c>
      <c r="AB322" s="28" t="s">
        <v>2049</v>
      </c>
      <c r="AC322" s="28" t="s">
        <v>2050</v>
      </c>
    </row>
    <row r="323" spans="1:29" x14ac:dyDescent="0.2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8" t="s">
        <v>1167</v>
      </c>
      <c r="W323" s="28" t="s">
        <v>1168</v>
      </c>
      <c r="X323" s="28" t="s">
        <v>2045</v>
      </c>
      <c r="Y323" s="28" t="s">
        <v>2046</v>
      </c>
      <c r="Z323" s="28" t="s">
        <v>2047</v>
      </c>
      <c r="AA323" s="28" t="s">
        <v>2048</v>
      </c>
      <c r="AB323" s="28" t="s">
        <v>2049</v>
      </c>
      <c r="AC323" s="28" t="s">
        <v>2050</v>
      </c>
    </row>
    <row r="324" spans="1:29" x14ac:dyDescent="0.2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8" t="s">
        <v>1167</v>
      </c>
      <c r="W324" s="28" t="s">
        <v>1168</v>
      </c>
      <c r="X324" s="28" t="s">
        <v>2045</v>
      </c>
      <c r="Y324" s="28" t="s">
        <v>2046</v>
      </c>
      <c r="Z324" s="28" t="s">
        <v>2047</v>
      </c>
      <c r="AA324" s="28" t="s">
        <v>2048</v>
      </c>
      <c r="AB324" s="28" t="s">
        <v>2049</v>
      </c>
      <c r="AC324" s="28" t="s">
        <v>2050</v>
      </c>
    </row>
    <row r="325" spans="1:29" x14ac:dyDescent="0.2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8" t="s">
        <v>1169</v>
      </c>
      <c r="W325" s="28" t="s">
        <v>1170</v>
      </c>
      <c r="X325" s="28" t="s">
        <v>2051</v>
      </c>
      <c r="Y325" s="28" t="s">
        <v>2052</v>
      </c>
      <c r="Z325" s="28" t="s">
        <v>2053</v>
      </c>
      <c r="AA325" s="28" t="s">
        <v>2054</v>
      </c>
      <c r="AB325" s="28" t="s">
        <v>2055</v>
      </c>
      <c r="AC325" s="28" t="s">
        <v>2056</v>
      </c>
    </row>
    <row r="326" spans="1:29" x14ac:dyDescent="0.2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8" t="s">
        <v>1169</v>
      </c>
      <c r="W326" s="28" t="s">
        <v>1170</v>
      </c>
      <c r="X326" s="28" t="s">
        <v>2051</v>
      </c>
      <c r="Y326" s="28" t="s">
        <v>2052</v>
      </c>
      <c r="Z326" s="28" t="s">
        <v>2053</v>
      </c>
      <c r="AA326" s="28" t="s">
        <v>2054</v>
      </c>
      <c r="AB326" s="28" t="s">
        <v>2055</v>
      </c>
      <c r="AC326" s="28" t="s">
        <v>2056</v>
      </c>
    </row>
    <row r="327" spans="1:29" x14ac:dyDescent="0.2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8" t="s">
        <v>1171</v>
      </c>
      <c r="W327" s="28" t="s">
        <v>1168</v>
      </c>
      <c r="X327" s="28" t="s">
        <v>2057</v>
      </c>
      <c r="Y327" s="28" t="s">
        <v>2046</v>
      </c>
      <c r="Z327" s="28" t="s">
        <v>2058</v>
      </c>
      <c r="AA327" s="28" t="s">
        <v>2059</v>
      </c>
      <c r="AB327" s="28" t="s">
        <v>2060</v>
      </c>
      <c r="AC327" s="28" t="s">
        <v>2061</v>
      </c>
    </row>
    <row r="328" spans="1:29" x14ac:dyDescent="0.2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8" t="s">
        <v>1172</v>
      </c>
      <c r="W328" s="28" t="s">
        <v>1173</v>
      </c>
      <c r="X328" s="28" t="s">
        <v>2062</v>
      </c>
      <c r="Y328" s="28" t="s">
        <v>2063</v>
      </c>
      <c r="Z328" s="28" t="s">
        <v>2064</v>
      </c>
      <c r="AA328" s="28" t="s">
        <v>2065</v>
      </c>
      <c r="AB328" s="28" t="s">
        <v>2066</v>
      </c>
      <c r="AC328" s="28" t="s">
        <v>2067</v>
      </c>
    </row>
    <row r="329" spans="1:29" x14ac:dyDescent="0.2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8" t="s">
        <v>1174</v>
      </c>
      <c r="W329" s="28" t="s">
        <v>1175</v>
      </c>
      <c r="X329" s="28" t="s">
        <v>2068</v>
      </c>
      <c r="Y329" s="28" t="s">
        <v>2069</v>
      </c>
      <c r="Z329" s="28" t="s">
        <v>2070</v>
      </c>
      <c r="AA329" s="28" t="s">
        <v>2071</v>
      </c>
      <c r="AB329" s="28" t="s">
        <v>2072</v>
      </c>
      <c r="AC329" s="28" t="s">
        <v>2073</v>
      </c>
    </row>
    <row r="330" spans="1:29" x14ac:dyDescent="0.2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8" t="s">
        <v>1172</v>
      </c>
      <c r="W330" s="28" t="s">
        <v>1173</v>
      </c>
      <c r="X330" s="28" t="s">
        <v>2062</v>
      </c>
      <c r="Y330" s="28" t="s">
        <v>2063</v>
      </c>
      <c r="Z330" s="28" t="s">
        <v>2074</v>
      </c>
      <c r="AA330" s="28" t="s">
        <v>2075</v>
      </c>
      <c r="AB330" s="28" t="s">
        <v>2076</v>
      </c>
      <c r="AC330" s="28" t="s">
        <v>2077</v>
      </c>
    </row>
    <row r="331" spans="1:29" x14ac:dyDescent="0.2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8" t="s">
        <v>1176</v>
      </c>
      <c r="W331" s="28" t="s">
        <v>1177</v>
      </c>
      <c r="X331" s="28" t="s">
        <v>2078</v>
      </c>
      <c r="Y331" s="28" t="s">
        <v>2079</v>
      </c>
      <c r="Z331" s="28" t="s">
        <v>2080</v>
      </c>
      <c r="AA331" s="28" t="s">
        <v>2081</v>
      </c>
      <c r="AB331" s="28" t="s">
        <v>2082</v>
      </c>
      <c r="AC331" s="28" t="s">
        <v>2083</v>
      </c>
    </row>
    <row r="332" spans="1:29" x14ac:dyDescent="0.2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8" t="s">
        <v>1178</v>
      </c>
      <c r="W332" s="28" t="s">
        <v>1179</v>
      </c>
      <c r="X332" s="28" t="s">
        <v>2084</v>
      </c>
      <c r="Y332" s="28" t="s">
        <v>2085</v>
      </c>
      <c r="Z332" s="28" t="s">
        <v>2086</v>
      </c>
      <c r="AA332" s="28" t="s">
        <v>2087</v>
      </c>
      <c r="AB332" s="28" t="s">
        <v>2088</v>
      </c>
      <c r="AC332" s="28" t="s">
        <v>2089</v>
      </c>
    </row>
    <row r="333" spans="1:29" x14ac:dyDescent="0.2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8" t="s">
        <v>1180</v>
      </c>
      <c r="W333" s="28" t="s">
        <v>1181</v>
      </c>
      <c r="X333" s="28" t="s">
        <v>2090</v>
      </c>
      <c r="Y333" s="28" t="s">
        <v>2091</v>
      </c>
      <c r="Z333" s="28" t="s">
        <v>2092</v>
      </c>
      <c r="AA333" s="28" t="s">
        <v>2093</v>
      </c>
      <c r="AB333" s="28" t="s">
        <v>2094</v>
      </c>
      <c r="AC333" s="28" t="s">
        <v>2095</v>
      </c>
    </row>
    <row r="334" spans="1:29" x14ac:dyDescent="0.2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8" t="s">
        <v>1180</v>
      </c>
      <c r="W334" s="28" t="s">
        <v>1181</v>
      </c>
      <c r="X334" s="28" t="s">
        <v>2090</v>
      </c>
      <c r="Y334" s="28" t="s">
        <v>2091</v>
      </c>
      <c r="Z334" s="28" t="s">
        <v>2096</v>
      </c>
      <c r="AA334" s="28" t="s">
        <v>2097</v>
      </c>
      <c r="AB334" s="28" t="s">
        <v>2098</v>
      </c>
      <c r="AC334" s="28" t="s">
        <v>2099</v>
      </c>
    </row>
    <row r="335" spans="1:29" x14ac:dyDescent="0.2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8" t="s">
        <v>1182</v>
      </c>
      <c r="W335" s="28" t="s">
        <v>1183</v>
      </c>
      <c r="X335" s="28" t="s">
        <v>2100</v>
      </c>
      <c r="Y335" s="28" t="s">
        <v>2101</v>
      </c>
      <c r="Z335" s="28" t="s">
        <v>2102</v>
      </c>
      <c r="AA335" s="28" t="s">
        <v>2103</v>
      </c>
      <c r="AB335" s="28" t="s">
        <v>2104</v>
      </c>
      <c r="AC335" s="28" t="s">
        <v>2105</v>
      </c>
    </row>
    <row r="336" spans="1:29" x14ac:dyDescent="0.2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8" t="s">
        <v>1184</v>
      </c>
      <c r="W336" s="28" t="s">
        <v>1185</v>
      </c>
      <c r="X336" s="28" t="s">
        <v>2106</v>
      </c>
      <c r="Y336" s="28" t="s">
        <v>2107</v>
      </c>
      <c r="Z336" s="28" t="s">
        <v>2108</v>
      </c>
      <c r="AA336" s="28" t="s">
        <v>2109</v>
      </c>
      <c r="AB336" s="28" t="s">
        <v>2110</v>
      </c>
      <c r="AC336" s="28" t="s">
        <v>2111</v>
      </c>
    </row>
    <row r="337" spans="1:29" x14ac:dyDescent="0.2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8" t="s">
        <v>1184</v>
      </c>
      <c r="W337" s="28" t="s">
        <v>1185</v>
      </c>
      <c r="X337" s="28" t="s">
        <v>2106</v>
      </c>
      <c r="Y337" s="28" t="s">
        <v>2107</v>
      </c>
      <c r="Z337" s="28" t="s">
        <v>2108</v>
      </c>
      <c r="AA337" s="28" t="s">
        <v>2109</v>
      </c>
      <c r="AB337" s="28" t="s">
        <v>2110</v>
      </c>
      <c r="AC337" s="28" t="s">
        <v>2111</v>
      </c>
    </row>
    <row r="338" spans="1:29" x14ac:dyDescent="0.2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8" t="s">
        <v>1184</v>
      </c>
      <c r="W338" s="28" t="s">
        <v>1185</v>
      </c>
      <c r="X338" s="28" t="s">
        <v>2106</v>
      </c>
      <c r="Y338" s="28" t="s">
        <v>2107</v>
      </c>
      <c r="Z338" s="28" t="s">
        <v>2108</v>
      </c>
      <c r="AA338" s="28" t="s">
        <v>2109</v>
      </c>
      <c r="AB338" s="28" t="s">
        <v>2110</v>
      </c>
      <c r="AC338" s="28" t="s">
        <v>2111</v>
      </c>
    </row>
    <row r="339" spans="1:29" x14ac:dyDescent="0.2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8" t="s">
        <v>1186</v>
      </c>
      <c r="W339" s="28" t="s">
        <v>1181</v>
      </c>
      <c r="X339" s="28" t="s">
        <v>2112</v>
      </c>
      <c r="Y339" s="28" t="s">
        <v>2091</v>
      </c>
      <c r="Z339" s="28" t="s">
        <v>2113</v>
      </c>
      <c r="AA339" s="28" t="s">
        <v>2114</v>
      </c>
      <c r="AB339" s="28" t="s">
        <v>2115</v>
      </c>
      <c r="AC339" s="28" t="s">
        <v>2116</v>
      </c>
    </row>
    <row r="340" spans="1:29" x14ac:dyDescent="0.2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8" t="s">
        <v>1186</v>
      </c>
      <c r="W340" s="28" t="s">
        <v>1181</v>
      </c>
      <c r="X340" s="28" t="s">
        <v>2112</v>
      </c>
      <c r="Y340" s="28" t="s">
        <v>2091</v>
      </c>
      <c r="Z340" s="28" t="s">
        <v>2113</v>
      </c>
      <c r="AA340" s="28" t="s">
        <v>2114</v>
      </c>
      <c r="AB340" s="28" t="s">
        <v>2115</v>
      </c>
      <c r="AC340" s="28" t="s">
        <v>2116</v>
      </c>
    </row>
    <row r="341" spans="1:29" x14ac:dyDescent="0.2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8" t="s">
        <v>1186</v>
      </c>
      <c r="W341" s="28" t="s">
        <v>1181</v>
      </c>
      <c r="X341" s="28" t="s">
        <v>2112</v>
      </c>
      <c r="Y341" s="28" t="s">
        <v>2091</v>
      </c>
      <c r="Z341" s="28" t="s">
        <v>2113</v>
      </c>
      <c r="AA341" s="28" t="s">
        <v>2114</v>
      </c>
      <c r="AB341" s="28" t="s">
        <v>2115</v>
      </c>
      <c r="AC341" s="28" t="s">
        <v>2116</v>
      </c>
    </row>
    <row r="342" spans="1:29" x14ac:dyDescent="0.2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8" t="s">
        <v>1187</v>
      </c>
      <c r="W342" s="28" t="s">
        <v>1188</v>
      </c>
      <c r="X342" s="28" t="s">
        <v>2117</v>
      </c>
      <c r="Y342" s="28" t="s">
        <v>2118</v>
      </c>
      <c r="Z342" s="28" t="s">
        <v>2119</v>
      </c>
      <c r="AA342" s="28" t="s">
        <v>2120</v>
      </c>
      <c r="AB342" s="28" t="s">
        <v>2121</v>
      </c>
      <c r="AC342" s="28" t="s">
        <v>2122</v>
      </c>
    </row>
    <row r="343" spans="1:29" x14ac:dyDescent="0.2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8" t="s">
        <v>1189</v>
      </c>
      <c r="W343" s="28" t="s">
        <v>1190</v>
      </c>
      <c r="X343" s="28" t="s">
        <v>2123</v>
      </c>
      <c r="Y343" s="28" t="s">
        <v>2124</v>
      </c>
      <c r="Z343" s="28" t="s">
        <v>2125</v>
      </c>
      <c r="AA343" s="28" t="s">
        <v>2126</v>
      </c>
      <c r="AB343" s="28" t="s">
        <v>2127</v>
      </c>
      <c r="AC343" s="28" t="s">
        <v>2128</v>
      </c>
    </row>
    <row r="344" spans="1:29" x14ac:dyDescent="0.2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8" t="s">
        <v>1191</v>
      </c>
      <c r="W344" s="28" t="s">
        <v>1179</v>
      </c>
      <c r="X344" s="28" t="s">
        <v>2129</v>
      </c>
      <c r="Y344" s="28" t="s">
        <v>2085</v>
      </c>
      <c r="Z344" s="28" t="s">
        <v>2130</v>
      </c>
      <c r="AA344" s="28" t="s">
        <v>2131</v>
      </c>
      <c r="AB344" s="28" t="s">
        <v>2132</v>
      </c>
      <c r="AC344" s="28" t="s">
        <v>2133</v>
      </c>
    </row>
    <row r="345" spans="1:29" x14ac:dyDescent="0.2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8" t="s">
        <v>1192</v>
      </c>
      <c r="W345" s="28" t="s">
        <v>1193</v>
      </c>
      <c r="X345" s="28" t="s">
        <v>2134</v>
      </c>
      <c r="Y345" s="28" t="s">
        <v>2135</v>
      </c>
      <c r="Z345" s="28" t="s">
        <v>2136</v>
      </c>
      <c r="AA345" s="28" t="s">
        <v>2137</v>
      </c>
      <c r="AB345" s="28" t="s">
        <v>2138</v>
      </c>
      <c r="AC345" s="28" t="s">
        <v>2139</v>
      </c>
    </row>
    <row r="346" spans="1:29" x14ac:dyDescent="0.2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8" t="s">
        <v>1194</v>
      </c>
      <c r="W346" s="28" t="s">
        <v>1195</v>
      </c>
      <c r="X346" s="28" t="s">
        <v>2140</v>
      </c>
      <c r="Y346" s="28" t="s">
        <v>2141</v>
      </c>
      <c r="Z346" s="28" t="s">
        <v>2142</v>
      </c>
      <c r="AA346" s="28" t="s">
        <v>2143</v>
      </c>
      <c r="AB346" s="28" t="s">
        <v>2144</v>
      </c>
      <c r="AC346" s="28" t="s">
        <v>2145</v>
      </c>
    </row>
    <row r="347" spans="1:29" x14ac:dyDescent="0.2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8" t="s">
        <v>1196</v>
      </c>
      <c r="W347" s="28" t="s">
        <v>1181</v>
      </c>
      <c r="X347" s="28" t="s">
        <v>2146</v>
      </c>
      <c r="Y347" s="28" t="s">
        <v>2091</v>
      </c>
      <c r="Z347" s="28" t="s">
        <v>2147</v>
      </c>
      <c r="AA347" s="28" t="s">
        <v>2097</v>
      </c>
      <c r="AB347" s="28" t="s">
        <v>2148</v>
      </c>
      <c r="AC347" s="28" t="s">
        <v>2099</v>
      </c>
    </row>
    <row r="348" spans="1:29" x14ac:dyDescent="0.2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8" t="s">
        <v>1197</v>
      </c>
      <c r="W348" s="28" t="s">
        <v>1198</v>
      </c>
      <c r="X348" s="28" t="s">
        <v>2149</v>
      </c>
      <c r="Y348" s="28" t="s">
        <v>2150</v>
      </c>
      <c r="Z348" s="28" t="s">
        <v>2151</v>
      </c>
      <c r="AA348" s="28" t="s">
        <v>2152</v>
      </c>
      <c r="AB348" s="28" t="s">
        <v>2153</v>
      </c>
      <c r="AC348" s="28" t="s">
        <v>2154</v>
      </c>
    </row>
    <row r="349" spans="1:29" x14ac:dyDescent="0.2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8" t="s">
        <v>1199</v>
      </c>
      <c r="W349" s="28" t="s">
        <v>1200</v>
      </c>
      <c r="X349" s="28" t="s">
        <v>2155</v>
      </c>
      <c r="Y349" s="28" t="s">
        <v>2156</v>
      </c>
      <c r="Z349" s="28" t="s">
        <v>2157</v>
      </c>
      <c r="AA349" s="28" t="s">
        <v>2158</v>
      </c>
      <c r="AB349" s="28" t="s">
        <v>2159</v>
      </c>
      <c r="AC349" s="28" t="s">
        <v>2160</v>
      </c>
    </row>
    <row r="350" spans="1:29" x14ac:dyDescent="0.2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8" t="s">
        <v>1199</v>
      </c>
      <c r="W350" s="28" t="s">
        <v>1200</v>
      </c>
      <c r="X350" s="28" t="s">
        <v>2155</v>
      </c>
      <c r="Y350" s="28" t="s">
        <v>2156</v>
      </c>
      <c r="Z350" s="28" t="s">
        <v>2157</v>
      </c>
      <c r="AA350" s="28" t="s">
        <v>2158</v>
      </c>
      <c r="AB350" s="28" t="s">
        <v>2159</v>
      </c>
      <c r="AC350" s="28" t="s">
        <v>2160</v>
      </c>
    </row>
    <row r="351" spans="1:29" x14ac:dyDescent="0.2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8" t="s">
        <v>1197</v>
      </c>
      <c r="W351" s="28" t="s">
        <v>1198</v>
      </c>
      <c r="X351" s="28" t="s">
        <v>2149</v>
      </c>
      <c r="Y351" s="28" t="s">
        <v>2150</v>
      </c>
      <c r="Z351" s="28" t="s">
        <v>2161</v>
      </c>
      <c r="AA351" s="28" t="s">
        <v>2162</v>
      </c>
      <c r="AB351" s="28" t="s">
        <v>2163</v>
      </c>
      <c r="AC351" s="28" t="s">
        <v>2164</v>
      </c>
    </row>
    <row r="352" spans="1:29" x14ac:dyDescent="0.2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8" t="s">
        <v>1199</v>
      </c>
      <c r="W352" s="28" t="s">
        <v>1200</v>
      </c>
      <c r="X352" s="28" t="s">
        <v>2155</v>
      </c>
      <c r="Y352" s="28" t="s">
        <v>2156</v>
      </c>
      <c r="Z352" s="28" t="s">
        <v>2157</v>
      </c>
      <c r="AA352" s="28" t="s">
        <v>2158</v>
      </c>
      <c r="AB352" s="28" t="s">
        <v>2159</v>
      </c>
      <c r="AC352" s="28" t="s">
        <v>2160</v>
      </c>
    </row>
    <row r="353" spans="1:29" x14ac:dyDescent="0.2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8" t="s">
        <v>1197</v>
      </c>
      <c r="W353" s="28" t="s">
        <v>1198</v>
      </c>
      <c r="X353" s="28" t="s">
        <v>2149</v>
      </c>
      <c r="Y353" s="28" t="s">
        <v>2150</v>
      </c>
      <c r="Z353" s="28" t="s">
        <v>2161</v>
      </c>
      <c r="AA353" s="28" t="s">
        <v>2162</v>
      </c>
      <c r="AB353" s="28" t="s">
        <v>2163</v>
      </c>
      <c r="AC353" s="28" t="s">
        <v>2164</v>
      </c>
    </row>
    <row r="354" spans="1:29" x14ac:dyDescent="0.2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8" t="s">
        <v>1201</v>
      </c>
      <c r="W354" s="28" t="s">
        <v>1202</v>
      </c>
      <c r="X354" s="28" t="s">
        <v>2165</v>
      </c>
      <c r="Y354" s="28" t="s">
        <v>2166</v>
      </c>
      <c r="Z354" s="28" t="s">
        <v>2167</v>
      </c>
      <c r="AA354" s="28" t="s">
        <v>2168</v>
      </c>
      <c r="AB354" s="28" t="s">
        <v>2169</v>
      </c>
      <c r="AC354" s="28" t="s">
        <v>2170</v>
      </c>
    </row>
    <row r="355" spans="1:29" x14ac:dyDescent="0.2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8" t="s">
        <v>1203</v>
      </c>
      <c r="W355" s="28" t="s">
        <v>1204</v>
      </c>
      <c r="X355" s="28" t="s">
        <v>2171</v>
      </c>
      <c r="Y355" s="28" t="s">
        <v>2172</v>
      </c>
      <c r="Z355" s="28" t="s">
        <v>2173</v>
      </c>
      <c r="AA355" s="28" t="s">
        <v>2174</v>
      </c>
      <c r="AB355" s="28" t="s">
        <v>2175</v>
      </c>
      <c r="AC355" s="28" t="s">
        <v>2176</v>
      </c>
    </row>
    <row r="356" spans="1:29" x14ac:dyDescent="0.2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8" t="s">
        <v>1205</v>
      </c>
      <c r="W356" s="28" t="s">
        <v>1206</v>
      </c>
      <c r="X356" s="28" t="s">
        <v>2177</v>
      </c>
      <c r="Y356" s="28" t="s">
        <v>2178</v>
      </c>
      <c r="Z356" s="28" t="s">
        <v>2179</v>
      </c>
      <c r="AA356" s="28" t="s">
        <v>2180</v>
      </c>
      <c r="AB356" s="28" t="s">
        <v>2181</v>
      </c>
      <c r="AC356" s="28" t="s">
        <v>2182</v>
      </c>
    </row>
    <row r="357" spans="1:29" x14ac:dyDescent="0.2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8" t="s">
        <v>1207</v>
      </c>
      <c r="W357" s="28" t="s">
        <v>1208</v>
      </c>
      <c r="X357" s="28" t="s">
        <v>2183</v>
      </c>
      <c r="Y357" s="28" t="s">
        <v>2184</v>
      </c>
      <c r="Z357" s="28" t="s">
        <v>2185</v>
      </c>
      <c r="AA357" s="28" t="s">
        <v>2186</v>
      </c>
      <c r="AB357" s="28" t="s">
        <v>2187</v>
      </c>
      <c r="AC357" s="28" t="s">
        <v>2188</v>
      </c>
    </row>
    <row r="358" spans="1:29" x14ac:dyDescent="0.2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8" t="s">
        <v>1209</v>
      </c>
      <c r="W358" s="28" t="s">
        <v>1206</v>
      </c>
      <c r="X358" s="28" t="s">
        <v>2189</v>
      </c>
      <c r="Y358" s="28" t="s">
        <v>2178</v>
      </c>
      <c r="Z358" s="28" t="s">
        <v>2190</v>
      </c>
      <c r="AA358" s="28" t="s">
        <v>2191</v>
      </c>
      <c r="AB358" s="28" t="s">
        <v>2192</v>
      </c>
      <c r="AC358" s="28" t="s">
        <v>2193</v>
      </c>
    </row>
    <row r="359" spans="1:29" x14ac:dyDescent="0.2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8" t="s">
        <v>1210</v>
      </c>
      <c r="W359" s="28" t="s">
        <v>1078</v>
      </c>
      <c r="X359" s="28" t="s">
        <v>2194</v>
      </c>
      <c r="Y359" s="28" t="s">
        <v>2195</v>
      </c>
      <c r="Z359" s="28" t="s">
        <v>2196</v>
      </c>
      <c r="AA359" s="28" t="s">
        <v>2197</v>
      </c>
      <c r="AB359" s="28" t="s">
        <v>2198</v>
      </c>
      <c r="AC359" s="28" t="s">
        <v>2199</v>
      </c>
    </row>
    <row r="360" spans="1:29" x14ac:dyDescent="0.2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8" t="s">
        <v>1211</v>
      </c>
      <c r="W360" s="28" t="s">
        <v>1212</v>
      </c>
      <c r="X360" s="28" t="s">
        <v>2200</v>
      </c>
      <c r="Y360" s="28" t="s">
        <v>2201</v>
      </c>
      <c r="Z360" s="28" t="s">
        <v>2202</v>
      </c>
      <c r="AA360" s="28" t="s">
        <v>2203</v>
      </c>
      <c r="AB360" s="28" t="s">
        <v>2204</v>
      </c>
      <c r="AC360" s="28" t="s">
        <v>2205</v>
      </c>
    </row>
    <row r="361" spans="1:29" x14ac:dyDescent="0.2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8" t="s">
        <v>1213</v>
      </c>
      <c r="W361" s="28" t="s">
        <v>1204</v>
      </c>
      <c r="X361" s="28" t="s">
        <v>2206</v>
      </c>
      <c r="Y361" s="28" t="s">
        <v>2172</v>
      </c>
      <c r="Z361" s="28" t="s">
        <v>2207</v>
      </c>
      <c r="AA361" s="28" t="s">
        <v>2208</v>
      </c>
      <c r="AB361" s="28" t="s">
        <v>2209</v>
      </c>
      <c r="AC361" s="28" t="s">
        <v>2210</v>
      </c>
    </row>
    <row r="362" spans="1:29" x14ac:dyDescent="0.2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8" t="s">
        <v>1214</v>
      </c>
      <c r="W362" s="28" t="s">
        <v>1215</v>
      </c>
      <c r="X362" s="28" t="s">
        <v>2211</v>
      </c>
      <c r="Y362" s="28" t="s">
        <v>2212</v>
      </c>
      <c r="Z362" s="28" t="s">
        <v>2213</v>
      </c>
      <c r="AA362" s="28" t="s">
        <v>2214</v>
      </c>
      <c r="AB362" s="28" t="s">
        <v>2215</v>
      </c>
      <c r="AC362" s="28" t="s">
        <v>2216</v>
      </c>
    </row>
    <row r="363" spans="1:29" x14ac:dyDescent="0.2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8" t="s">
        <v>1216</v>
      </c>
      <c r="W363" s="28" t="s">
        <v>1217</v>
      </c>
      <c r="X363" s="28" t="s">
        <v>2217</v>
      </c>
      <c r="Y363" s="28" t="s">
        <v>2218</v>
      </c>
      <c r="Z363" s="28" t="s">
        <v>2219</v>
      </c>
      <c r="AA363" s="28" t="s">
        <v>2220</v>
      </c>
      <c r="AB363" s="28" t="s">
        <v>2221</v>
      </c>
      <c r="AC363" s="28" t="s">
        <v>2222</v>
      </c>
    </row>
    <row r="364" spans="1:29" x14ac:dyDescent="0.2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8" t="s">
        <v>1218</v>
      </c>
      <c r="W364" s="28" t="s">
        <v>1206</v>
      </c>
      <c r="X364" s="28" t="s">
        <v>2223</v>
      </c>
      <c r="Y364" s="28" t="s">
        <v>2178</v>
      </c>
      <c r="Z364" s="28" t="s">
        <v>2224</v>
      </c>
      <c r="AA364" s="28" t="s">
        <v>2225</v>
      </c>
      <c r="AB364" s="28" t="s">
        <v>2226</v>
      </c>
      <c r="AC364" s="28" t="s">
        <v>2227</v>
      </c>
    </row>
    <row r="365" spans="1:29" x14ac:dyDescent="0.2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8" t="s">
        <v>1213</v>
      </c>
      <c r="W365" s="28" t="s">
        <v>1204</v>
      </c>
      <c r="X365" s="28" t="s">
        <v>2206</v>
      </c>
      <c r="Y365" s="28" t="s">
        <v>2172</v>
      </c>
      <c r="Z365" s="28" t="s">
        <v>2207</v>
      </c>
      <c r="AA365" s="28" t="s">
        <v>2208</v>
      </c>
      <c r="AB365" s="28" t="s">
        <v>2209</v>
      </c>
      <c r="AC365" s="28" t="s">
        <v>2210</v>
      </c>
    </row>
    <row r="366" spans="1:29" x14ac:dyDescent="0.2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8" t="s">
        <v>1219</v>
      </c>
      <c r="W366" s="28" t="s">
        <v>1076</v>
      </c>
      <c r="X366" s="28" t="s">
        <v>2228</v>
      </c>
      <c r="Y366" s="28" t="s">
        <v>2229</v>
      </c>
      <c r="Z366" s="28" t="s">
        <v>2230</v>
      </c>
      <c r="AA366" s="28" t="s">
        <v>2231</v>
      </c>
      <c r="AB366" s="28" t="s">
        <v>2232</v>
      </c>
      <c r="AC366" s="28" t="s">
        <v>2233</v>
      </c>
    </row>
    <row r="367" spans="1:29" x14ac:dyDescent="0.2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8" t="s">
        <v>1079</v>
      </c>
      <c r="W367" s="28" t="s">
        <v>1080</v>
      </c>
      <c r="X367" s="28" t="s">
        <v>2234</v>
      </c>
      <c r="Y367" s="28" t="s">
        <v>2235</v>
      </c>
      <c r="Z367" s="28" t="s">
        <v>2236</v>
      </c>
      <c r="AA367" s="28" t="s">
        <v>2237</v>
      </c>
      <c r="AB367" s="28" t="s">
        <v>2238</v>
      </c>
      <c r="AC367" s="28" t="s">
        <v>2239</v>
      </c>
    </row>
    <row r="368" spans="1:29" x14ac:dyDescent="0.2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8" t="s">
        <v>1220</v>
      </c>
      <c r="W368" s="28" t="s">
        <v>1221</v>
      </c>
      <c r="X368" s="28" t="s">
        <v>2240</v>
      </c>
      <c r="Y368" s="28" t="s">
        <v>2241</v>
      </c>
      <c r="Z368" s="28" t="s">
        <v>2242</v>
      </c>
      <c r="AA368" s="28" t="s">
        <v>2243</v>
      </c>
      <c r="AB368" s="28" t="s">
        <v>2244</v>
      </c>
      <c r="AC368" s="28" t="s">
        <v>2245</v>
      </c>
    </row>
    <row r="369" spans="1:29" x14ac:dyDescent="0.2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8" t="s">
        <v>1220</v>
      </c>
      <c r="W369" s="28" t="s">
        <v>1221</v>
      </c>
      <c r="X369" s="28" t="s">
        <v>2240</v>
      </c>
      <c r="Y369" s="28" t="s">
        <v>2241</v>
      </c>
      <c r="Z369" s="28" t="s">
        <v>2246</v>
      </c>
      <c r="AA369" s="28" t="s">
        <v>2247</v>
      </c>
      <c r="AB369" s="28" t="s">
        <v>2248</v>
      </c>
      <c r="AC369" s="28" t="s">
        <v>2249</v>
      </c>
    </row>
    <row r="370" spans="1:29" x14ac:dyDescent="0.2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8" t="s">
        <v>1222</v>
      </c>
      <c r="W370" s="28" t="s">
        <v>1223</v>
      </c>
      <c r="X370" s="28" t="s">
        <v>2250</v>
      </c>
      <c r="Y370" s="28" t="s">
        <v>2251</v>
      </c>
      <c r="Z370" s="28" t="s">
        <v>2252</v>
      </c>
      <c r="AA370" s="28" t="s">
        <v>2253</v>
      </c>
      <c r="AB370" s="28" t="s">
        <v>2254</v>
      </c>
      <c r="AC370" s="28" t="s">
        <v>2255</v>
      </c>
    </row>
    <row r="371" spans="1:29" x14ac:dyDescent="0.2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8" t="s">
        <v>1079</v>
      </c>
      <c r="W371" s="28" t="s">
        <v>1080</v>
      </c>
      <c r="X371" s="28" t="s">
        <v>2234</v>
      </c>
      <c r="Y371" s="28" t="s">
        <v>2235</v>
      </c>
      <c r="Z371" s="28" t="s">
        <v>2256</v>
      </c>
      <c r="AA371" s="28" t="s">
        <v>2257</v>
      </c>
      <c r="AB371" s="28" t="s">
        <v>2258</v>
      </c>
      <c r="AC371" s="28" t="s">
        <v>2259</v>
      </c>
    </row>
    <row r="372" spans="1:29" x14ac:dyDescent="0.2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8" t="s">
        <v>1224</v>
      </c>
      <c r="W372" s="28" t="s">
        <v>1225</v>
      </c>
      <c r="X372" s="28" t="s">
        <v>2260</v>
      </c>
      <c r="Y372" s="28" t="s">
        <v>2261</v>
      </c>
      <c r="Z372" s="28" t="s">
        <v>2262</v>
      </c>
      <c r="AA372" s="28" t="s">
        <v>2263</v>
      </c>
      <c r="AB372" s="28" t="s">
        <v>2264</v>
      </c>
      <c r="AC372" s="28" t="s">
        <v>2265</v>
      </c>
    </row>
    <row r="373" spans="1:29" x14ac:dyDescent="0.2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8" t="s">
        <v>1226</v>
      </c>
      <c r="W373" s="28" t="s">
        <v>1080</v>
      </c>
      <c r="X373" s="28" t="s">
        <v>2266</v>
      </c>
      <c r="Y373" s="28" t="s">
        <v>2235</v>
      </c>
      <c r="Z373" s="28" t="s">
        <v>2267</v>
      </c>
      <c r="AA373" s="28" t="s">
        <v>2268</v>
      </c>
      <c r="AB373" s="28" t="s">
        <v>2269</v>
      </c>
      <c r="AC373" s="28" t="s">
        <v>2270</v>
      </c>
    </row>
    <row r="374" spans="1:29" x14ac:dyDescent="0.2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8" t="s">
        <v>1227</v>
      </c>
      <c r="W374" s="28" t="s">
        <v>1223</v>
      </c>
      <c r="X374" s="28" t="s">
        <v>2271</v>
      </c>
      <c r="Y374" s="28" t="s">
        <v>2251</v>
      </c>
      <c r="Z374" s="28" t="s">
        <v>2272</v>
      </c>
      <c r="AA374" s="28" t="s">
        <v>2273</v>
      </c>
      <c r="AB374" s="28" t="s">
        <v>2274</v>
      </c>
      <c r="AC374" s="28" t="s">
        <v>2275</v>
      </c>
    </row>
    <row r="375" spans="1:29" x14ac:dyDescent="0.2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8" t="s">
        <v>1227</v>
      </c>
      <c r="W375" s="28" t="s">
        <v>1223</v>
      </c>
      <c r="X375" s="28" t="s">
        <v>2271</v>
      </c>
      <c r="Y375" s="28" t="s">
        <v>2251</v>
      </c>
      <c r="Z375" s="28" t="s">
        <v>2272</v>
      </c>
      <c r="AA375" s="28" t="s">
        <v>2273</v>
      </c>
      <c r="AB375" s="28" t="s">
        <v>2274</v>
      </c>
      <c r="AC375" s="28" t="s">
        <v>2275</v>
      </c>
    </row>
    <row r="376" spans="1:29" x14ac:dyDescent="0.2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8" t="s">
        <v>1226</v>
      </c>
      <c r="W376" s="28" t="s">
        <v>1080</v>
      </c>
      <c r="X376" s="28" t="s">
        <v>2266</v>
      </c>
      <c r="Y376" s="28" t="s">
        <v>2235</v>
      </c>
      <c r="Z376" s="28" t="s">
        <v>2276</v>
      </c>
      <c r="AA376" s="28" t="s">
        <v>2257</v>
      </c>
      <c r="AB376" s="28" t="s">
        <v>2277</v>
      </c>
      <c r="AC376" s="28" t="s">
        <v>2259</v>
      </c>
    </row>
    <row r="377" spans="1:29" x14ac:dyDescent="0.2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8" t="s">
        <v>1228</v>
      </c>
      <c r="W377" s="28" t="s">
        <v>1229</v>
      </c>
      <c r="X377" s="28" t="s">
        <v>2278</v>
      </c>
      <c r="Y377" s="28" t="s">
        <v>2279</v>
      </c>
      <c r="Z377" s="28" t="s">
        <v>2280</v>
      </c>
      <c r="AA377" s="28" t="s">
        <v>2281</v>
      </c>
      <c r="AB377" s="28" t="s">
        <v>2282</v>
      </c>
      <c r="AC377" s="28" t="s">
        <v>2283</v>
      </c>
    </row>
    <row r="378" spans="1:29" x14ac:dyDescent="0.2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8" t="s">
        <v>1230</v>
      </c>
      <c r="W378" s="28" t="s">
        <v>1231</v>
      </c>
      <c r="X378" s="28" t="s">
        <v>2284</v>
      </c>
      <c r="Y378" s="28" t="s">
        <v>2285</v>
      </c>
      <c r="Z378" s="28" t="s">
        <v>2286</v>
      </c>
      <c r="AA378" s="28" t="s">
        <v>2287</v>
      </c>
      <c r="AB378" s="28" t="s">
        <v>2288</v>
      </c>
      <c r="AC378" s="28" t="s">
        <v>2289</v>
      </c>
    </row>
    <row r="379" spans="1:29" x14ac:dyDescent="0.2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8" t="s">
        <v>1228</v>
      </c>
      <c r="W379" s="28" t="s">
        <v>1229</v>
      </c>
      <c r="X379" s="28" t="s">
        <v>2278</v>
      </c>
      <c r="Y379" s="28" t="s">
        <v>2279</v>
      </c>
      <c r="Z379" s="28" t="s">
        <v>2280</v>
      </c>
      <c r="AA379" s="28" t="s">
        <v>2281</v>
      </c>
      <c r="AB379" s="28" t="s">
        <v>2282</v>
      </c>
      <c r="AC379" s="28" t="s">
        <v>2283</v>
      </c>
    </row>
    <row r="380" spans="1:29" x14ac:dyDescent="0.2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8" t="s">
        <v>1230</v>
      </c>
      <c r="W380" s="28" t="s">
        <v>1231</v>
      </c>
      <c r="X380" s="28" t="s">
        <v>2284</v>
      </c>
      <c r="Y380" s="28" t="s">
        <v>2285</v>
      </c>
      <c r="Z380" s="28" t="s">
        <v>2290</v>
      </c>
      <c r="AA380" s="28" t="s">
        <v>2291</v>
      </c>
      <c r="AB380" s="28" t="s">
        <v>2292</v>
      </c>
      <c r="AC380" s="28" t="s">
        <v>2293</v>
      </c>
    </row>
    <row r="381" spans="1:29" x14ac:dyDescent="0.2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8" t="s">
        <v>1232</v>
      </c>
      <c r="W381" s="28" t="s">
        <v>1231</v>
      </c>
      <c r="X381" s="28" t="s">
        <v>2294</v>
      </c>
      <c r="Y381" s="28" t="s">
        <v>2285</v>
      </c>
      <c r="Z381" s="28" t="s">
        <v>2295</v>
      </c>
      <c r="AA381" s="28" t="s">
        <v>2291</v>
      </c>
      <c r="AB381" s="28" t="s">
        <v>2296</v>
      </c>
      <c r="AC381" s="28" t="s">
        <v>2293</v>
      </c>
    </row>
    <row r="382" spans="1:29" x14ac:dyDescent="0.2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8" t="s">
        <v>1233</v>
      </c>
      <c r="W382" s="28" t="s">
        <v>1223</v>
      </c>
      <c r="X382" s="28" t="s">
        <v>2297</v>
      </c>
      <c r="Y382" s="28" t="s">
        <v>2251</v>
      </c>
      <c r="Z382" s="28" t="s">
        <v>2298</v>
      </c>
      <c r="AA382" s="28" t="s">
        <v>2253</v>
      </c>
      <c r="AB382" s="28" t="s">
        <v>2299</v>
      </c>
      <c r="AC382" s="28" t="s">
        <v>2255</v>
      </c>
    </row>
    <row r="383" spans="1:29" x14ac:dyDescent="0.2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8" t="s">
        <v>1234</v>
      </c>
      <c r="W383" s="28" t="s">
        <v>1235</v>
      </c>
      <c r="X383" s="28" t="s">
        <v>2300</v>
      </c>
      <c r="Y383" s="28" t="s">
        <v>2301</v>
      </c>
      <c r="Z383" s="28" t="s">
        <v>2302</v>
      </c>
      <c r="AA383" s="28" t="s">
        <v>2303</v>
      </c>
      <c r="AB383" s="28" t="s">
        <v>2304</v>
      </c>
      <c r="AC383" s="28" t="s">
        <v>2305</v>
      </c>
    </row>
    <row r="384" spans="1:29" x14ac:dyDescent="0.2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8" t="s">
        <v>1236</v>
      </c>
      <c r="W384" s="28" t="s">
        <v>1225</v>
      </c>
      <c r="X384" s="28" t="s">
        <v>2306</v>
      </c>
      <c r="Y384" s="28" t="s">
        <v>2261</v>
      </c>
      <c r="Z384" s="28" t="s">
        <v>2307</v>
      </c>
      <c r="AA384" s="28" t="s">
        <v>2308</v>
      </c>
      <c r="AB384" s="28" t="s">
        <v>2309</v>
      </c>
      <c r="AC384" s="28" t="s">
        <v>2310</v>
      </c>
    </row>
    <row r="385" spans="1:29" x14ac:dyDescent="0.2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8" t="s">
        <v>1234</v>
      </c>
      <c r="W385" s="28" t="s">
        <v>1235</v>
      </c>
      <c r="X385" s="28" t="s">
        <v>2300</v>
      </c>
      <c r="Y385" s="28" t="s">
        <v>2301</v>
      </c>
      <c r="Z385" s="28" t="s">
        <v>2302</v>
      </c>
      <c r="AA385" s="28" t="s">
        <v>2303</v>
      </c>
      <c r="AB385" s="28" t="s">
        <v>2304</v>
      </c>
      <c r="AC385" s="28" t="s">
        <v>2305</v>
      </c>
    </row>
    <row r="386" spans="1:29" x14ac:dyDescent="0.2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8" t="s">
        <v>1088</v>
      </c>
      <c r="W386" s="28" t="s">
        <v>1080</v>
      </c>
      <c r="X386" s="28" t="s">
        <v>2311</v>
      </c>
      <c r="Y386" s="28" t="s">
        <v>2235</v>
      </c>
      <c r="Z386" s="28" t="s">
        <v>2312</v>
      </c>
      <c r="AA386" s="28" t="s">
        <v>2313</v>
      </c>
      <c r="AB386" s="28" t="s">
        <v>2314</v>
      </c>
      <c r="AC386" s="28" t="s">
        <v>2315</v>
      </c>
    </row>
    <row r="387" spans="1:29" x14ac:dyDescent="0.2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8" t="s">
        <v>1237</v>
      </c>
      <c r="W387" s="28" t="s">
        <v>1238</v>
      </c>
      <c r="X387" s="28" t="s">
        <v>2316</v>
      </c>
      <c r="Y387" s="28" t="s">
        <v>2317</v>
      </c>
      <c r="Z387" s="28" t="s">
        <v>2318</v>
      </c>
      <c r="AA387" s="28" t="s">
        <v>2319</v>
      </c>
      <c r="AB387" s="28" t="s">
        <v>2320</v>
      </c>
      <c r="AC387" s="28" t="s">
        <v>2321</v>
      </c>
    </row>
    <row r="388" spans="1:29" x14ac:dyDescent="0.2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8" t="s">
        <v>1239</v>
      </c>
      <c r="W388" s="28" t="s">
        <v>1221</v>
      </c>
      <c r="X388" s="28" t="s">
        <v>2322</v>
      </c>
      <c r="Y388" s="28" t="s">
        <v>2241</v>
      </c>
      <c r="Z388" s="28" t="s">
        <v>2323</v>
      </c>
      <c r="AA388" s="28" t="s">
        <v>2247</v>
      </c>
      <c r="AB388" s="28" t="s">
        <v>2324</v>
      </c>
      <c r="AC388" s="28" t="s">
        <v>2249</v>
      </c>
    </row>
    <row r="389" spans="1:29" x14ac:dyDescent="0.2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8" t="s">
        <v>1088</v>
      </c>
      <c r="W389" s="28" t="s">
        <v>1080</v>
      </c>
      <c r="X389" s="28" t="s">
        <v>2311</v>
      </c>
      <c r="Y389" s="28" t="s">
        <v>2235</v>
      </c>
      <c r="Z389" s="28" t="s">
        <v>2325</v>
      </c>
      <c r="AA389" s="28" t="s">
        <v>2326</v>
      </c>
      <c r="AB389" s="28" t="s">
        <v>2327</v>
      </c>
      <c r="AC389" s="28" t="s">
        <v>1693</v>
      </c>
    </row>
    <row r="390" spans="1:29" x14ac:dyDescent="0.2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8" t="s">
        <v>1239</v>
      </c>
      <c r="W390" s="28" t="s">
        <v>1221</v>
      </c>
      <c r="X390" s="28" t="s">
        <v>2322</v>
      </c>
      <c r="Y390" s="28" t="s">
        <v>2241</v>
      </c>
      <c r="Z390" s="28" t="s">
        <v>2323</v>
      </c>
      <c r="AA390" s="28" t="s">
        <v>2247</v>
      </c>
      <c r="AB390" s="28" t="s">
        <v>2324</v>
      </c>
      <c r="AC390" s="28" t="s">
        <v>2249</v>
      </c>
    </row>
    <row r="391" spans="1:29" x14ac:dyDescent="0.2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8" t="s">
        <v>1088</v>
      </c>
      <c r="W391" s="28" t="s">
        <v>1080</v>
      </c>
      <c r="X391" s="28" t="s">
        <v>2311</v>
      </c>
      <c r="Y391" s="28" t="s">
        <v>2235</v>
      </c>
      <c r="Z391" s="28" t="s">
        <v>2325</v>
      </c>
      <c r="AA391" s="28" t="s">
        <v>2326</v>
      </c>
      <c r="AB391" s="28" t="s">
        <v>2327</v>
      </c>
      <c r="AC391" s="28" t="s">
        <v>1693</v>
      </c>
    </row>
    <row r="392" spans="1:29" x14ac:dyDescent="0.2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8" t="s">
        <v>1233</v>
      </c>
      <c r="W392" s="28" t="s">
        <v>1223</v>
      </c>
      <c r="X392" s="28" t="s">
        <v>2297</v>
      </c>
      <c r="Y392" s="28" t="s">
        <v>2251</v>
      </c>
      <c r="Z392" s="28" t="s">
        <v>2328</v>
      </c>
      <c r="AA392" s="28" t="s">
        <v>2273</v>
      </c>
      <c r="AB392" s="28" t="s">
        <v>2329</v>
      </c>
      <c r="AC392" s="28" t="s">
        <v>2275</v>
      </c>
    </row>
    <row r="393" spans="1:29" x14ac:dyDescent="0.2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8" t="s">
        <v>1234</v>
      </c>
      <c r="W393" s="28" t="s">
        <v>1235</v>
      </c>
      <c r="X393" s="28" t="s">
        <v>2300</v>
      </c>
      <c r="Y393" s="28" t="s">
        <v>2301</v>
      </c>
      <c r="Z393" s="28" t="s">
        <v>2302</v>
      </c>
      <c r="AA393" s="28" t="s">
        <v>2303</v>
      </c>
      <c r="AB393" s="28" t="s">
        <v>2304</v>
      </c>
      <c r="AC393" s="28" t="s">
        <v>2305</v>
      </c>
    </row>
    <row r="394" spans="1:29" x14ac:dyDescent="0.2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8" t="s">
        <v>1240</v>
      </c>
      <c r="W394" s="28" t="s">
        <v>1241</v>
      </c>
      <c r="X394" s="28" t="s">
        <v>2330</v>
      </c>
      <c r="Y394" s="28" t="s">
        <v>2331</v>
      </c>
      <c r="Z394" s="28" t="s">
        <v>2332</v>
      </c>
      <c r="AA394" s="28" t="s">
        <v>2333</v>
      </c>
      <c r="AB394" s="28" t="s">
        <v>2334</v>
      </c>
      <c r="AC394" s="28" t="s">
        <v>2335</v>
      </c>
    </row>
    <row r="395" spans="1:29" x14ac:dyDescent="0.2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8" t="s">
        <v>1242</v>
      </c>
      <c r="W395" s="28" t="s">
        <v>1243</v>
      </c>
      <c r="X395" s="28" t="s">
        <v>2336</v>
      </c>
      <c r="Y395" s="28" t="s">
        <v>2337</v>
      </c>
      <c r="Z395" s="28" t="s">
        <v>2338</v>
      </c>
      <c r="AA395" s="28" t="s">
        <v>2339</v>
      </c>
      <c r="AB395" s="28" t="s">
        <v>2340</v>
      </c>
      <c r="AC395" s="28" t="s">
        <v>2341</v>
      </c>
    </row>
    <row r="396" spans="1:29" x14ac:dyDescent="0.2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8" t="s">
        <v>1242</v>
      </c>
      <c r="W396" s="28" t="s">
        <v>1243</v>
      </c>
      <c r="X396" s="28" t="s">
        <v>2336</v>
      </c>
      <c r="Y396" s="28" t="s">
        <v>2337</v>
      </c>
      <c r="Z396" s="28" t="s">
        <v>2338</v>
      </c>
      <c r="AA396" s="28" t="s">
        <v>2339</v>
      </c>
      <c r="AB396" s="28" t="s">
        <v>2340</v>
      </c>
      <c r="AC396" s="28" t="s">
        <v>2341</v>
      </c>
    </row>
    <row r="397" spans="1:29" x14ac:dyDescent="0.2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8" t="s">
        <v>1244</v>
      </c>
      <c r="W397" s="28" t="s">
        <v>1245</v>
      </c>
      <c r="X397" s="28" t="s">
        <v>2342</v>
      </c>
      <c r="Y397" s="28" t="s">
        <v>2343</v>
      </c>
      <c r="Z397" s="28" t="s">
        <v>2344</v>
      </c>
      <c r="AA397" s="28" t="s">
        <v>2345</v>
      </c>
      <c r="AB397" s="28" t="s">
        <v>2346</v>
      </c>
      <c r="AC397" s="28" t="s">
        <v>2347</v>
      </c>
    </row>
    <row r="398" spans="1:29" x14ac:dyDescent="0.2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8" t="s">
        <v>1240</v>
      </c>
      <c r="W398" s="28" t="s">
        <v>1241</v>
      </c>
      <c r="X398" s="28" t="s">
        <v>2330</v>
      </c>
      <c r="Y398" s="28" t="s">
        <v>2331</v>
      </c>
      <c r="Z398" s="28" t="s">
        <v>2348</v>
      </c>
      <c r="AA398" s="28" t="s">
        <v>2349</v>
      </c>
      <c r="AB398" s="28" t="s">
        <v>2350</v>
      </c>
      <c r="AC398" s="28" t="s">
        <v>2351</v>
      </c>
    </row>
    <row r="399" spans="1:29" x14ac:dyDescent="0.2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8" t="s">
        <v>1246</v>
      </c>
      <c r="W399" s="28" t="s">
        <v>1247</v>
      </c>
      <c r="X399" s="28" t="s">
        <v>2352</v>
      </c>
      <c r="Y399" s="28" t="s">
        <v>2353</v>
      </c>
      <c r="Z399" s="28" t="s">
        <v>2354</v>
      </c>
      <c r="AA399" s="28" t="s">
        <v>2355</v>
      </c>
      <c r="AB399" s="28" t="s">
        <v>2356</v>
      </c>
      <c r="AC399" s="28" t="s">
        <v>2357</v>
      </c>
    </row>
    <row r="400" spans="1:29" x14ac:dyDescent="0.2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8" t="s">
        <v>1244</v>
      </c>
      <c r="W400" s="28" t="s">
        <v>1245</v>
      </c>
      <c r="X400" s="28" t="s">
        <v>2342</v>
      </c>
      <c r="Y400" s="28" t="s">
        <v>2343</v>
      </c>
      <c r="Z400" s="28" t="s">
        <v>2344</v>
      </c>
      <c r="AA400" s="28" t="s">
        <v>2345</v>
      </c>
      <c r="AB400" s="28" t="s">
        <v>2346</v>
      </c>
      <c r="AC400" s="28" t="s">
        <v>2347</v>
      </c>
    </row>
    <row r="401" spans="1:29" x14ac:dyDescent="0.2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8" t="s">
        <v>1248</v>
      </c>
      <c r="W401" s="28" t="s">
        <v>1249</v>
      </c>
      <c r="X401" s="28" t="s">
        <v>2358</v>
      </c>
      <c r="Y401" s="28" t="s">
        <v>2359</v>
      </c>
      <c r="Z401" s="28" t="s">
        <v>2360</v>
      </c>
      <c r="AA401" s="28" t="s">
        <v>2361</v>
      </c>
      <c r="AB401" s="28" t="s">
        <v>2362</v>
      </c>
      <c r="AC401" s="28" t="s">
        <v>2363</v>
      </c>
    </row>
    <row r="402" spans="1:29" x14ac:dyDescent="0.2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8" t="s">
        <v>1250</v>
      </c>
      <c r="W402" s="28" t="s">
        <v>1251</v>
      </c>
      <c r="X402" s="28" t="s">
        <v>2364</v>
      </c>
      <c r="Y402" s="28" t="s">
        <v>2365</v>
      </c>
      <c r="Z402" s="28" t="s">
        <v>2366</v>
      </c>
      <c r="AA402" s="28" t="s">
        <v>2367</v>
      </c>
      <c r="AB402" s="28" t="s">
        <v>2368</v>
      </c>
      <c r="AC402" s="28" t="s">
        <v>2369</v>
      </c>
    </row>
    <row r="403" spans="1:29" x14ac:dyDescent="0.2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8" t="s">
        <v>1252</v>
      </c>
      <c r="W403" s="28" t="s">
        <v>1243</v>
      </c>
      <c r="X403" s="28" t="s">
        <v>2370</v>
      </c>
      <c r="Y403" s="28" t="s">
        <v>2337</v>
      </c>
      <c r="Z403" s="28" t="s">
        <v>2371</v>
      </c>
      <c r="AA403" s="28" t="s">
        <v>2372</v>
      </c>
      <c r="AB403" s="28" t="s">
        <v>2373</v>
      </c>
      <c r="AC403" s="28" t="s">
        <v>2374</v>
      </c>
    </row>
    <row r="404" spans="1:29" x14ac:dyDescent="0.2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8" t="s">
        <v>1250</v>
      </c>
      <c r="W404" s="28" t="s">
        <v>1251</v>
      </c>
      <c r="X404" s="28" t="s">
        <v>2364</v>
      </c>
      <c r="Y404" s="28" t="s">
        <v>2365</v>
      </c>
      <c r="Z404" s="28" t="s">
        <v>2366</v>
      </c>
      <c r="AA404" s="28" t="s">
        <v>2367</v>
      </c>
      <c r="AB404" s="28" t="s">
        <v>2368</v>
      </c>
      <c r="AC404" s="28" t="s">
        <v>2369</v>
      </c>
    </row>
    <row r="405" spans="1:29" x14ac:dyDescent="0.2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8" t="s">
        <v>1253</v>
      </c>
      <c r="W405" s="28" t="s">
        <v>1254</v>
      </c>
      <c r="X405" s="28" t="s">
        <v>2375</v>
      </c>
      <c r="Y405" s="28" t="s">
        <v>2376</v>
      </c>
      <c r="Z405" s="28" t="s">
        <v>2377</v>
      </c>
      <c r="AA405" s="28" t="s">
        <v>2378</v>
      </c>
      <c r="AB405" s="28" t="s">
        <v>2379</v>
      </c>
      <c r="AC405" s="28" t="s">
        <v>2380</v>
      </c>
    </row>
    <row r="406" spans="1:29" x14ac:dyDescent="0.2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8" t="s">
        <v>1255</v>
      </c>
      <c r="W406" s="28" t="s">
        <v>1090</v>
      </c>
      <c r="X406" s="28" t="s">
        <v>2381</v>
      </c>
      <c r="Y406" s="28" t="s">
        <v>2382</v>
      </c>
      <c r="Z406" s="28" t="s">
        <v>2383</v>
      </c>
      <c r="AA406" s="28" t="s">
        <v>2384</v>
      </c>
      <c r="AB406" s="28" t="s">
        <v>2385</v>
      </c>
      <c r="AC406" s="28" t="s">
        <v>1748</v>
      </c>
    </row>
    <row r="407" spans="1:29" x14ac:dyDescent="0.2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8" t="s">
        <v>1252</v>
      </c>
      <c r="W407" s="28" t="s">
        <v>1243</v>
      </c>
      <c r="X407" s="28" t="s">
        <v>2370</v>
      </c>
      <c r="Y407" s="28" t="s">
        <v>2337</v>
      </c>
      <c r="Z407" s="28" t="s">
        <v>2386</v>
      </c>
      <c r="AA407" s="28" t="s">
        <v>2339</v>
      </c>
      <c r="AB407" s="28" t="s">
        <v>2387</v>
      </c>
      <c r="AC407" s="28" t="s">
        <v>2341</v>
      </c>
    </row>
    <row r="408" spans="1:29" x14ac:dyDescent="0.2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8" t="s">
        <v>1256</v>
      </c>
      <c r="W408" s="28" t="s">
        <v>1241</v>
      </c>
      <c r="X408" s="28" t="s">
        <v>2388</v>
      </c>
      <c r="Y408" s="28" t="s">
        <v>2331</v>
      </c>
      <c r="Z408" s="28" t="s">
        <v>2389</v>
      </c>
      <c r="AA408" s="28" t="s">
        <v>2349</v>
      </c>
      <c r="AB408" s="28" t="s">
        <v>2390</v>
      </c>
      <c r="AC408" s="28" t="s">
        <v>2351</v>
      </c>
    </row>
    <row r="409" spans="1:29" x14ac:dyDescent="0.2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8" t="s">
        <v>1256</v>
      </c>
      <c r="W409" s="28" t="s">
        <v>1241</v>
      </c>
      <c r="X409" s="28" t="s">
        <v>2388</v>
      </c>
      <c r="Y409" s="28" t="s">
        <v>2331</v>
      </c>
      <c r="Z409" s="28" t="s">
        <v>2389</v>
      </c>
      <c r="AA409" s="28" t="s">
        <v>2349</v>
      </c>
      <c r="AB409" s="28" t="s">
        <v>2390</v>
      </c>
      <c r="AC409" s="28" t="s">
        <v>2351</v>
      </c>
    </row>
    <row r="410" spans="1:29" x14ac:dyDescent="0.2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8" t="s">
        <v>1256</v>
      </c>
      <c r="W410" s="28" t="s">
        <v>1241</v>
      </c>
      <c r="X410" s="28" t="s">
        <v>2388</v>
      </c>
      <c r="Y410" s="28" t="s">
        <v>2331</v>
      </c>
      <c r="Z410" s="28" t="s">
        <v>2389</v>
      </c>
      <c r="AA410" s="28" t="s">
        <v>2349</v>
      </c>
      <c r="AB410" s="28" t="s">
        <v>2390</v>
      </c>
      <c r="AC410" s="28" t="s">
        <v>2351</v>
      </c>
    </row>
    <row r="411" spans="1:29" x14ac:dyDescent="0.2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8" t="s">
        <v>1257</v>
      </c>
      <c r="W411" s="28" t="s">
        <v>1258</v>
      </c>
      <c r="X411" s="28" t="s">
        <v>2391</v>
      </c>
      <c r="Y411" s="28" t="s">
        <v>2392</v>
      </c>
      <c r="Z411" s="28" t="s">
        <v>2393</v>
      </c>
      <c r="AA411" s="28" t="s">
        <v>2394</v>
      </c>
      <c r="AB411" s="28" t="s">
        <v>2395</v>
      </c>
      <c r="AC411" s="28" t="s">
        <v>2396</v>
      </c>
    </row>
    <row r="412" spans="1:29" x14ac:dyDescent="0.2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8" t="s">
        <v>1259</v>
      </c>
      <c r="W412" s="28" t="s">
        <v>1260</v>
      </c>
      <c r="X412" s="28" t="s">
        <v>2397</v>
      </c>
      <c r="Y412" s="28" t="s">
        <v>2398</v>
      </c>
      <c r="Z412" s="28" t="s">
        <v>2399</v>
      </c>
      <c r="AA412" s="28" t="s">
        <v>2400</v>
      </c>
      <c r="AB412" s="28" t="s">
        <v>2401</v>
      </c>
      <c r="AC412" s="28" t="s">
        <v>2402</v>
      </c>
    </row>
    <row r="413" spans="1:29" x14ac:dyDescent="0.2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8" t="s">
        <v>1063</v>
      </c>
      <c r="W413" s="28" t="s">
        <v>1056</v>
      </c>
      <c r="X413" s="28" t="s">
        <v>2403</v>
      </c>
      <c r="Y413" s="28" t="s">
        <v>2404</v>
      </c>
      <c r="Z413" s="28" t="s">
        <v>2405</v>
      </c>
      <c r="AA413" s="28" t="s">
        <v>2406</v>
      </c>
      <c r="AB413" s="28" t="s">
        <v>2407</v>
      </c>
      <c r="AC413" s="28" t="s">
        <v>2408</v>
      </c>
    </row>
    <row r="414" spans="1:29" x14ac:dyDescent="0.2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8" t="s">
        <v>1063</v>
      </c>
      <c r="W414" s="28" t="s">
        <v>1056</v>
      </c>
      <c r="X414" s="28" t="s">
        <v>2403</v>
      </c>
      <c r="Y414" s="28" t="s">
        <v>2404</v>
      </c>
      <c r="Z414" s="28" t="s">
        <v>2405</v>
      </c>
      <c r="AA414" s="28" t="s">
        <v>2406</v>
      </c>
      <c r="AB414" s="28" t="s">
        <v>2407</v>
      </c>
      <c r="AC414" s="28" t="s">
        <v>2408</v>
      </c>
    </row>
    <row r="415" spans="1:29" x14ac:dyDescent="0.2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8" t="s">
        <v>1064</v>
      </c>
      <c r="W415" s="28" t="s">
        <v>1261</v>
      </c>
      <c r="X415" s="28" t="s">
        <v>2409</v>
      </c>
      <c r="Y415" s="28" t="s">
        <v>2410</v>
      </c>
      <c r="Z415" s="28" t="s">
        <v>2411</v>
      </c>
      <c r="AA415" s="28" t="s">
        <v>2412</v>
      </c>
      <c r="AB415" s="28" t="s">
        <v>2413</v>
      </c>
      <c r="AC415" s="28" t="s">
        <v>2414</v>
      </c>
    </row>
    <row r="416" spans="1:29" x14ac:dyDescent="0.2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8" t="s">
        <v>1065</v>
      </c>
      <c r="W416" s="28" t="s">
        <v>1262</v>
      </c>
      <c r="X416" s="28" t="s">
        <v>2415</v>
      </c>
      <c r="Y416" s="28" t="s">
        <v>2416</v>
      </c>
      <c r="Z416" s="28" t="s">
        <v>2417</v>
      </c>
      <c r="AA416" s="28" t="s">
        <v>2418</v>
      </c>
      <c r="AB416" s="28" t="s">
        <v>2419</v>
      </c>
      <c r="AC416" s="28" t="s">
        <v>2420</v>
      </c>
    </row>
    <row r="417" spans="1:29" x14ac:dyDescent="0.2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8" t="s">
        <v>1065</v>
      </c>
      <c r="W417" s="28" t="s">
        <v>1262</v>
      </c>
      <c r="X417" s="28" t="s">
        <v>2415</v>
      </c>
      <c r="Y417" s="28" t="s">
        <v>2416</v>
      </c>
      <c r="Z417" s="28" t="s">
        <v>2417</v>
      </c>
      <c r="AA417" s="28" t="s">
        <v>2418</v>
      </c>
      <c r="AB417" s="28" t="s">
        <v>2419</v>
      </c>
      <c r="AC417" s="28" t="s">
        <v>2420</v>
      </c>
    </row>
    <row r="418" spans="1:29" x14ac:dyDescent="0.2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8" t="s">
        <v>1066</v>
      </c>
      <c r="W418" s="28" t="s">
        <v>1057</v>
      </c>
      <c r="X418" s="28" t="s">
        <v>2421</v>
      </c>
      <c r="Y418" s="28" t="s">
        <v>2422</v>
      </c>
      <c r="Z418" s="28" t="s">
        <v>2423</v>
      </c>
      <c r="AA418" s="28" t="s">
        <v>2424</v>
      </c>
      <c r="AB418" s="28" t="s">
        <v>2425</v>
      </c>
      <c r="AC418" s="28" t="s">
        <v>2426</v>
      </c>
    </row>
    <row r="419" spans="1:29" x14ac:dyDescent="0.2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8" t="s">
        <v>1263</v>
      </c>
      <c r="W419" s="28" t="s">
        <v>1264</v>
      </c>
      <c r="X419" s="28" t="s">
        <v>2427</v>
      </c>
      <c r="Y419" s="28" t="s">
        <v>2428</v>
      </c>
      <c r="Z419" s="28" t="s">
        <v>2429</v>
      </c>
      <c r="AA419" s="28" t="s">
        <v>2430</v>
      </c>
      <c r="AB419" s="28" t="s">
        <v>2431</v>
      </c>
      <c r="AC419" s="28" t="s">
        <v>2432</v>
      </c>
    </row>
    <row r="420" spans="1:29" x14ac:dyDescent="0.2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8" t="s">
        <v>1265</v>
      </c>
      <c r="W420" s="28" t="s">
        <v>1266</v>
      </c>
      <c r="X420" s="28" t="s">
        <v>2433</v>
      </c>
      <c r="Y420" s="28" t="s">
        <v>2434</v>
      </c>
      <c r="Z420" s="28" t="s">
        <v>2435</v>
      </c>
      <c r="AA420" s="28" t="s">
        <v>2436</v>
      </c>
      <c r="AB420" s="28" t="s">
        <v>2437</v>
      </c>
      <c r="AC420" s="28" t="s">
        <v>2438</v>
      </c>
    </row>
    <row r="421" spans="1:29" x14ac:dyDescent="0.2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8" t="s">
        <v>1267</v>
      </c>
      <c r="W421" s="28" t="s">
        <v>1268</v>
      </c>
      <c r="X421" s="28" t="s">
        <v>2439</v>
      </c>
      <c r="Y421" s="28" t="s">
        <v>2440</v>
      </c>
      <c r="Z421" s="28" t="s">
        <v>2441</v>
      </c>
      <c r="AA421" s="28" t="s">
        <v>2442</v>
      </c>
      <c r="AB421" s="28" t="s">
        <v>2443</v>
      </c>
      <c r="AC421" s="28" t="s">
        <v>2444</v>
      </c>
    </row>
    <row r="422" spans="1:29" x14ac:dyDescent="0.2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8" t="s">
        <v>1269</v>
      </c>
      <c r="W422" s="28" t="s">
        <v>1270</v>
      </c>
      <c r="X422" s="28" t="s">
        <v>2445</v>
      </c>
      <c r="Y422" s="28" t="s">
        <v>2446</v>
      </c>
      <c r="Z422" s="28" t="s">
        <v>2447</v>
      </c>
      <c r="AA422" s="28" t="s">
        <v>2448</v>
      </c>
      <c r="AB422" s="28" t="s">
        <v>2449</v>
      </c>
      <c r="AC422" s="28" t="s">
        <v>2450</v>
      </c>
    </row>
    <row r="423" spans="1:29" x14ac:dyDescent="0.2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8" t="s">
        <v>1271</v>
      </c>
      <c r="W423" s="28" t="s">
        <v>1272</v>
      </c>
      <c r="X423" s="28" t="s">
        <v>2451</v>
      </c>
      <c r="Y423" s="28" t="s">
        <v>2452</v>
      </c>
      <c r="Z423" s="28" t="s">
        <v>2453</v>
      </c>
      <c r="AA423" s="28" t="s">
        <v>2454</v>
      </c>
      <c r="AB423" s="28" t="s">
        <v>2455</v>
      </c>
      <c r="AC423" s="28" t="s">
        <v>2456</v>
      </c>
    </row>
    <row r="424" spans="1:29" x14ac:dyDescent="0.2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8" t="s">
        <v>1273</v>
      </c>
      <c r="W424" s="28" t="s">
        <v>1272</v>
      </c>
      <c r="X424" s="28" t="s">
        <v>2457</v>
      </c>
      <c r="Y424" s="28" t="s">
        <v>2452</v>
      </c>
      <c r="Z424" s="28" t="s">
        <v>2458</v>
      </c>
      <c r="AA424" s="28" t="s">
        <v>2454</v>
      </c>
      <c r="AB424" s="28" t="s">
        <v>2459</v>
      </c>
      <c r="AC424" s="28" t="s">
        <v>2456</v>
      </c>
    </row>
    <row r="425" spans="1:29" x14ac:dyDescent="0.2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8" t="s">
        <v>1106</v>
      </c>
      <c r="W425" s="28" t="s">
        <v>1107</v>
      </c>
      <c r="X425" s="28" t="s">
        <v>2460</v>
      </c>
      <c r="Y425" s="28" t="s">
        <v>2461</v>
      </c>
      <c r="Z425" s="28" t="s">
        <v>2462</v>
      </c>
      <c r="AA425" s="28" t="s">
        <v>2463</v>
      </c>
      <c r="AB425" s="28" t="s">
        <v>2464</v>
      </c>
      <c r="AC425" s="28" t="s">
        <v>2465</v>
      </c>
    </row>
    <row r="426" spans="1:29" x14ac:dyDescent="0.2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8" t="s">
        <v>1274</v>
      </c>
      <c r="W426" s="28" t="s">
        <v>1275</v>
      </c>
      <c r="X426" s="28" t="s">
        <v>2466</v>
      </c>
      <c r="Y426" s="28" t="s">
        <v>2467</v>
      </c>
      <c r="Z426" s="28" t="s">
        <v>2468</v>
      </c>
      <c r="AA426" s="28" t="s">
        <v>2469</v>
      </c>
      <c r="AB426" s="28" t="s">
        <v>2470</v>
      </c>
      <c r="AC426" s="28" t="s">
        <v>2471</v>
      </c>
    </row>
    <row r="427" spans="1:29" x14ac:dyDescent="0.2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8" t="s">
        <v>1088</v>
      </c>
      <c r="W427" s="28" t="s">
        <v>1080</v>
      </c>
      <c r="X427" s="28" t="s">
        <v>2472</v>
      </c>
      <c r="Y427" s="28" t="s">
        <v>2473</v>
      </c>
      <c r="Z427" s="28" t="s">
        <v>2474</v>
      </c>
      <c r="AA427" s="28" t="s">
        <v>2475</v>
      </c>
      <c r="AB427" s="28" t="s">
        <v>2314</v>
      </c>
      <c r="AC427" s="28" t="s">
        <v>2315</v>
      </c>
    </row>
    <row r="428" spans="1:29" x14ac:dyDescent="0.2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8" t="s">
        <v>1067</v>
      </c>
      <c r="W428" s="28" t="s">
        <v>1058</v>
      </c>
      <c r="X428" s="28" t="s">
        <v>2476</v>
      </c>
      <c r="Y428" s="28" t="s">
        <v>2477</v>
      </c>
      <c r="Z428" s="28" t="s">
        <v>2478</v>
      </c>
      <c r="AA428" s="28" t="s">
        <v>2479</v>
      </c>
      <c r="AB428" s="28" t="s">
        <v>2480</v>
      </c>
      <c r="AC428" s="28" t="s">
        <v>2481</v>
      </c>
    </row>
    <row r="429" spans="1:29" x14ac:dyDescent="0.2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8" t="s">
        <v>1210</v>
      </c>
      <c r="W429" s="28" t="s">
        <v>1078</v>
      </c>
      <c r="X429" s="28" t="s">
        <v>2482</v>
      </c>
      <c r="Y429" s="28" t="s">
        <v>2483</v>
      </c>
      <c r="Z429" s="28" t="s">
        <v>2484</v>
      </c>
      <c r="AA429" s="28" t="s">
        <v>2485</v>
      </c>
      <c r="AB429" s="28" t="s">
        <v>2198</v>
      </c>
      <c r="AC429" s="28" t="s">
        <v>2199</v>
      </c>
    </row>
    <row r="430" spans="1:29" x14ac:dyDescent="0.2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8" t="s">
        <v>1276</v>
      </c>
      <c r="W430" s="28" t="s">
        <v>1277</v>
      </c>
      <c r="X430" s="28" t="s">
        <v>2486</v>
      </c>
      <c r="Y430" s="28" t="s">
        <v>2487</v>
      </c>
      <c r="Z430" s="28" t="s">
        <v>2488</v>
      </c>
      <c r="AA430" s="28" t="s">
        <v>2489</v>
      </c>
      <c r="AB430" s="28" t="s">
        <v>2490</v>
      </c>
      <c r="AC430" s="28" t="s">
        <v>2491</v>
      </c>
    </row>
    <row r="431" spans="1:29" x14ac:dyDescent="0.2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8" t="s">
        <v>1276</v>
      </c>
      <c r="W431" s="28" t="s">
        <v>1277</v>
      </c>
      <c r="X431" s="28" t="s">
        <v>2486</v>
      </c>
      <c r="Y431" s="28" t="s">
        <v>2487</v>
      </c>
      <c r="Z431" s="28" t="s">
        <v>2488</v>
      </c>
      <c r="AA431" s="28" t="s">
        <v>2489</v>
      </c>
      <c r="AB431" s="28" t="s">
        <v>2490</v>
      </c>
      <c r="AC431" s="28" t="s">
        <v>2491</v>
      </c>
    </row>
    <row r="432" spans="1:29" x14ac:dyDescent="0.2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8" t="s">
        <v>1276</v>
      </c>
      <c r="W432" s="28" t="s">
        <v>1277</v>
      </c>
      <c r="X432" s="28" t="s">
        <v>2486</v>
      </c>
      <c r="Y432" s="28" t="s">
        <v>2487</v>
      </c>
      <c r="Z432" s="28" t="s">
        <v>2488</v>
      </c>
      <c r="AA432" s="28" t="s">
        <v>2489</v>
      </c>
      <c r="AB432" s="28" t="s">
        <v>2490</v>
      </c>
      <c r="AC432" s="28" t="s">
        <v>2491</v>
      </c>
    </row>
    <row r="433" spans="1:29" x14ac:dyDescent="0.2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8" t="s">
        <v>1276</v>
      </c>
      <c r="W433" s="28" t="s">
        <v>1277</v>
      </c>
      <c r="X433" s="28" t="s">
        <v>2486</v>
      </c>
      <c r="Y433" s="28" t="s">
        <v>2487</v>
      </c>
      <c r="Z433" s="28" t="s">
        <v>2488</v>
      </c>
      <c r="AA433" s="28" t="s">
        <v>2489</v>
      </c>
      <c r="AB433" s="28" t="s">
        <v>2490</v>
      </c>
      <c r="AC433" s="28" t="s">
        <v>2491</v>
      </c>
    </row>
    <row r="434" spans="1:29" x14ac:dyDescent="0.2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8" t="s">
        <v>1276</v>
      </c>
      <c r="W434" s="28" t="s">
        <v>1277</v>
      </c>
      <c r="X434" s="28" t="s">
        <v>2486</v>
      </c>
      <c r="Y434" s="28" t="s">
        <v>2487</v>
      </c>
      <c r="Z434" s="28" t="s">
        <v>2488</v>
      </c>
      <c r="AA434" s="28" t="s">
        <v>2489</v>
      </c>
      <c r="AB434" s="28" t="s">
        <v>2490</v>
      </c>
      <c r="AC434" s="28" t="s">
        <v>2491</v>
      </c>
    </row>
    <row r="435" spans="1:29" x14ac:dyDescent="0.2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8" t="s">
        <v>1276</v>
      </c>
      <c r="W435" s="28" t="s">
        <v>1277</v>
      </c>
      <c r="X435" s="28" t="s">
        <v>2486</v>
      </c>
      <c r="Y435" s="28" t="s">
        <v>2487</v>
      </c>
      <c r="Z435" s="28" t="s">
        <v>2488</v>
      </c>
      <c r="AA435" s="28" t="s">
        <v>2489</v>
      </c>
      <c r="AB435" s="28" t="s">
        <v>2490</v>
      </c>
      <c r="AC435" s="28" t="s">
        <v>2491</v>
      </c>
    </row>
    <row r="436" spans="1:29" x14ac:dyDescent="0.2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8" t="s">
        <v>1276</v>
      </c>
      <c r="W436" s="28" t="s">
        <v>1277</v>
      </c>
      <c r="X436" s="28" t="s">
        <v>2486</v>
      </c>
      <c r="Y436" s="28" t="s">
        <v>2487</v>
      </c>
      <c r="Z436" s="28" t="s">
        <v>2488</v>
      </c>
      <c r="AA436" s="28" t="s">
        <v>2489</v>
      </c>
      <c r="AB436" s="28" t="s">
        <v>2490</v>
      </c>
      <c r="AC436" s="28" t="s">
        <v>2491</v>
      </c>
    </row>
    <row r="437" spans="1:29" x14ac:dyDescent="0.2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8" t="s">
        <v>1276</v>
      </c>
      <c r="W437" s="28" t="s">
        <v>1277</v>
      </c>
      <c r="X437" s="28" t="s">
        <v>2486</v>
      </c>
      <c r="Y437" s="28" t="s">
        <v>2487</v>
      </c>
      <c r="Z437" s="28" t="s">
        <v>2488</v>
      </c>
      <c r="AA437" s="28" t="s">
        <v>2489</v>
      </c>
      <c r="AB437" s="28" t="s">
        <v>2490</v>
      </c>
      <c r="AC437" s="28" t="s">
        <v>2491</v>
      </c>
    </row>
    <row r="438" spans="1:29" x14ac:dyDescent="0.2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8" t="s">
        <v>1276</v>
      </c>
      <c r="W438" s="28" t="s">
        <v>1277</v>
      </c>
      <c r="X438" s="28" t="s">
        <v>2486</v>
      </c>
      <c r="Y438" s="28" t="s">
        <v>2487</v>
      </c>
      <c r="Z438" s="28" t="s">
        <v>2488</v>
      </c>
      <c r="AA438" s="28" t="s">
        <v>2489</v>
      </c>
      <c r="AB438" s="28" t="s">
        <v>2490</v>
      </c>
      <c r="AC438" s="28" t="s">
        <v>2491</v>
      </c>
    </row>
    <row r="439" spans="1:29" x14ac:dyDescent="0.2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8" t="s">
        <v>1276</v>
      </c>
      <c r="W439" s="28" t="s">
        <v>1277</v>
      </c>
      <c r="X439" s="28" t="s">
        <v>2486</v>
      </c>
      <c r="Y439" s="28" t="s">
        <v>2487</v>
      </c>
      <c r="Z439" s="28" t="s">
        <v>2488</v>
      </c>
      <c r="AA439" s="28" t="s">
        <v>2489</v>
      </c>
      <c r="AB439" s="28" t="s">
        <v>2490</v>
      </c>
      <c r="AC439" s="28" t="s">
        <v>2491</v>
      </c>
    </row>
    <row r="440" spans="1:29" x14ac:dyDescent="0.2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8" t="s">
        <v>1276</v>
      </c>
      <c r="W440" s="28" t="s">
        <v>1277</v>
      </c>
      <c r="X440" s="28" t="s">
        <v>2486</v>
      </c>
      <c r="Y440" s="28" t="s">
        <v>2487</v>
      </c>
      <c r="Z440" s="28" t="s">
        <v>2488</v>
      </c>
      <c r="AA440" s="28" t="s">
        <v>2489</v>
      </c>
      <c r="AB440" s="28" t="s">
        <v>2490</v>
      </c>
      <c r="AC440" s="28" t="s">
        <v>2491</v>
      </c>
    </row>
    <row r="441" spans="1:29" x14ac:dyDescent="0.2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8" t="s">
        <v>1276</v>
      </c>
      <c r="W441" s="28" t="s">
        <v>1277</v>
      </c>
      <c r="X441" s="28" t="s">
        <v>2486</v>
      </c>
      <c r="Y441" s="28" t="s">
        <v>2487</v>
      </c>
      <c r="Z441" s="28" t="s">
        <v>2488</v>
      </c>
      <c r="AA441" s="28" t="s">
        <v>2489</v>
      </c>
      <c r="AB441" s="28" t="s">
        <v>2490</v>
      </c>
      <c r="AC441" s="28" t="s">
        <v>2491</v>
      </c>
    </row>
    <row r="442" spans="1:29" x14ac:dyDescent="0.2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8" t="s">
        <v>1068</v>
      </c>
      <c r="W442" s="28" t="s">
        <v>1058</v>
      </c>
      <c r="X442" s="28" t="s">
        <v>2492</v>
      </c>
      <c r="Y442" s="28" t="s">
        <v>2477</v>
      </c>
      <c r="Z442" s="28" t="s">
        <v>2493</v>
      </c>
      <c r="AA442" s="28" t="s">
        <v>2494</v>
      </c>
      <c r="AB442" s="28" t="s">
        <v>2495</v>
      </c>
      <c r="AC442" s="28" t="s">
        <v>2496</v>
      </c>
    </row>
    <row r="443" spans="1:29" x14ac:dyDescent="0.2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8" t="s">
        <v>1068</v>
      </c>
      <c r="W443" s="28" t="s">
        <v>1058</v>
      </c>
      <c r="X443" s="28" t="s">
        <v>2492</v>
      </c>
      <c r="Y443" s="28" t="s">
        <v>2477</v>
      </c>
      <c r="Z443" s="28" t="s">
        <v>2493</v>
      </c>
      <c r="AA443" s="28" t="s">
        <v>2494</v>
      </c>
      <c r="AB443" s="28" t="s">
        <v>2495</v>
      </c>
      <c r="AC443" s="28" t="s">
        <v>2496</v>
      </c>
    </row>
    <row r="444" spans="1:29" x14ac:dyDescent="0.2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8" t="s">
        <v>1069</v>
      </c>
      <c r="W444" s="28" t="s">
        <v>1059</v>
      </c>
      <c r="X444" s="28" t="s">
        <v>2497</v>
      </c>
      <c r="Y444" s="28" t="s">
        <v>2498</v>
      </c>
      <c r="Z444" s="28" t="s">
        <v>2499</v>
      </c>
      <c r="AA444" s="28" t="s">
        <v>2500</v>
      </c>
      <c r="AB444" s="28" t="s">
        <v>2501</v>
      </c>
      <c r="AC444" s="28" t="s">
        <v>2502</v>
      </c>
    </row>
    <row r="445" spans="1:29" x14ac:dyDescent="0.2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8" t="s">
        <v>1068</v>
      </c>
      <c r="W445" s="28" t="s">
        <v>1058</v>
      </c>
      <c r="X445" s="28" t="s">
        <v>2492</v>
      </c>
      <c r="Y445" s="28" t="s">
        <v>2477</v>
      </c>
      <c r="Z445" s="28" t="s">
        <v>2503</v>
      </c>
      <c r="AA445" s="28" t="s">
        <v>2504</v>
      </c>
      <c r="AB445" s="28" t="s">
        <v>2505</v>
      </c>
      <c r="AC445" s="28" t="s">
        <v>2506</v>
      </c>
    </row>
    <row r="446" spans="1:29" x14ac:dyDescent="0.2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8" t="s">
        <v>1068</v>
      </c>
      <c r="W446" s="28" t="s">
        <v>1058</v>
      </c>
      <c r="X446" s="28" t="s">
        <v>2492</v>
      </c>
      <c r="Y446" s="28" t="s">
        <v>2477</v>
      </c>
      <c r="Z446" s="28" t="s">
        <v>2503</v>
      </c>
      <c r="AA446" s="28" t="s">
        <v>2504</v>
      </c>
      <c r="AB446" s="28" t="s">
        <v>2505</v>
      </c>
      <c r="AC446" s="28" t="s">
        <v>2506</v>
      </c>
    </row>
    <row r="447" spans="1:29" x14ac:dyDescent="0.2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8" t="s">
        <v>1070</v>
      </c>
      <c r="W447" s="28" t="s">
        <v>1058</v>
      </c>
      <c r="X447" s="28" t="s">
        <v>2507</v>
      </c>
      <c r="Y447" s="28" t="s">
        <v>2477</v>
      </c>
      <c r="Z447" s="28" t="s">
        <v>2508</v>
      </c>
      <c r="AA447" s="28" t="s">
        <v>2504</v>
      </c>
      <c r="AB447" s="28" t="s">
        <v>2509</v>
      </c>
      <c r="AC447" s="28" t="s">
        <v>2506</v>
      </c>
    </row>
    <row r="448" spans="1:29" x14ac:dyDescent="0.2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8" t="s">
        <v>1070</v>
      </c>
      <c r="W448" s="28" t="s">
        <v>1058</v>
      </c>
      <c r="X448" s="28" t="s">
        <v>2507</v>
      </c>
      <c r="Y448" s="28" t="s">
        <v>2477</v>
      </c>
      <c r="Z448" s="28" t="s">
        <v>2508</v>
      </c>
      <c r="AA448" s="28" t="s">
        <v>2504</v>
      </c>
      <c r="AB448" s="28" t="s">
        <v>2509</v>
      </c>
      <c r="AC448" s="28" t="s">
        <v>2506</v>
      </c>
    </row>
    <row r="449" spans="1:29" x14ac:dyDescent="0.2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8" t="s">
        <v>1070</v>
      </c>
      <c r="W449" s="28" t="s">
        <v>1058</v>
      </c>
      <c r="X449" s="28" t="s">
        <v>2507</v>
      </c>
      <c r="Y449" s="28" t="s">
        <v>2477</v>
      </c>
      <c r="Z449" s="28" t="s">
        <v>2508</v>
      </c>
      <c r="AA449" s="28" t="s">
        <v>2504</v>
      </c>
      <c r="AB449" s="28" t="s">
        <v>2509</v>
      </c>
      <c r="AC449" s="28" t="s">
        <v>2506</v>
      </c>
    </row>
    <row r="450" spans="1:29" x14ac:dyDescent="0.2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8" t="s">
        <v>1233</v>
      </c>
      <c r="W450" s="28" t="s">
        <v>1223</v>
      </c>
      <c r="X450" s="28" t="s">
        <v>2510</v>
      </c>
      <c r="Y450" s="28" t="s">
        <v>2511</v>
      </c>
      <c r="Z450" s="28" t="s">
        <v>2512</v>
      </c>
      <c r="AA450" s="28" t="s">
        <v>2513</v>
      </c>
      <c r="AB450" s="28" t="s">
        <v>2514</v>
      </c>
      <c r="AC450" s="28" t="s">
        <v>2515</v>
      </c>
    </row>
    <row r="451" spans="1:29" x14ac:dyDescent="0.2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8" t="s">
        <v>1278</v>
      </c>
      <c r="W451" s="28" t="s">
        <v>1279</v>
      </c>
      <c r="X451" s="28" t="s">
        <v>2516</v>
      </c>
      <c r="Y451" s="28" t="s">
        <v>2517</v>
      </c>
      <c r="Z451" s="28" t="s">
        <v>2518</v>
      </c>
      <c r="AA451" s="28" t="s">
        <v>2519</v>
      </c>
      <c r="AB451" s="28" t="s">
        <v>2520</v>
      </c>
      <c r="AC451" s="28" t="s">
        <v>2521</v>
      </c>
    </row>
    <row r="452" spans="1:29" x14ac:dyDescent="0.2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8" t="s">
        <v>1280</v>
      </c>
      <c r="W452" s="28" t="s">
        <v>1281</v>
      </c>
      <c r="X452" s="28" t="s">
        <v>2522</v>
      </c>
      <c r="Y452" s="28" t="s">
        <v>2523</v>
      </c>
      <c r="Z452" s="28" t="s">
        <v>2524</v>
      </c>
      <c r="AA452" s="28" t="s">
        <v>2525</v>
      </c>
      <c r="AB452" s="28" t="s">
        <v>2526</v>
      </c>
      <c r="AC452" s="28" t="s">
        <v>2527</v>
      </c>
    </row>
    <row r="453" spans="1:29" x14ac:dyDescent="0.2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8" t="s">
        <v>1280</v>
      </c>
      <c r="W453" s="28" t="s">
        <v>1281</v>
      </c>
      <c r="X453" s="28" t="s">
        <v>2522</v>
      </c>
      <c r="Y453" s="28" t="s">
        <v>2523</v>
      </c>
      <c r="Z453" s="28" t="s">
        <v>2528</v>
      </c>
      <c r="AA453" s="28" t="s">
        <v>2529</v>
      </c>
      <c r="AB453" s="28" t="s">
        <v>2530</v>
      </c>
      <c r="AC453" s="28" t="s">
        <v>2531</v>
      </c>
    </row>
    <row r="454" spans="1:29" x14ac:dyDescent="0.2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8" t="s">
        <v>1282</v>
      </c>
      <c r="W454" s="28" t="s">
        <v>1283</v>
      </c>
      <c r="X454" s="28" t="s">
        <v>2532</v>
      </c>
      <c r="Y454" s="28" t="s">
        <v>2533</v>
      </c>
      <c r="Z454" s="28" t="s">
        <v>2534</v>
      </c>
      <c r="AA454" s="28" t="s">
        <v>2535</v>
      </c>
      <c r="AB454" s="28" t="s">
        <v>2536</v>
      </c>
      <c r="AC454" s="28" t="s">
        <v>2537</v>
      </c>
    </row>
    <row r="455" spans="1:29" x14ac:dyDescent="0.2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8" t="s">
        <v>1282</v>
      </c>
      <c r="W455" s="28" t="s">
        <v>1283</v>
      </c>
      <c r="X455" s="28" t="s">
        <v>2532</v>
      </c>
      <c r="Y455" s="28" t="s">
        <v>2533</v>
      </c>
      <c r="Z455" s="28" t="s">
        <v>2538</v>
      </c>
      <c r="AA455" s="28" t="s">
        <v>2539</v>
      </c>
      <c r="AB455" s="28" t="s">
        <v>2540</v>
      </c>
      <c r="AC455" s="28" t="s">
        <v>2541</v>
      </c>
    </row>
    <row r="456" spans="1:29" x14ac:dyDescent="0.2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8" t="s">
        <v>1282</v>
      </c>
      <c r="W456" s="28" t="s">
        <v>1283</v>
      </c>
      <c r="X456" s="28" t="s">
        <v>2532</v>
      </c>
      <c r="Y456" s="28" t="s">
        <v>2533</v>
      </c>
      <c r="Z456" s="28" t="s">
        <v>2538</v>
      </c>
      <c r="AA456" s="28" t="s">
        <v>2539</v>
      </c>
      <c r="AB456" s="28" t="s">
        <v>2540</v>
      </c>
      <c r="AC456" s="28" t="s">
        <v>2541</v>
      </c>
    </row>
    <row r="457" spans="1:29" x14ac:dyDescent="0.2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8" t="s">
        <v>1282</v>
      </c>
      <c r="W457" s="28" t="s">
        <v>1283</v>
      </c>
      <c r="X457" s="28" t="s">
        <v>2532</v>
      </c>
      <c r="Y457" s="28" t="s">
        <v>2533</v>
      </c>
      <c r="Z457" s="28" t="s">
        <v>2538</v>
      </c>
      <c r="AA457" s="28" t="s">
        <v>2539</v>
      </c>
      <c r="AB457" s="28" t="s">
        <v>2540</v>
      </c>
      <c r="AC457" s="28" t="s">
        <v>2541</v>
      </c>
    </row>
    <row r="458" spans="1:29" x14ac:dyDescent="0.2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8" t="s">
        <v>1284</v>
      </c>
      <c r="W458" s="28" t="s">
        <v>1285</v>
      </c>
      <c r="X458" s="28" t="s">
        <v>2542</v>
      </c>
      <c r="Y458" s="28" t="s">
        <v>2543</v>
      </c>
      <c r="Z458" s="28" t="s">
        <v>2544</v>
      </c>
      <c r="AA458" s="28" t="s">
        <v>2545</v>
      </c>
      <c r="AB458" s="28" t="s">
        <v>2546</v>
      </c>
      <c r="AC458" s="28" t="s">
        <v>2547</v>
      </c>
    </row>
    <row r="459" spans="1:29" x14ac:dyDescent="0.2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8" t="s">
        <v>1284</v>
      </c>
      <c r="W459" s="28" t="s">
        <v>1285</v>
      </c>
      <c r="X459" s="28" t="s">
        <v>2542</v>
      </c>
      <c r="Y459" s="28" t="s">
        <v>2543</v>
      </c>
      <c r="Z459" s="28" t="s">
        <v>2544</v>
      </c>
      <c r="AA459" s="28" t="s">
        <v>2545</v>
      </c>
      <c r="AB459" s="28" t="s">
        <v>2546</v>
      </c>
      <c r="AC459" s="28" t="s">
        <v>2547</v>
      </c>
    </row>
    <row r="460" spans="1:29" x14ac:dyDescent="0.2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8" t="s">
        <v>1284</v>
      </c>
      <c r="W460" s="28" t="s">
        <v>1285</v>
      </c>
      <c r="X460" s="28" t="s">
        <v>2542</v>
      </c>
      <c r="Y460" s="28" t="s">
        <v>2543</v>
      </c>
      <c r="Z460" s="28" t="s">
        <v>2548</v>
      </c>
      <c r="AA460" s="28" t="s">
        <v>2549</v>
      </c>
      <c r="AB460" s="28" t="s">
        <v>2550</v>
      </c>
      <c r="AC460" s="28" t="s">
        <v>2551</v>
      </c>
    </row>
    <row r="461" spans="1:29" x14ac:dyDescent="0.2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8" t="s">
        <v>1286</v>
      </c>
      <c r="W461" s="28" t="s">
        <v>1287</v>
      </c>
      <c r="X461" s="28" t="s">
        <v>2552</v>
      </c>
      <c r="Y461" s="28" t="s">
        <v>2553</v>
      </c>
      <c r="Z461" s="28" t="s">
        <v>2554</v>
      </c>
      <c r="AA461" s="28" t="s">
        <v>2555</v>
      </c>
      <c r="AB461" s="28" t="s">
        <v>2556</v>
      </c>
      <c r="AC461" s="28" t="s">
        <v>2557</v>
      </c>
    </row>
    <row r="462" spans="1:29" x14ac:dyDescent="0.2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8" t="s">
        <v>1288</v>
      </c>
      <c r="W462" s="28" t="s">
        <v>1289</v>
      </c>
      <c r="X462" s="28" t="s">
        <v>2558</v>
      </c>
      <c r="Y462" s="28" t="s">
        <v>2559</v>
      </c>
      <c r="Z462" s="28" t="s">
        <v>2560</v>
      </c>
      <c r="AA462" s="28" t="s">
        <v>2561</v>
      </c>
      <c r="AB462" s="28" t="s">
        <v>2562</v>
      </c>
      <c r="AC462" s="28" t="s">
        <v>2563</v>
      </c>
    </row>
    <row r="463" spans="1:29" x14ac:dyDescent="0.2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8" t="s">
        <v>1290</v>
      </c>
      <c r="W463" s="28" t="s">
        <v>1287</v>
      </c>
      <c r="X463" s="28" t="s">
        <v>2564</v>
      </c>
      <c r="Y463" s="28" t="s">
        <v>2553</v>
      </c>
      <c r="Z463" s="28" t="s">
        <v>2565</v>
      </c>
      <c r="AA463" s="28" t="s">
        <v>2555</v>
      </c>
      <c r="AB463" s="28" t="s">
        <v>2566</v>
      </c>
      <c r="AC463" s="28" t="s">
        <v>2557</v>
      </c>
    </row>
    <row r="464" spans="1:29" x14ac:dyDescent="0.2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8" t="s">
        <v>1291</v>
      </c>
      <c r="W464" s="28" t="s">
        <v>1266</v>
      </c>
      <c r="X464" s="28" t="s">
        <v>2567</v>
      </c>
      <c r="Y464" s="28" t="s">
        <v>2568</v>
      </c>
      <c r="Z464" s="28" t="s">
        <v>2569</v>
      </c>
      <c r="AA464" s="28" t="s">
        <v>2570</v>
      </c>
      <c r="AB464" s="28" t="s">
        <v>2571</v>
      </c>
      <c r="AC464" s="28" t="s">
        <v>2572</v>
      </c>
    </row>
    <row r="465" spans="1:29" x14ac:dyDescent="0.2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8" t="s">
        <v>1292</v>
      </c>
      <c r="W465" s="28" t="s">
        <v>1287</v>
      </c>
      <c r="X465" s="28" t="s">
        <v>2573</v>
      </c>
      <c r="Y465" s="28" t="s">
        <v>2553</v>
      </c>
      <c r="Z465" s="28" t="s">
        <v>2574</v>
      </c>
      <c r="AA465" s="28" t="s">
        <v>2555</v>
      </c>
      <c r="AB465" s="28" t="s">
        <v>2575</v>
      </c>
      <c r="AC465" s="28" t="s">
        <v>2557</v>
      </c>
    </row>
    <row r="466" spans="1:29" x14ac:dyDescent="0.2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8" t="s">
        <v>1293</v>
      </c>
      <c r="W466" s="28" t="s">
        <v>1285</v>
      </c>
      <c r="X466" s="28" t="s">
        <v>2576</v>
      </c>
      <c r="Y466" s="28" t="s">
        <v>2543</v>
      </c>
      <c r="Z466" s="28" t="s">
        <v>2577</v>
      </c>
      <c r="AA466" s="28" t="s">
        <v>2549</v>
      </c>
      <c r="AB466" s="28" t="s">
        <v>2578</v>
      </c>
      <c r="AC466" s="28" t="s">
        <v>2551</v>
      </c>
    </row>
    <row r="467" spans="1:29" x14ac:dyDescent="0.2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8" t="s">
        <v>1293</v>
      </c>
      <c r="W467" s="28" t="s">
        <v>1285</v>
      </c>
      <c r="X467" s="28" t="s">
        <v>2576</v>
      </c>
      <c r="Y467" s="28" t="s">
        <v>2543</v>
      </c>
      <c r="Z467" s="28" t="s">
        <v>2577</v>
      </c>
      <c r="AA467" s="28" t="s">
        <v>2549</v>
      </c>
      <c r="AB467" s="28" t="s">
        <v>2578</v>
      </c>
      <c r="AC467" s="28" t="s">
        <v>2551</v>
      </c>
    </row>
    <row r="468" spans="1:29" x14ac:dyDescent="0.2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8" t="s">
        <v>1294</v>
      </c>
      <c r="W468" s="28" t="s">
        <v>1295</v>
      </c>
      <c r="X468" s="28" t="s">
        <v>2579</v>
      </c>
      <c r="Y468" s="28" t="s">
        <v>2580</v>
      </c>
      <c r="Z468" s="28" t="s">
        <v>2581</v>
      </c>
      <c r="AA468" s="28" t="s">
        <v>2582</v>
      </c>
      <c r="AB468" s="28" t="s">
        <v>2583</v>
      </c>
      <c r="AC468" s="28" t="s">
        <v>2584</v>
      </c>
    </row>
    <row r="469" spans="1:29" x14ac:dyDescent="0.2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8" t="s">
        <v>1296</v>
      </c>
      <c r="W469" s="28" t="s">
        <v>1297</v>
      </c>
      <c r="X469" s="28" t="s">
        <v>2585</v>
      </c>
      <c r="Y469" s="28" t="s">
        <v>2586</v>
      </c>
      <c r="Z469" s="28" t="s">
        <v>2587</v>
      </c>
      <c r="AA469" s="28" t="s">
        <v>2588</v>
      </c>
      <c r="AB469" s="28" t="s">
        <v>2589</v>
      </c>
      <c r="AC469" s="28" t="s">
        <v>2590</v>
      </c>
    </row>
    <row r="470" spans="1:29" x14ac:dyDescent="0.2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8" t="s">
        <v>1298</v>
      </c>
      <c r="W470" s="28" t="s">
        <v>1299</v>
      </c>
      <c r="X470" s="28" t="s">
        <v>2591</v>
      </c>
      <c r="Y470" s="28" t="s">
        <v>2592</v>
      </c>
      <c r="Z470" s="28" t="s">
        <v>2593</v>
      </c>
      <c r="AA470" s="28" t="s">
        <v>2594</v>
      </c>
      <c r="AB470" s="28" t="s">
        <v>2595</v>
      </c>
      <c r="AC470" s="28" t="s">
        <v>2596</v>
      </c>
    </row>
    <row r="471" spans="1:29" x14ac:dyDescent="0.2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8" t="s">
        <v>1300</v>
      </c>
      <c r="W471" s="28" t="s">
        <v>1301</v>
      </c>
      <c r="X471" s="28" t="s">
        <v>2597</v>
      </c>
      <c r="Y471" s="28" t="s">
        <v>2598</v>
      </c>
      <c r="Z471" s="28" t="s">
        <v>2599</v>
      </c>
      <c r="AA471" s="28" t="s">
        <v>2600</v>
      </c>
      <c r="AB471" s="28" t="s">
        <v>2601</v>
      </c>
      <c r="AC471" s="28" t="s">
        <v>2602</v>
      </c>
    </row>
    <row r="472" spans="1:29" x14ac:dyDescent="0.2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8" t="s">
        <v>1300</v>
      </c>
      <c r="W472" s="28" t="s">
        <v>1301</v>
      </c>
      <c r="X472" s="28" t="s">
        <v>2597</v>
      </c>
      <c r="Y472" s="28" t="s">
        <v>2598</v>
      </c>
      <c r="Z472" s="28" t="s">
        <v>2599</v>
      </c>
      <c r="AA472" s="28" t="s">
        <v>2600</v>
      </c>
      <c r="AB472" s="28" t="s">
        <v>2601</v>
      </c>
      <c r="AC472" s="28" t="s">
        <v>2602</v>
      </c>
    </row>
    <row r="473" spans="1:29" x14ac:dyDescent="0.2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8" t="s">
        <v>1298</v>
      </c>
      <c r="W473" s="28" t="s">
        <v>1299</v>
      </c>
      <c r="X473" s="28" t="s">
        <v>2591</v>
      </c>
      <c r="Y473" s="28" t="s">
        <v>2592</v>
      </c>
      <c r="Z473" s="28" t="s">
        <v>2593</v>
      </c>
      <c r="AA473" s="28" t="s">
        <v>2594</v>
      </c>
      <c r="AB473" s="28" t="s">
        <v>2595</v>
      </c>
      <c r="AC473" s="28" t="s">
        <v>2596</v>
      </c>
    </row>
    <row r="474" spans="1:29" x14ac:dyDescent="0.2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8" t="s">
        <v>1302</v>
      </c>
      <c r="W474" s="28" t="s">
        <v>1301</v>
      </c>
      <c r="X474" s="28" t="s">
        <v>2603</v>
      </c>
      <c r="Y474" s="28" t="s">
        <v>2598</v>
      </c>
      <c r="Z474" s="28" t="s">
        <v>2604</v>
      </c>
      <c r="AA474" s="28" t="s">
        <v>2600</v>
      </c>
      <c r="AB474" s="28" t="s">
        <v>2605</v>
      </c>
      <c r="AC474" s="28" t="s">
        <v>2602</v>
      </c>
    </row>
    <row r="475" spans="1:29" x14ac:dyDescent="0.2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8" t="s">
        <v>1302</v>
      </c>
      <c r="W475" s="28" t="s">
        <v>1301</v>
      </c>
      <c r="X475" s="28" t="s">
        <v>2603</v>
      </c>
      <c r="Y475" s="28" t="s">
        <v>2598</v>
      </c>
      <c r="Z475" s="28" t="s">
        <v>2606</v>
      </c>
      <c r="AA475" s="28" t="s">
        <v>2607</v>
      </c>
      <c r="AB475" s="28" t="s">
        <v>2608</v>
      </c>
      <c r="AC475" s="28" t="s">
        <v>2609</v>
      </c>
    </row>
    <row r="476" spans="1:29" x14ac:dyDescent="0.2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8" t="s">
        <v>1303</v>
      </c>
      <c r="W476" s="28" t="s">
        <v>1297</v>
      </c>
      <c r="X476" s="28" t="s">
        <v>2610</v>
      </c>
      <c r="Y476" s="28" t="s">
        <v>2586</v>
      </c>
      <c r="Z476" s="28" t="s">
        <v>2611</v>
      </c>
      <c r="AA476" s="28" t="s">
        <v>2612</v>
      </c>
      <c r="AB476" s="28" t="s">
        <v>2613</v>
      </c>
      <c r="AC476" s="28" t="s">
        <v>2614</v>
      </c>
    </row>
    <row r="477" spans="1:29" x14ac:dyDescent="0.2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8" t="s">
        <v>1304</v>
      </c>
      <c r="W477" s="28" t="s">
        <v>1305</v>
      </c>
      <c r="X477" s="28" t="s">
        <v>2615</v>
      </c>
      <c r="Y477" s="28" t="s">
        <v>2616</v>
      </c>
      <c r="Z477" s="28" t="s">
        <v>2617</v>
      </c>
      <c r="AA477" s="28" t="s">
        <v>2618</v>
      </c>
      <c r="AB477" s="28" t="s">
        <v>2619</v>
      </c>
      <c r="AC477" s="28" t="s">
        <v>2620</v>
      </c>
    </row>
    <row r="478" spans="1:29" x14ac:dyDescent="0.2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8" t="s">
        <v>1306</v>
      </c>
      <c r="W478" s="28" t="s">
        <v>1305</v>
      </c>
      <c r="X478" s="28" t="s">
        <v>2621</v>
      </c>
      <c r="Y478" s="28" t="s">
        <v>2616</v>
      </c>
      <c r="Z478" s="28" t="s">
        <v>2622</v>
      </c>
      <c r="AA478" s="28" t="s">
        <v>2618</v>
      </c>
      <c r="AB478" s="28" t="s">
        <v>2623</v>
      </c>
      <c r="AC478" s="28" t="s">
        <v>2620</v>
      </c>
    </row>
    <row r="479" spans="1:29" x14ac:dyDescent="0.2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8" t="s">
        <v>1306</v>
      </c>
      <c r="W479" s="28" t="s">
        <v>1305</v>
      </c>
      <c r="X479" s="28" t="s">
        <v>2621</v>
      </c>
      <c r="Y479" s="28" t="s">
        <v>2616</v>
      </c>
      <c r="Z479" s="28" t="s">
        <v>2622</v>
      </c>
      <c r="AA479" s="28" t="s">
        <v>2618</v>
      </c>
      <c r="AB479" s="28" t="s">
        <v>2623</v>
      </c>
      <c r="AC479" s="28" t="s">
        <v>2620</v>
      </c>
    </row>
    <row r="480" spans="1:29" x14ac:dyDescent="0.2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8" t="s">
        <v>1306</v>
      </c>
      <c r="W480" s="28" t="s">
        <v>1305</v>
      </c>
      <c r="X480" s="28" t="s">
        <v>2621</v>
      </c>
      <c r="Y480" s="28" t="s">
        <v>2616</v>
      </c>
      <c r="Z480" s="28" t="s">
        <v>2622</v>
      </c>
      <c r="AA480" s="28" t="s">
        <v>2618</v>
      </c>
      <c r="AB480" s="28" t="s">
        <v>2623</v>
      </c>
      <c r="AC480" s="28" t="s">
        <v>2620</v>
      </c>
    </row>
    <row r="481" spans="1:29" x14ac:dyDescent="0.2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8" t="s">
        <v>1307</v>
      </c>
      <c r="W481" s="28" t="s">
        <v>1305</v>
      </c>
      <c r="X481" s="28" t="s">
        <v>2624</v>
      </c>
      <c r="Y481" s="28" t="s">
        <v>2616</v>
      </c>
      <c r="Z481" s="28" t="s">
        <v>2625</v>
      </c>
      <c r="AA481" s="28" t="s">
        <v>2618</v>
      </c>
      <c r="AB481" s="28" t="s">
        <v>2626</v>
      </c>
      <c r="AC481" s="28" t="s">
        <v>2620</v>
      </c>
    </row>
    <row r="482" spans="1:29" x14ac:dyDescent="0.2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8" t="s">
        <v>1307</v>
      </c>
      <c r="W482" s="28" t="s">
        <v>1305</v>
      </c>
      <c r="X482" s="28" t="s">
        <v>2624</v>
      </c>
      <c r="Y482" s="28" t="s">
        <v>2616</v>
      </c>
      <c r="Z482" s="28" t="s">
        <v>2625</v>
      </c>
      <c r="AA482" s="28" t="s">
        <v>2618</v>
      </c>
      <c r="AB482" s="28" t="s">
        <v>2626</v>
      </c>
      <c r="AC482" s="28" t="s">
        <v>2620</v>
      </c>
    </row>
    <row r="483" spans="1:29" x14ac:dyDescent="0.2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8" t="s">
        <v>1308</v>
      </c>
      <c r="W483" s="28" t="s">
        <v>1309</v>
      </c>
      <c r="X483" s="28" t="s">
        <v>2627</v>
      </c>
      <c r="Y483" s="28" t="s">
        <v>2628</v>
      </c>
      <c r="Z483" s="28" t="s">
        <v>2629</v>
      </c>
      <c r="AA483" s="28" t="s">
        <v>2630</v>
      </c>
      <c r="AB483" s="28" t="s">
        <v>2631</v>
      </c>
      <c r="AC483" s="28" t="s">
        <v>2632</v>
      </c>
    </row>
    <row r="484" spans="1:29" x14ac:dyDescent="0.2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8" t="s">
        <v>1307</v>
      </c>
      <c r="W484" s="28" t="s">
        <v>1305</v>
      </c>
      <c r="X484" s="28" t="s">
        <v>2624</v>
      </c>
      <c r="Y484" s="28" t="s">
        <v>2616</v>
      </c>
      <c r="Z484" s="28" t="s">
        <v>2625</v>
      </c>
      <c r="AA484" s="28" t="s">
        <v>2618</v>
      </c>
      <c r="AB484" s="28" t="s">
        <v>2626</v>
      </c>
      <c r="AC484" s="28" t="s">
        <v>2620</v>
      </c>
    </row>
    <row r="485" spans="1:29" x14ac:dyDescent="0.2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8" t="s">
        <v>1310</v>
      </c>
      <c r="W485" s="28" t="s">
        <v>1311</v>
      </c>
      <c r="X485" s="28" t="s">
        <v>2633</v>
      </c>
      <c r="Y485" s="28" t="s">
        <v>2634</v>
      </c>
      <c r="Z485" s="28" t="s">
        <v>2635</v>
      </c>
      <c r="AA485" s="28" t="s">
        <v>2636</v>
      </c>
      <c r="AB485" s="28" t="s">
        <v>2637</v>
      </c>
      <c r="AC485" s="28" t="s">
        <v>2638</v>
      </c>
    </row>
    <row r="486" spans="1:29" x14ac:dyDescent="0.2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8" t="s">
        <v>1312</v>
      </c>
      <c r="W486" s="28" t="s">
        <v>1313</v>
      </c>
      <c r="X486" s="28" t="s">
        <v>2639</v>
      </c>
      <c r="Y486" s="28" t="s">
        <v>2640</v>
      </c>
      <c r="Z486" s="28" t="s">
        <v>2641</v>
      </c>
      <c r="AA486" s="28" t="s">
        <v>2642</v>
      </c>
      <c r="AB486" s="28" t="s">
        <v>2643</v>
      </c>
      <c r="AC486" s="28" t="s">
        <v>2644</v>
      </c>
    </row>
    <row r="487" spans="1:29" x14ac:dyDescent="0.2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8" t="s">
        <v>1314</v>
      </c>
      <c r="W487" s="28" t="s">
        <v>1315</v>
      </c>
      <c r="X487" s="28" t="s">
        <v>2645</v>
      </c>
      <c r="Y487" s="28" t="s">
        <v>2646</v>
      </c>
      <c r="Z487" s="28" t="s">
        <v>2647</v>
      </c>
      <c r="AA487" s="28" t="s">
        <v>2648</v>
      </c>
      <c r="AB487" s="28" t="s">
        <v>2649</v>
      </c>
      <c r="AC487" s="28" t="s">
        <v>2650</v>
      </c>
    </row>
    <row r="488" spans="1:29" x14ac:dyDescent="0.2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8" t="s">
        <v>1316</v>
      </c>
      <c r="W488" s="28" t="s">
        <v>1315</v>
      </c>
      <c r="X488" s="28" t="s">
        <v>2651</v>
      </c>
      <c r="Y488" s="28" t="s">
        <v>2646</v>
      </c>
      <c r="Z488" s="28" t="s">
        <v>2652</v>
      </c>
      <c r="AA488" s="28" t="s">
        <v>2648</v>
      </c>
      <c r="AB488" s="28" t="s">
        <v>2653</v>
      </c>
      <c r="AC488" s="28" t="s">
        <v>2650</v>
      </c>
    </row>
    <row r="489" spans="1:29" x14ac:dyDescent="0.2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8" t="s">
        <v>1317</v>
      </c>
      <c r="W489" s="28" t="s">
        <v>1318</v>
      </c>
      <c r="X489" s="28" t="s">
        <v>2654</v>
      </c>
      <c r="Y489" s="28" t="s">
        <v>2655</v>
      </c>
      <c r="Z489" s="28" t="s">
        <v>2656</v>
      </c>
      <c r="AA489" s="28" t="s">
        <v>2657</v>
      </c>
      <c r="AB489" s="28" t="s">
        <v>2658</v>
      </c>
      <c r="AC489" s="28" t="s">
        <v>2659</v>
      </c>
    </row>
    <row r="490" spans="1:29" x14ac:dyDescent="0.2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8" t="s">
        <v>1319</v>
      </c>
      <c r="W490" s="28" t="s">
        <v>1320</v>
      </c>
      <c r="X490" s="28" t="s">
        <v>2660</v>
      </c>
      <c r="Y490" s="28" t="s">
        <v>2661</v>
      </c>
      <c r="Z490" s="28" t="s">
        <v>2662</v>
      </c>
      <c r="AA490" s="28" t="s">
        <v>2663</v>
      </c>
      <c r="AB490" s="28" t="s">
        <v>2664</v>
      </c>
      <c r="AC490" s="28" t="s">
        <v>2665</v>
      </c>
    </row>
    <row r="491" spans="1:29" x14ac:dyDescent="0.2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8" t="s">
        <v>1321</v>
      </c>
      <c r="W491" s="28" t="s">
        <v>1322</v>
      </c>
      <c r="X491" s="28" t="s">
        <v>2666</v>
      </c>
      <c r="Y491" s="28" t="s">
        <v>2667</v>
      </c>
      <c r="Z491" s="28" t="s">
        <v>2668</v>
      </c>
      <c r="AA491" s="28" t="s">
        <v>2669</v>
      </c>
      <c r="AB491" s="28" t="s">
        <v>2670</v>
      </c>
      <c r="AC491" s="28" t="s">
        <v>2671</v>
      </c>
    </row>
    <row r="492" spans="1:29" x14ac:dyDescent="0.2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8" t="s">
        <v>1323</v>
      </c>
      <c r="W492" s="28" t="s">
        <v>1324</v>
      </c>
      <c r="X492" s="28" t="s">
        <v>2672</v>
      </c>
      <c r="Y492" s="28" t="s">
        <v>2673</v>
      </c>
      <c r="Z492" s="28" t="s">
        <v>2674</v>
      </c>
      <c r="AA492" s="28" t="s">
        <v>2675</v>
      </c>
      <c r="AB492" s="28" t="s">
        <v>2676</v>
      </c>
      <c r="AC492" s="28" t="s">
        <v>2677</v>
      </c>
    </row>
    <row r="493" spans="1:29" x14ac:dyDescent="0.2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8" t="s">
        <v>1325</v>
      </c>
      <c r="W493" s="28" t="s">
        <v>1326</v>
      </c>
      <c r="X493" s="28" t="s">
        <v>2678</v>
      </c>
      <c r="Y493" s="28" t="s">
        <v>2679</v>
      </c>
      <c r="Z493" s="28" t="s">
        <v>2680</v>
      </c>
      <c r="AA493" s="28" t="s">
        <v>2681</v>
      </c>
      <c r="AB493" s="28" t="s">
        <v>2682</v>
      </c>
      <c r="AC493" s="28" t="s">
        <v>2683</v>
      </c>
    </row>
    <row r="494" spans="1:29" x14ac:dyDescent="0.2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8" t="s">
        <v>1327</v>
      </c>
      <c r="W494" s="28" t="s">
        <v>1322</v>
      </c>
      <c r="X494" s="28" t="s">
        <v>2684</v>
      </c>
      <c r="Y494" s="28" t="s">
        <v>2667</v>
      </c>
      <c r="Z494" s="28" t="s">
        <v>2685</v>
      </c>
      <c r="AA494" s="28" t="s">
        <v>2686</v>
      </c>
      <c r="AB494" s="28" t="s">
        <v>2687</v>
      </c>
      <c r="AC494" s="28" t="s">
        <v>2688</v>
      </c>
    </row>
    <row r="495" spans="1:29" x14ac:dyDescent="0.2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8" t="s">
        <v>1328</v>
      </c>
      <c r="W495" s="28" t="s">
        <v>1322</v>
      </c>
      <c r="X495" s="28" t="s">
        <v>2689</v>
      </c>
      <c r="Y495" s="28" t="s">
        <v>2667</v>
      </c>
      <c r="Z495" s="28" t="s">
        <v>2690</v>
      </c>
      <c r="AA495" s="28" t="s">
        <v>2669</v>
      </c>
      <c r="AB495" s="28" t="s">
        <v>2691</v>
      </c>
      <c r="AC495" s="28" t="s">
        <v>2671</v>
      </c>
    </row>
    <row r="496" spans="1:29" x14ac:dyDescent="0.2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8" t="s">
        <v>1328</v>
      </c>
      <c r="W496" s="28" t="s">
        <v>1322</v>
      </c>
      <c r="X496" s="28" t="s">
        <v>2689</v>
      </c>
      <c r="Y496" s="28" t="s">
        <v>2667</v>
      </c>
      <c r="Z496" s="28" t="s">
        <v>2690</v>
      </c>
      <c r="AA496" s="28" t="s">
        <v>2669</v>
      </c>
      <c r="AB496" s="28" t="s">
        <v>2691</v>
      </c>
      <c r="AC496" s="28" t="s">
        <v>2671</v>
      </c>
    </row>
    <row r="497" spans="1:29" x14ac:dyDescent="0.2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8" t="s">
        <v>1329</v>
      </c>
      <c r="W497" s="28" t="s">
        <v>1330</v>
      </c>
      <c r="X497" s="28" t="s">
        <v>2692</v>
      </c>
      <c r="Y497" s="28" t="s">
        <v>2693</v>
      </c>
      <c r="Z497" s="28" t="s">
        <v>2694</v>
      </c>
      <c r="AA497" s="28" t="s">
        <v>2695</v>
      </c>
      <c r="AB497" s="28" t="s">
        <v>2696</v>
      </c>
      <c r="AC497" s="28" t="s">
        <v>2697</v>
      </c>
    </row>
    <row r="498" spans="1:29" x14ac:dyDescent="0.2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8" t="s">
        <v>1331</v>
      </c>
      <c r="W498" s="28" t="s">
        <v>1332</v>
      </c>
      <c r="X498" s="28" t="s">
        <v>2698</v>
      </c>
      <c r="Y498" s="28" t="s">
        <v>2699</v>
      </c>
      <c r="Z498" s="28" t="s">
        <v>2700</v>
      </c>
      <c r="AA498" s="28" t="s">
        <v>2701</v>
      </c>
      <c r="AB498" s="28" t="s">
        <v>2702</v>
      </c>
      <c r="AC498" s="28" t="s">
        <v>2703</v>
      </c>
    </row>
    <row r="499" spans="1:29" x14ac:dyDescent="0.2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8" t="s">
        <v>1333</v>
      </c>
      <c r="W499" s="28" t="s">
        <v>1334</v>
      </c>
      <c r="X499" s="28" t="s">
        <v>2704</v>
      </c>
      <c r="Y499" s="28" t="s">
        <v>2705</v>
      </c>
      <c r="Z499" s="28" t="s">
        <v>2706</v>
      </c>
      <c r="AA499" s="28" t="s">
        <v>2707</v>
      </c>
      <c r="AB499" s="28" t="s">
        <v>2708</v>
      </c>
      <c r="AC499" s="28" t="s">
        <v>2709</v>
      </c>
    </row>
    <row r="500" spans="1:29" x14ac:dyDescent="0.2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8" t="s">
        <v>1335</v>
      </c>
      <c r="W500" s="28" t="s">
        <v>1099</v>
      </c>
      <c r="X500" s="28" t="s">
        <v>2710</v>
      </c>
      <c r="Y500" s="28" t="s">
        <v>2711</v>
      </c>
      <c r="Z500" s="28" t="s">
        <v>2712</v>
      </c>
      <c r="AA500" s="28" t="s">
        <v>2713</v>
      </c>
      <c r="AB500" s="28" t="s">
        <v>2714</v>
      </c>
      <c r="AC500" s="28" t="s">
        <v>1820</v>
      </c>
    </row>
    <row r="501" spans="1:29" x14ac:dyDescent="0.2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8" t="s">
        <v>1335</v>
      </c>
      <c r="W501" s="28" t="s">
        <v>1099</v>
      </c>
      <c r="X501" s="28" t="s">
        <v>2710</v>
      </c>
      <c r="Y501" s="28" t="s">
        <v>2711</v>
      </c>
      <c r="Z501" s="28" t="s">
        <v>2712</v>
      </c>
      <c r="AA501" s="28" t="s">
        <v>2713</v>
      </c>
      <c r="AB501" s="28" t="s">
        <v>2714</v>
      </c>
      <c r="AC501" s="28" t="s">
        <v>1820</v>
      </c>
    </row>
    <row r="502" spans="1:29" x14ac:dyDescent="0.2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8" t="s">
        <v>1108</v>
      </c>
      <c r="W502" s="28" t="s">
        <v>1099</v>
      </c>
      <c r="X502" s="28" t="s">
        <v>2715</v>
      </c>
      <c r="Y502" s="28" t="s">
        <v>2711</v>
      </c>
      <c r="Z502" s="28" t="s">
        <v>2716</v>
      </c>
      <c r="AA502" s="28" t="s">
        <v>2713</v>
      </c>
      <c r="AB502" s="28" t="s">
        <v>1819</v>
      </c>
      <c r="AC502" s="28" t="s">
        <v>1820</v>
      </c>
    </row>
    <row r="503" spans="1:29" x14ac:dyDescent="0.2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8" t="s">
        <v>1336</v>
      </c>
      <c r="W503" s="28" t="s">
        <v>1337</v>
      </c>
      <c r="X503" s="28" t="s">
        <v>2717</v>
      </c>
      <c r="Y503" s="28" t="s">
        <v>2718</v>
      </c>
      <c r="Z503" s="28" t="s">
        <v>2719</v>
      </c>
      <c r="AA503" s="28" t="s">
        <v>2720</v>
      </c>
      <c r="AB503" s="28" t="s">
        <v>2721</v>
      </c>
      <c r="AC503" s="28" t="s">
        <v>2722</v>
      </c>
    </row>
    <row r="504" spans="1:29" x14ac:dyDescent="0.2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8" t="s">
        <v>1338</v>
      </c>
      <c r="W504" s="28" t="s">
        <v>1339</v>
      </c>
      <c r="X504" s="28" t="s">
        <v>2723</v>
      </c>
      <c r="Y504" s="28" t="s">
        <v>2724</v>
      </c>
      <c r="Z504" s="28" t="s">
        <v>2725</v>
      </c>
      <c r="AA504" s="28" t="s">
        <v>2726</v>
      </c>
      <c r="AB504" s="28" t="s">
        <v>2727</v>
      </c>
      <c r="AC504" s="28" t="s">
        <v>2728</v>
      </c>
    </row>
    <row r="505" spans="1:29" x14ac:dyDescent="0.2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8" t="s">
        <v>1340</v>
      </c>
      <c r="W505" s="28" t="s">
        <v>1124</v>
      </c>
      <c r="X505" s="28" t="s">
        <v>2729</v>
      </c>
      <c r="Y505" s="28" t="s">
        <v>2730</v>
      </c>
      <c r="Z505" s="28" t="s">
        <v>2731</v>
      </c>
      <c r="AA505" s="28" t="s">
        <v>2732</v>
      </c>
      <c r="AB505" s="28" t="s">
        <v>2733</v>
      </c>
      <c r="AC505" s="28" t="s">
        <v>2734</v>
      </c>
    </row>
    <row r="506" spans="1:29" x14ac:dyDescent="0.2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8" t="s">
        <v>1341</v>
      </c>
      <c r="W506" s="28" t="s">
        <v>1140</v>
      </c>
      <c r="X506" s="28" t="s">
        <v>2735</v>
      </c>
      <c r="Y506" s="28" t="s">
        <v>2736</v>
      </c>
      <c r="Z506" s="28" t="s">
        <v>2737</v>
      </c>
      <c r="AA506" s="28" t="s">
        <v>2738</v>
      </c>
      <c r="AB506" s="28" t="s">
        <v>2739</v>
      </c>
      <c r="AC506" s="28" t="s">
        <v>1938</v>
      </c>
    </row>
    <row r="507" spans="1:29" x14ac:dyDescent="0.2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8" t="s">
        <v>1342</v>
      </c>
      <c r="W507" s="28" t="s">
        <v>1275</v>
      </c>
      <c r="X507" s="28" t="s">
        <v>2740</v>
      </c>
      <c r="Y507" s="28" t="s">
        <v>2741</v>
      </c>
      <c r="Z507" s="28" t="s">
        <v>2742</v>
      </c>
      <c r="AA507" s="28" t="s">
        <v>2743</v>
      </c>
      <c r="AB507" s="28" t="s">
        <v>2744</v>
      </c>
      <c r="AC507" s="28" t="s">
        <v>2745</v>
      </c>
    </row>
    <row r="508" spans="1:29" x14ac:dyDescent="0.2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8" t="s">
        <v>1343</v>
      </c>
      <c r="W508" s="28" t="s">
        <v>1344</v>
      </c>
      <c r="X508" s="28" t="s">
        <v>2746</v>
      </c>
      <c r="Y508" s="28" t="s">
        <v>2747</v>
      </c>
      <c r="Z508" s="28" t="s">
        <v>2748</v>
      </c>
      <c r="AA508" s="28" t="s">
        <v>2749</v>
      </c>
      <c r="AB508" s="28" t="s">
        <v>2750</v>
      </c>
      <c r="AC508" s="28" t="s">
        <v>2751</v>
      </c>
    </row>
    <row r="509" spans="1:29" x14ac:dyDescent="0.2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8" t="s">
        <v>1345</v>
      </c>
      <c r="W509" s="28" t="s">
        <v>1346</v>
      </c>
      <c r="X509" s="28" t="s">
        <v>2752</v>
      </c>
      <c r="Y509" s="28" t="s">
        <v>2753</v>
      </c>
      <c r="Z509" s="28" t="s">
        <v>2754</v>
      </c>
      <c r="AA509" s="28" t="s">
        <v>2755</v>
      </c>
      <c r="AB509" s="28" t="s">
        <v>2756</v>
      </c>
      <c r="AC509" s="28" t="s">
        <v>2757</v>
      </c>
    </row>
    <row r="510" spans="1:29" x14ac:dyDescent="0.2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8" t="s">
        <v>1345</v>
      </c>
      <c r="W510" s="28" t="s">
        <v>1346</v>
      </c>
      <c r="X510" s="28" t="s">
        <v>2752</v>
      </c>
      <c r="Y510" s="28" t="s">
        <v>2753</v>
      </c>
      <c r="Z510" s="28" t="s">
        <v>2754</v>
      </c>
      <c r="AA510" s="28" t="s">
        <v>2755</v>
      </c>
      <c r="AB510" s="28" t="s">
        <v>2756</v>
      </c>
      <c r="AC510" s="28" t="s">
        <v>2757</v>
      </c>
    </row>
    <row r="511" spans="1:29" x14ac:dyDescent="0.2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8" t="s">
        <v>1347</v>
      </c>
      <c r="W511" s="28" t="s">
        <v>1158</v>
      </c>
      <c r="X511" s="28" t="s">
        <v>2758</v>
      </c>
      <c r="Y511" s="28" t="s">
        <v>2759</v>
      </c>
      <c r="Z511" s="28" t="s">
        <v>2760</v>
      </c>
      <c r="AA511" s="28" t="s">
        <v>2761</v>
      </c>
      <c r="AB511" s="28" t="s">
        <v>2762</v>
      </c>
      <c r="AC511" s="28" t="s">
        <v>2763</v>
      </c>
    </row>
    <row r="512" spans="1:29" x14ac:dyDescent="0.2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8" t="s">
        <v>1348</v>
      </c>
      <c r="W512" s="28" t="s">
        <v>1150</v>
      </c>
      <c r="X512" s="28" t="s">
        <v>2764</v>
      </c>
      <c r="Y512" s="28" t="s">
        <v>2765</v>
      </c>
      <c r="Z512" s="28" t="s">
        <v>2766</v>
      </c>
      <c r="AA512" s="28" t="s">
        <v>2767</v>
      </c>
      <c r="AB512" s="28" t="s">
        <v>2768</v>
      </c>
      <c r="AC512" s="28" t="s">
        <v>2769</v>
      </c>
    </row>
    <row r="513" spans="1:29" x14ac:dyDescent="0.2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8" t="s">
        <v>1349</v>
      </c>
      <c r="W513" s="28" t="s">
        <v>1158</v>
      </c>
      <c r="X513" s="28" t="s">
        <v>2770</v>
      </c>
      <c r="Y513" s="28" t="s">
        <v>2759</v>
      </c>
      <c r="Z513" s="28" t="s">
        <v>2771</v>
      </c>
      <c r="AA513" s="28" t="s">
        <v>2761</v>
      </c>
      <c r="AB513" s="28" t="s">
        <v>2772</v>
      </c>
      <c r="AC513" s="28" t="s">
        <v>2763</v>
      </c>
    </row>
    <row r="514" spans="1:29" x14ac:dyDescent="0.2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8" t="s">
        <v>1350</v>
      </c>
      <c r="W514" s="28" t="s">
        <v>1351</v>
      </c>
      <c r="X514" s="28" t="s">
        <v>2773</v>
      </c>
      <c r="Y514" s="28" t="s">
        <v>2774</v>
      </c>
      <c r="Z514" s="28" t="s">
        <v>2775</v>
      </c>
      <c r="AA514" s="28" t="s">
        <v>2776</v>
      </c>
      <c r="AB514" s="28" t="s">
        <v>2777</v>
      </c>
      <c r="AC514" s="28" t="s">
        <v>2778</v>
      </c>
    </row>
    <row r="515" spans="1:29" x14ac:dyDescent="0.2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8" t="s">
        <v>1352</v>
      </c>
      <c r="W515" s="28" t="s">
        <v>1170</v>
      </c>
      <c r="X515" s="28" t="s">
        <v>2779</v>
      </c>
      <c r="Y515" s="28" t="s">
        <v>2780</v>
      </c>
      <c r="Z515" s="28" t="s">
        <v>2781</v>
      </c>
      <c r="AA515" s="28" t="s">
        <v>2782</v>
      </c>
      <c r="AB515" s="28" t="s">
        <v>2783</v>
      </c>
      <c r="AC515" s="28" t="s">
        <v>2784</v>
      </c>
    </row>
    <row r="516" spans="1:29" x14ac:dyDescent="0.2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8" t="s">
        <v>1350</v>
      </c>
      <c r="W516" s="28" t="s">
        <v>1351</v>
      </c>
      <c r="X516" s="28" t="s">
        <v>2773</v>
      </c>
      <c r="Y516" s="28" t="s">
        <v>2774</v>
      </c>
      <c r="Z516" s="28" t="s">
        <v>2775</v>
      </c>
      <c r="AA516" s="28" t="s">
        <v>2776</v>
      </c>
      <c r="AB516" s="28" t="s">
        <v>2777</v>
      </c>
      <c r="AC516" s="28" t="s">
        <v>2778</v>
      </c>
    </row>
    <row r="517" spans="1:29" x14ac:dyDescent="0.2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8" t="s">
        <v>1353</v>
      </c>
      <c r="W517" s="28" t="s">
        <v>1354</v>
      </c>
      <c r="X517" s="28" t="s">
        <v>2785</v>
      </c>
      <c r="Y517" s="28" t="s">
        <v>2786</v>
      </c>
      <c r="Z517" s="28" t="s">
        <v>2787</v>
      </c>
      <c r="AA517" s="28" t="s">
        <v>2788</v>
      </c>
      <c r="AB517" s="28" t="s">
        <v>2789</v>
      </c>
      <c r="AC517" s="28" t="s">
        <v>2790</v>
      </c>
    </row>
    <row r="518" spans="1:29" x14ac:dyDescent="0.2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8" t="s">
        <v>1355</v>
      </c>
      <c r="W518" s="28" t="s">
        <v>1266</v>
      </c>
      <c r="X518" s="28" t="s">
        <v>2791</v>
      </c>
      <c r="Y518" s="28" t="s">
        <v>2568</v>
      </c>
      <c r="Z518" s="28" t="s">
        <v>2792</v>
      </c>
      <c r="AA518" s="28" t="s">
        <v>2793</v>
      </c>
      <c r="AB518" s="28" t="s">
        <v>2794</v>
      </c>
      <c r="AC518" s="28" t="s">
        <v>2795</v>
      </c>
    </row>
    <row r="519" spans="1:29" x14ac:dyDescent="0.2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8" t="s">
        <v>1356</v>
      </c>
      <c r="W519" s="28" t="s">
        <v>1301</v>
      </c>
      <c r="X519" s="28" t="s">
        <v>2796</v>
      </c>
      <c r="Y519" s="28" t="s">
        <v>2598</v>
      </c>
      <c r="Z519" s="28" t="s">
        <v>2797</v>
      </c>
      <c r="AA519" s="28" t="s">
        <v>2798</v>
      </c>
      <c r="AB519" s="28" t="s">
        <v>2799</v>
      </c>
      <c r="AC519" s="28" t="s">
        <v>2800</v>
      </c>
    </row>
    <row r="520" spans="1:29" x14ac:dyDescent="0.2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8" t="s">
        <v>1357</v>
      </c>
      <c r="W520" s="28" t="s">
        <v>1358</v>
      </c>
      <c r="X520" s="28" t="s">
        <v>2801</v>
      </c>
      <c r="Y520" s="28" t="s">
        <v>2802</v>
      </c>
      <c r="Z520" s="28" t="s">
        <v>2803</v>
      </c>
      <c r="AA520" s="28" t="s">
        <v>2804</v>
      </c>
      <c r="AB520" s="28" t="s">
        <v>2805</v>
      </c>
      <c r="AC520" s="28" t="s">
        <v>2806</v>
      </c>
    </row>
    <row r="521" spans="1:29" x14ac:dyDescent="0.2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8" t="s">
        <v>1359</v>
      </c>
      <c r="W521" s="28" t="s">
        <v>1360</v>
      </c>
      <c r="X521" s="28" t="s">
        <v>2807</v>
      </c>
      <c r="Y521" s="28" t="s">
        <v>2808</v>
      </c>
      <c r="Z521" s="28" t="s">
        <v>2809</v>
      </c>
      <c r="AA521" s="28" t="s">
        <v>2810</v>
      </c>
      <c r="AB521" s="28" t="s">
        <v>2811</v>
      </c>
      <c r="AC521" s="28" t="s">
        <v>2812</v>
      </c>
    </row>
    <row r="522" spans="1:29" x14ac:dyDescent="0.2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8" t="s">
        <v>1361</v>
      </c>
      <c r="W522" s="28" t="s">
        <v>1362</v>
      </c>
      <c r="X522" s="28" t="s">
        <v>2813</v>
      </c>
      <c r="Y522" s="28" t="s">
        <v>2814</v>
      </c>
      <c r="Z522" s="28" t="s">
        <v>2815</v>
      </c>
      <c r="AA522" s="28" t="s">
        <v>2816</v>
      </c>
      <c r="AB522" s="28" t="s">
        <v>2817</v>
      </c>
      <c r="AC522" s="28" t="s">
        <v>2818</v>
      </c>
    </row>
    <row r="523" spans="1:29" x14ac:dyDescent="0.2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8" t="s">
        <v>1363</v>
      </c>
      <c r="W523" s="28" t="s">
        <v>1309</v>
      </c>
      <c r="X523" s="28" t="s">
        <v>2819</v>
      </c>
      <c r="Y523" s="28" t="s">
        <v>2628</v>
      </c>
      <c r="Z523" s="28" t="s">
        <v>2820</v>
      </c>
      <c r="AA523" s="28" t="s">
        <v>2821</v>
      </c>
      <c r="AB523" s="28" t="s">
        <v>2822</v>
      </c>
      <c r="AC523" s="28" t="s">
        <v>2823</v>
      </c>
    </row>
    <row r="524" spans="1:29" x14ac:dyDescent="0.2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8" t="s">
        <v>1312</v>
      </c>
      <c r="W524" s="28" t="s">
        <v>1313</v>
      </c>
      <c r="X524" s="28" t="s">
        <v>2639</v>
      </c>
      <c r="Y524" s="28" t="s">
        <v>2640</v>
      </c>
      <c r="Z524" s="28" t="s">
        <v>2824</v>
      </c>
      <c r="AA524" s="28" t="s">
        <v>2825</v>
      </c>
      <c r="AB524" s="28" t="s">
        <v>2826</v>
      </c>
      <c r="AC524" s="28" t="s">
        <v>2827</v>
      </c>
    </row>
    <row r="525" spans="1:29" x14ac:dyDescent="0.2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8" t="s">
        <v>1364</v>
      </c>
      <c r="W525" s="28" t="s">
        <v>1365</v>
      </c>
      <c r="X525" s="28" t="s">
        <v>2828</v>
      </c>
      <c r="Y525" s="28" t="s">
        <v>2829</v>
      </c>
      <c r="Z525" s="28" t="s">
        <v>2830</v>
      </c>
      <c r="AA525" s="28" t="s">
        <v>2831</v>
      </c>
      <c r="AB525" s="28" t="s">
        <v>2832</v>
      </c>
      <c r="AC525" s="28" t="s">
        <v>2833</v>
      </c>
    </row>
    <row r="526" spans="1:29" x14ac:dyDescent="0.2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8" t="s">
        <v>1366</v>
      </c>
      <c r="W526" s="28" t="s">
        <v>1313</v>
      </c>
      <c r="X526" s="28" t="s">
        <v>2834</v>
      </c>
      <c r="Y526" s="28" t="s">
        <v>2640</v>
      </c>
      <c r="Z526" s="28" t="s">
        <v>2835</v>
      </c>
      <c r="AA526" s="28" t="s">
        <v>2825</v>
      </c>
      <c r="AB526" s="28" t="s">
        <v>2836</v>
      </c>
      <c r="AC526" s="28" t="s">
        <v>2827</v>
      </c>
    </row>
    <row r="527" spans="1:29" x14ac:dyDescent="0.2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8" t="s">
        <v>1367</v>
      </c>
      <c r="W527" s="28" t="s">
        <v>1334</v>
      </c>
      <c r="X527" s="28" t="s">
        <v>2837</v>
      </c>
      <c r="Y527" s="28" t="s">
        <v>2705</v>
      </c>
      <c r="Z527" s="28" t="s">
        <v>2838</v>
      </c>
      <c r="AA527" s="28" t="s">
        <v>2839</v>
      </c>
      <c r="AB527" s="28" t="s">
        <v>2840</v>
      </c>
      <c r="AC527" s="28" t="s">
        <v>2841</v>
      </c>
    </row>
    <row r="528" spans="1:29" x14ac:dyDescent="0.2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8" t="s">
        <v>1367</v>
      </c>
      <c r="W528" s="28" t="s">
        <v>1334</v>
      </c>
      <c r="X528" s="28" t="s">
        <v>2837</v>
      </c>
      <c r="Y528" s="28" t="s">
        <v>2705</v>
      </c>
      <c r="Z528" s="28" t="s">
        <v>2838</v>
      </c>
      <c r="AA528" s="28" t="s">
        <v>2839</v>
      </c>
      <c r="AB528" s="28" t="s">
        <v>2840</v>
      </c>
      <c r="AC528" s="28" t="s">
        <v>2841</v>
      </c>
    </row>
    <row r="529" spans="1:29" x14ac:dyDescent="0.2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8" t="s">
        <v>1367</v>
      </c>
      <c r="W529" s="28" t="s">
        <v>1334</v>
      </c>
      <c r="X529" s="28" t="s">
        <v>2837</v>
      </c>
      <c r="Y529" s="28" t="s">
        <v>2705</v>
      </c>
      <c r="Z529" s="28" t="s">
        <v>2838</v>
      </c>
      <c r="AA529" s="28" t="s">
        <v>2839</v>
      </c>
      <c r="AB529" s="28" t="s">
        <v>2840</v>
      </c>
      <c r="AC529" s="28" t="s">
        <v>2841</v>
      </c>
    </row>
    <row r="530" spans="1:29" x14ac:dyDescent="0.2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8" t="s">
        <v>1367</v>
      </c>
      <c r="W530" s="28" t="s">
        <v>1334</v>
      </c>
      <c r="X530" s="28" t="s">
        <v>2837</v>
      </c>
      <c r="Y530" s="28" t="s">
        <v>2705</v>
      </c>
      <c r="Z530" s="28" t="s">
        <v>2838</v>
      </c>
      <c r="AA530" s="28" t="s">
        <v>2839</v>
      </c>
      <c r="AB530" s="28" t="s">
        <v>2840</v>
      </c>
      <c r="AC530" s="28" t="s">
        <v>2841</v>
      </c>
    </row>
    <row r="531" spans="1:29" x14ac:dyDescent="0.2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8" t="s">
        <v>1368</v>
      </c>
      <c r="W531" s="28" t="s">
        <v>1330</v>
      </c>
      <c r="X531" s="28" t="s">
        <v>2842</v>
      </c>
      <c r="Y531" s="28" t="s">
        <v>2693</v>
      </c>
      <c r="Z531" s="28" t="s">
        <v>2843</v>
      </c>
      <c r="AA531" s="28" t="s">
        <v>2844</v>
      </c>
      <c r="AB531" s="28" t="s">
        <v>2845</v>
      </c>
      <c r="AC531" s="28" t="s">
        <v>2846</v>
      </c>
    </row>
    <row r="532" spans="1:29" x14ac:dyDescent="0.2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8" t="s">
        <v>1369</v>
      </c>
      <c r="W532" s="28" t="s">
        <v>1272</v>
      </c>
      <c r="X532" s="28" t="s">
        <v>2847</v>
      </c>
      <c r="Y532" s="28" t="s">
        <v>2848</v>
      </c>
      <c r="Z532" s="28" t="s">
        <v>2849</v>
      </c>
      <c r="AA532" s="28" t="s">
        <v>2850</v>
      </c>
      <c r="AB532" s="28" t="s">
        <v>2851</v>
      </c>
      <c r="AC532" s="28" t="s">
        <v>2852</v>
      </c>
    </row>
    <row r="533" spans="1:29" x14ac:dyDescent="0.2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8" t="s">
        <v>1370</v>
      </c>
      <c r="W533" s="28" t="s">
        <v>1150</v>
      </c>
      <c r="X533" s="28" t="s">
        <v>2853</v>
      </c>
      <c r="Y533" s="28" t="s">
        <v>2765</v>
      </c>
      <c r="Z533" s="28" t="s">
        <v>2854</v>
      </c>
      <c r="AA533" s="28" t="s">
        <v>2855</v>
      </c>
      <c r="AB533" s="28" t="s">
        <v>2856</v>
      </c>
      <c r="AC533" s="28" t="s">
        <v>2857</v>
      </c>
    </row>
    <row r="534" spans="1:29" x14ac:dyDescent="0.2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8" t="s">
        <v>1371</v>
      </c>
      <c r="W534" s="28" t="s">
        <v>1346</v>
      </c>
      <c r="X534" s="28" t="s">
        <v>2858</v>
      </c>
      <c r="Y534" s="28" t="s">
        <v>2753</v>
      </c>
      <c r="Z534" s="28" t="s">
        <v>2859</v>
      </c>
      <c r="AA534" s="28" t="s">
        <v>2860</v>
      </c>
      <c r="AB534" s="28" t="s">
        <v>2861</v>
      </c>
      <c r="AC534" s="28" t="s">
        <v>2862</v>
      </c>
    </row>
    <row r="535" spans="1:29" x14ac:dyDescent="0.2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8" t="s">
        <v>1372</v>
      </c>
      <c r="W535" s="28" t="s">
        <v>1177</v>
      </c>
      <c r="X535" s="28" t="s">
        <v>2863</v>
      </c>
      <c r="Y535" s="28" t="s">
        <v>2864</v>
      </c>
      <c r="Z535" s="28" t="s">
        <v>2865</v>
      </c>
      <c r="AA535" s="28" t="s">
        <v>2866</v>
      </c>
      <c r="AB535" s="28" t="s">
        <v>2867</v>
      </c>
      <c r="AC535" s="28" t="s">
        <v>2868</v>
      </c>
    </row>
    <row r="536" spans="1:29" x14ac:dyDescent="0.2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8" t="s">
        <v>1373</v>
      </c>
      <c r="W536" s="28" t="s">
        <v>1362</v>
      </c>
      <c r="X536" s="28" t="s">
        <v>2869</v>
      </c>
      <c r="Y536" s="28" t="s">
        <v>2814</v>
      </c>
      <c r="Z536" s="28" t="s">
        <v>2870</v>
      </c>
      <c r="AA536" s="28" t="s">
        <v>2871</v>
      </c>
      <c r="AB536" s="28" t="s">
        <v>2872</v>
      </c>
      <c r="AC536" s="28" t="s">
        <v>2873</v>
      </c>
    </row>
    <row r="537" spans="1:29" x14ac:dyDescent="0.2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8" t="s">
        <v>1374</v>
      </c>
      <c r="W537" s="28" t="s">
        <v>1362</v>
      </c>
      <c r="X537" s="28" t="s">
        <v>2874</v>
      </c>
      <c r="Y537" s="28" t="s">
        <v>2814</v>
      </c>
      <c r="Z537" s="28" t="s">
        <v>2875</v>
      </c>
      <c r="AA537" s="28" t="s">
        <v>2876</v>
      </c>
      <c r="AB537" s="28" t="s">
        <v>2877</v>
      </c>
      <c r="AC537" s="28" t="s">
        <v>2878</v>
      </c>
    </row>
    <row r="538" spans="1:29" x14ac:dyDescent="0.2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8" t="s">
        <v>1375</v>
      </c>
      <c r="W538" s="28" t="s">
        <v>1309</v>
      </c>
      <c r="X538" s="28" t="s">
        <v>2879</v>
      </c>
      <c r="Y538" s="28" t="s">
        <v>2628</v>
      </c>
      <c r="Z538" s="28" t="s">
        <v>2880</v>
      </c>
      <c r="AA538" s="28" t="s">
        <v>2881</v>
      </c>
      <c r="AB538" s="28" t="s">
        <v>2882</v>
      </c>
      <c r="AC538" s="28" t="s">
        <v>2883</v>
      </c>
    </row>
    <row r="539" spans="1:29" x14ac:dyDescent="0.2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8" t="s">
        <v>1374</v>
      </c>
      <c r="W539" s="28" t="s">
        <v>1362</v>
      </c>
      <c r="X539" s="28" t="s">
        <v>2874</v>
      </c>
      <c r="Y539" s="28" t="s">
        <v>2814</v>
      </c>
      <c r="Z539" s="28" t="s">
        <v>2875</v>
      </c>
      <c r="AA539" s="28" t="s">
        <v>2876</v>
      </c>
      <c r="AB539" s="28" t="s">
        <v>2877</v>
      </c>
      <c r="AC539" s="28" t="s">
        <v>2878</v>
      </c>
    </row>
    <row r="540" spans="1:29" x14ac:dyDescent="0.2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8" t="s">
        <v>1308</v>
      </c>
      <c r="W540" s="28" t="s">
        <v>1309</v>
      </c>
      <c r="X540" s="28" t="s">
        <v>2627</v>
      </c>
      <c r="Y540" s="28" t="s">
        <v>2628</v>
      </c>
      <c r="Z540" s="28" t="s">
        <v>2884</v>
      </c>
      <c r="AA540" s="28" t="s">
        <v>2881</v>
      </c>
      <c r="AB540" s="28" t="s">
        <v>2885</v>
      </c>
      <c r="AC540" s="28" t="s">
        <v>2883</v>
      </c>
    </row>
    <row r="541" spans="1:29" x14ac:dyDescent="0.2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8" t="s">
        <v>1308</v>
      </c>
      <c r="W541" s="28" t="s">
        <v>1309</v>
      </c>
      <c r="X541" s="28" t="s">
        <v>2627</v>
      </c>
      <c r="Y541" s="28" t="s">
        <v>2628</v>
      </c>
      <c r="Z541" s="28" t="s">
        <v>2884</v>
      </c>
      <c r="AA541" s="28" t="s">
        <v>2881</v>
      </c>
      <c r="AB541" s="28" t="s">
        <v>2885</v>
      </c>
      <c r="AC541" s="28" t="s">
        <v>2883</v>
      </c>
    </row>
    <row r="542" spans="1:29" x14ac:dyDescent="0.2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8" t="s">
        <v>1376</v>
      </c>
      <c r="W542" s="28" t="s">
        <v>1311</v>
      </c>
      <c r="X542" s="28" t="s">
        <v>2886</v>
      </c>
      <c r="Y542" s="28" t="s">
        <v>2634</v>
      </c>
      <c r="Z542" s="28" t="s">
        <v>2887</v>
      </c>
      <c r="AA542" s="28" t="s">
        <v>2888</v>
      </c>
      <c r="AB542" s="28" t="s">
        <v>2889</v>
      </c>
      <c r="AC542" s="28" t="s">
        <v>2890</v>
      </c>
    </row>
    <row r="543" spans="1:29" x14ac:dyDescent="0.2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8" t="s">
        <v>1363</v>
      </c>
      <c r="W543" s="28" t="s">
        <v>1309</v>
      </c>
      <c r="X543" s="28" t="s">
        <v>2819</v>
      </c>
      <c r="Y543" s="28" t="s">
        <v>2628</v>
      </c>
      <c r="Z543" s="28" t="s">
        <v>2891</v>
      </c>
      <c r="AA543" s="28" t="s">
        <v>2881</v>
      </c>
      <c r="AB543" s="28" t="s">
        <v>2892</v>
      </c>
      <c r="AC543" s="28" t="s">
        <v>2883</v>
      </c>
    </row>
    <row r="544" spans="1:29" x14ac:dyDescent="0.2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8" t="s">
        <v>1377</v>
      </c>
      <c r="W544" s="28" t="s">
        <v>1378</v>
      </c>
      <c r="X544" s="28" t="s">
        <v>2893</v>
      </c>
      <c r="Y544" s="28" t="s">
        <v>2894</v>
      </c>
      <c r="Z544" s="28" t="s">
        <v>2895</v>
      </c>
      <c r="AA544" s="28" t="s">
        <v>2896</v>
      </c>
      <c r="AB544" s="28" t="s">
        <v>2897</v>
      </c>
      <c r="AC544" s="28" t="s">
        <v>2898</v>
      </c>
    </row>
    <row r="545" spans="1:29" x14ac:dyDescent="0.2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8" t="s">
        <v>1377</v>
      </c>
      <c r="W545" s="28" t="s">
        <v>1378</v>
      </c>
      <c r="X545" s="28" t="s">
        <v>2893</v>
      </c>
      <c r="Y545" s="28" t="s">
        <v>2894</v>
      </c>
      <c r="Z545" s="28" t="s">
        <v>2895</v>
      </c>
      <c r="AA545" s="28" t="s">
        <v>2896</v>
      </c>
      <c r="AB545" s="28" t="s">
        <v>2897</v>
      </c>
      <c r="AC545" s="28" t="s">
        <v>2898</v>
      </c>
    </row>
    <row r="546" spans="1:29" x14ac:dyDescent="0.2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8" t="s">
        <v>1377</v>
      </c>
      <c r="W546" s="28" t="s">
        <v>1378</v>
      </c>
      <c r="X546" s="28" t="s">
        <v>2893</v>
      </c>
      <c r="Y546" s="28" t="s">
        <v>2894</v>
      </c>
      <c r="Z546" s="28" t="s">
        <v>2895</v>
      </c>
      <c r="AA546" s="28" t="s">
        <v>2896</v>
      </c>
      <c r="AB546" s="28" t="s">
        <v>2897</v>
      </c>
      <c r="AC546" s="28" t="s">
        <v>2898</v>
      </c>
    </row>
    <row r="547" spans="1:29" x14ac:dyDescent="0.2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8" t="s">
        <v>1363</v>
      </c>
      <c r="W547" s="28" t="s">
        <v>1309</v>
      </c>
      <c r="X547" s="28" t="s">
        <v>2819</v>
      </c>
      <c r="Y547" s="28" t="s">
        <v>2628</v>
      </c>
      <c r="Z547" s="28" t="s">
        <v>2891</v>
      </c>
      <c r="AA547" s="28" t="s">
        <v>2881</v>
      </c>
      <c r="AB547" s="28" t="s">
        <v>2892</v>
      </c>
      <c r="AC547" s="28" t="s">
        <v>2883</v>
      </c>
    </row>
    <row r="548" spans="1:29" x14ac:dyDescent="0.2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8" t="s">
        <v>1363</v>
      </c>
      <c r="W548" s="28" t="s">
        <v>1309</v>
      </c>
      <c r="X548" s="28" t="s">
        <v>2819</v>
      </c>
      <c r="Y548" s="28" t="s">
        <v>2628</v>
      </c>
      <c r="Z548" s="28" t="s">
        <v>2891</v>
      </c>
      <c r="AA548" s="28" t="s">
        <v>2881</v>
      </c>
      <c r="AB548" s="28" t="s">
        <v>2892</v>
      </c>
      <c r="AC548" s="28" t="s">
        <v>2883</v>
      </c>
    </row>
    <row r="549" spans="1:29" x14ac:dyDescent="0.2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8" t="s">
        <v>1379</v>
      </c>
      <c r="W549" s="28" t="s">
        <v>1309</v>
      </c>
      <c r="X549" s="28" t="s">
        <v>2899</v>
      </c>
      <c r="Y549" s="28" t="s">
        <v>2628</v>
      </c>
      <c r="Z549" s="28" t="s">
        <v>2900</v>
      </c>
      <c r="AA549" s="28" t="s">
        <v>2881</v>
      </c>
      <c r="AB549" s="28" t="s">
        <v>2901</v>
      </c>
      <c r="AC549" s="28" t="s">
        <v>2883</v>
      </c>
    </row>
    <row r="550" spans="1:29" x14ac:dyDescent="0.2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8" t="s">
        <v>1380</v>
      </c>
      <c r="W550" s="28" t="s">
        <v>1365</v>
      </c>
      <c r="X550" s="28" t="s">
        <v>2902</v>
      </c>
      <c r="Y550" s="28" t="s">
        <v>2829</v>
      </c>
      <c r="Z550" s="28" t="s">
        <v>2903</v>
      </c>
      <c r="AA550" s="28" t="s">
        <v>2904</v>
      </c>
      <c r="AB550" s="28" t="s">
        <v>2905</v>
      </c>
      <c r="AC550" s="28" t="s">
        <v>2906</v>
      </c>
    </row>
    <row r="551" spans="1:29" x14ac:dyDescent="0.2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8" t="s">
        <v>1381</v>
      </c>
      <c r="W551" s="28" t="s">
        <v>1326</v>
      </c>
      <c r="X551" s="28" t="s">
        <v>2907</v>
      </c>
      <c r="Y551" s="28" t="s">
        <v>2679</v>
      </c>
      <c r="Z551" s="28" t="s">
        <v>2908</v>
      </c>
      <c r="AA551" s="28" t="s">
        <v>2909</v>
      </c>
      <c r="AB551" s="28" t="s">
        <v>2910</v>
      </c>
      <c r="AC551" s="28" t="s">
        <v>2911</v>
      </c>
    </row>
    <row r="552" spans="1:29" x14ac:dyDescent="0.2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8" t="s">
        <v>1382</v>
      </c>
      <c r="W552" s="28" t="s">
        <v>1383</v>
      </c>
      <c r="X552" s="28" t="s">
        <v>2912</v>
      </c>
      <c r="Y552" s="28" t="s">
        <v>2913</v>
      </c>
      <c r="Z552" s="28" t="s">
        <v>2914</v>
      </c>
      <c r="AA552" s="28" t="s">
        <v>2915</v>
      </c>
      <c r="AB552" s="28" t="s">
        <v>2916</v>
      </c>
      <c r="AC552" s="28" t="s">
        <v>2917</v>
      </c>
    </row>
    <row r="553" spans="1:29" x14ac:dyDescent="0.2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8" t="s">
        <v>1384</v>
      </c>
      <c r="W553" s="28" t="s">
        <v>1115</v>
      </c>
      <c r="X553" s="28" t="s">
        <v>2918</v>
      </c>
      <c r="Y553" s="28" t="s">
        <v>2919</v>
      </c>
      <c r="Z553" s="28" t="s">
        <v>2920</v>
      </c>
      <c r="AA553" s="28" t="s">
        <v>2921</v>
      </c>
      <c r="AB553" s="28" t="s">
        <v>2922</v>
      </c>
      <c r="AC553" s="28" t="s">
        <v>2923</v>
      </c>
    </row>
    <row r="554" spans="1:29" x14ac:dyDescent="0.2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8" t="s">
        <v>1106</v>
      </c>
      <c r="W554" s="28" t="s">
        <v>1107</v>
      </c>
      <c r="X554" s="28" t="s">
        <v>2924</v>
      </c>
      <c r="Y554" s="28" t="s">
        <v>2925</v>
      </c>
      <c r="Z554" s="28" t="s">
        <v>2926</v>
      </c>
      <c r="AA554" s="28" t="s">
        <v>2927</v>
      </c>
      <c r="AB554" s="28" t="s">
        <v>2928</v>
      </c>
      <c r="AC554" s="28" t="s">
        <v>2929</v>
      </c>
    </row>
    <row r="555" spans="1:29" x14ac:dyDescent="0.2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8" t="s">
        <v>1097</v>
      </c>
      <c r="W555" s="28" t="s">
        <v>1092</v>
      </c>
      <c r="X555" s="28" t="s">
        <v>2930</v>
      </c>
      <c r="Y555" s="28" t="s">
        <v>2931</v>
      </c>
      <c r="Z555" s="28" t="s">
        <v>2932</v>
      </c>
      <c r="AA555" s="28" t="s">
        <v>2933</v>
      </c>
      <c r="AB555" s="28" t="s">
        <v>2934</v>
      </c>
      <c r="AC555" s="28" t="s">
        <v>2935</v>
      </c>
    </row>
    <row r="556" spans="1:29" x14ac:dyDescent="0.2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8" t="s">
        <v>1385</v>
      </c>
      <c r="W556" s="28" t="s">
        <v>1132</v>
      </c>
      <c r="X556" s="28" t="s">
        <v>2936</v>
      </c>
      <c r="Y556" s="28" t="s">
        <v>2937</v>
      </c>
      <c r="Z556" s="28" t="s">
        <v>2938</v>
      </c>
      <c r="AA556" s="28" t="s">
        <v>2939</v>
      </c>
      <c r="AB556" s="28" t="s">
        <v>2940</v>
      </c>
      <c r="AC556" s="28" t="s">
        <v>2941</v>
      </c>
    </row>
    <row r="557" spans="1:29" x14ac:dyDescent="0.2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8" t="s">
        <v>1386</v>
      </c>
      <c r="W557" s="28" t="s">
        <v>1122</v>
      </c>
      <c r="X557" s="28" t="s">
        <v>2942</v>
      </c>
      <c r="Y557" s="28" t="s">
        <v>2943</v>
      </c>
      <c r="Z557" s="28" t="s">
        <v>2944</v>
      </c>
      <c r="AA557" s="28" t="s">
        <v>2945</v>
      </c>
      <c r="AB557" s="28" t="s">
        <v>2946</v>
      </c>
      <c r="AC557" s="28" t="s">
        <v>2947</v>
      </c>
    </row>
    <row r="558" spans="1:29" x14ac:dyDescent="0.2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8" t="s">
        <v>1342</v>
      </c>
      <c r="W558" s="28" t="s">
        <v>1275</v>
      </c>
      <c r="X558" s="28" t="s">
        <v>2740</v>
      </c>
      <c r="Y558" s="28" t="s">
        <v>2741</v>
      </c>
      <c r="Z558" s="28" t="s">
        <v>2948</v>
      </c>
      <c r="AA558" s="28" t="s">
        <v>2949</v>
      </c>
      <c r="AB558" s="28" t="s">
        <v>2950</v>
      </c>
      <c r="AC558" s="28" t="s">
        <v>2951</v>
      </c>
    </row>
    <row r="559" spans="1:29" x14ac:dyDescent="0.2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8" t="s">
        <v>1387</v>
      </c>
      <c r="W559" s="28" t="s">
        <v>1346</v>
      </c>
      <c r="X559" s="28" t="s">
        <v>2952</v>
      </c>
      <c r="Y559" s="28" t="s">
        <v>2753</v>
      </c>
      <c r="Z559" s="28" t="s">
        <v>2953</v>
      </c>
      <c r="AA559" s="28" t="s">
        <v>2954</v>
      </c>
      <c r="AB559" s="28" t="s">
        <v>2955</v>
      </c>
      <c r="AC559" s="28" t="s">
        <v>2956</v>
      </c>
    </row>
    <row r="560" spans="1:29" x14ac:dyDescent="0.2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8" t="s">
        <v>1388</v>
      </c>
      <c r="W560" s="28" t="s">
        <v>1389</v>
      </c>
      <c r="X560" s="28" t="s">
        <v>2957</v>
      </c>
      <c r="Y560" s="28" t="s">
        <v>2958</v>
      </c>
      <c r="Z560" s="28" t="s">
        <v>2959</v>
      </c>
      <c r="AA560" s="28" t="s">
        <v>2960</v>
      </c>
      <c r="AB560" s="28" t="s">
        <v>2961</v>
      </c>
      <c r="AC560" s="28" t="s">
        <v>2962</v>
      </c>
    </row>
    <row r="561" spans="1:29" x14ac:dyDescent="0.2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8" t="s">
        <v>1172</v>
      </c>
      <c r="W561" s="28" t="s">
        <v>1173</v>
      </c>
      <c r="X561" s="28" t="s">
        <v>2963</v>
      </c>
      <c r="Y561" s="28" t="s">
        <v>2964</v>
      </c>
      <c r="Z561" s="28" t="s">
        <v>2965</v>
      </c>
      <c r="AA561" s="28" t="s">
        <v>2966</v>
      </c>
      <c r="AB561" s="28" t="s">
        <v>2076</v>
      </c>
      <c r="AC561" s="28" t="s">
        <v>2077</v>
      </c>
    </row>
    <row r="562" spans="1:29" x14ac:dyDescent="0.2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8" t="s">
        <v>1194</v>
      </c>
      <c r="W562" s="28" t="s">
        <v>1195</v>
      </c>
      <c r="X562" s="28" t="s">
        <v>2967</v>
      </c>
      <c r="Y562" s="28" t="s">
        <v>2968</v>
      </c>
      <c r="Z562" s="28" t="s">
        <v>2969</v>
      </c>
      <c r="AA562" s="28" t="s">
        <v>2970</v>
      </c>
      <c r="AB562" s="28" t="s">
        <v>2971</v>
      </c>
      <c r="AC562" s="28" t="s">
        <v>2972</v>
      </c>
    </row>
    <row r="563" spans="1:29" x14ac:dyDescent="0.2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8" t="s">
        <v>1194</v>
      </c>
      <c r="W563" s="28" t="s">
        <v>1195</v>
      </c>
      <c r="X563" s="28" t="s">
        <v>2967</v>
      </c>
      <c r="Y563" s="28" t="s">
        <v>2968</v>
      </c>
      <c r="Z563" s="28" t="s">
        <v>2973</v>
      </c>
      <c r="AA563" s="28" t="s">
        <v>2974</v>
      </c>
      <c r="AB563" s="28" t="s">
        <v>2975</v>
      </c>
      <c r="AC563" s="28" t="s">
        <v>2976</v>
      </c>
    </row>
    <row r="564" spans="1:29" x14ac:dyDescent="0.2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8" t="s">
        <v>1390</v>
      </c>
      <c r="W564" s="28" t="s">
        <v>1391</v>
      </c>
      <c r="X564" s="28" t="s">
        <v>2977</v>
      </c>
      <c r="Y564" s="28" t="s">
        <v>2978</v>
      </c>
      <c r="Z564" s="28" t="s">
        <v>2979</v>
      </c>
      <c r="AA564" s="28" t="s">
        <v>2980</v>
      </c>
      <c r="AB564" s="28" t="s">
        <v>2981</v>
      </c>
      <c r="AC564" s="28" t="s">
        <v>2982</v>
      </c>
    </row>
    <row r="565" spans="1:29" x14ac:dyDescent="0.2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8" t="s">
        <v>1236</v>
      </c>
      <c r="W565" s="28" t="s">
        <v>1225</v>
      </c>
      <c r="X565" s="28" t="s">
        <v>2983</v>
      </c>
      <c r="Y565" s="28" t="s">
        <v>2984</v>
      </c>
      <c r="Z565" s="28" t="s">
        <v>2985</v>
      </c>
      <c r="AA565" s="28" t="s">
        <v>2986</v>
      </c>
      <c r="AB565" s="28" t="s">
        <v>2987</v>
      </c>
      <c r="AC565" s="28" t="s">
        <v>2988</v>
      </c>
    </row>
    <row r="566" spans="1:29" x14ac:dyDescent="0.2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8" t="s">
        <v>1392</v>
      </c>
      <c r="W566" s="28" t="s">
        <v>1393</v>
      </c>
      <c r="X566" s="28" t="s">
        <v>2989</v>
      </c>
      <c r="Y566" s="28" t="s">
        <v>2990</v>
      </c>
      <c r="Z566" s="28" t="s">
        <v>2991</v>
      </c>
      <c r="AA566" s="28" t="s">
        <v>2992</v>
      </c>
      <c r="AB566" s="28" t="s">
        <v>2993</v>
      </c>
      <c r="AC566" s="28" t="s">
        <v>2994</v>
      </c>
    </row>
    <row r="567" spans="1:29" x14ac:dyDescent="0.2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8" t="s">
        <v>1394</v>
      </c>
      <c r="W567" s="28" t="s">
        <v>1078</v>
      </c>
      <c r="X567" s="28" t="s">
        <v>2995</v>
      </c>
      <c r="Y567" s="28" t="s">
        <v>2996</v>
      </c>
      <c r="Z567" s="28" t="s">
        <v>2997</v>
      </c>
      <c r="AA567" s="28" t="s">
        <v>2998</v>
      </c>
      <c r="AB567" s="28" t="s">
        <v>2999</v>
      </c>
      <c r="AC567" s="28" t="s">
        <v>3000</v>
      </c>
    </row>
    <row r="568" spans="1:29" x14ac:dyDescent="0.2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8" t="s">
        <v>1395</v>
      </c>
      <c r="W568" s="28" t="s">
        <v>1225</v>
      </c>
      <c r="X568" s="28" t="s">
        <v>3001</v>
      </c>
      <c r="Y568" s="28" t="s">
        <v>2984</v>
      </c>
      <c r="Z568" s="28" t="s">
        <v>3002</v>
      </c>
      <c r="AA568" s="28" t="s">
        <v>3003</v>
      </c>
      <c r="AB568" s="28" t="s">
        <v>3004</v>
      </c>
      <c r="AC568" s="28" t="s">
        <v>3005</v>
      </c>
    </row>
    <row r="569" spans="1:29" x14ac:dyDescent="0.2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8" t="s">
        <v>1395</v>
      </c>
      <c r="W569" s="28" t="s">
        <v>1225</v>
      </c>
      <c r="X569" s="28" t="s">
        <v>3001</v>
      </c>
      <c r="Y569" s="28" t="s">
        <v>2984</v>
      </c>
      <c r="Z569" s="28" t="s">
        <v>3002</v>
      </c>
      <c r="AA569" s="28" t="s">
        <v>3003</v>
      </c>
      <c r="AB569" s="28" t="s">
        <v>3004</v>
      </c>
      <c r="AC569" s="28" t="s">
        <v>3005</v>
      </c>
    </row>
    <row r="570" spans="1:29" x14ac:dyDescent="0.2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8" t="s">
        <v>1395</v>
      </c>
      <c r="W570" s="28" t="s">
        <v>1225</v>
      </c>
      <c r="X570" s="28" t="s">
        <v>3001</v>
      </c>
      <c r="Y570" s="28" t="s">
        <v>2984</v>
      </c>
      <c r="Z570" s="28" t="s">
        <v>3002</v>
      </c>
      <c r="AA570" s="28" t="s">
        <v>3003</v>
      </c>
      <c r="AB570" s="28" t="s">
        <v>3004</v>
      </c>
      <c r="AC570" s="28" t="s">
        <v>3005</v>
      </c>
    </row>
    <row r="571" spans="1:29" x14ac:dyDescent="0.2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8" t="s">
        <v>1278</v>
      </c>
      <c r="W571" s="28" t="s">
        <v>1279</v>
      </c>
      <c r="X571" s="28" t="s">
        <v>3006</v>
      </c>
      <c r="Y571" s="28" t="s">
        <v>3007</v>
      </c>
      <c r="Z571" s="28" t="s">
        <v>3008</v>
      </c>
      <c r="AA571" s="28" t="s">
        <v>3009</v>
      </c>
      <c r="AB571" s="28" t="s">
        <v>3010</v>
      </c>
      <c r="AC571" s="28" t="s">
        <v>3011</v>
      </c>
    </row>
    <row r="572" spans="1:29" x14ac:dyDescent="0.2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8" t="s">
        <v>1278</v>
      </c>
      <c r="W572" s="28" t="s">
        <v>1279</v>
      </c>
      <c r="X572" s="28" t="s">
        <v>3006</v>
      </c>
      <c r="Y572" s="28" t="s">
        <v>3007</v>
      </c>
      <c r="Z572" s="28" t="s">
        <v>3008</v>
      </c>
      <c r="AA572" s="28" t="s">
        <v>3009</v>
      </c>
      <c r="AB572" s="28" t="s">
        <v>3010</v>
      </c>
      <c r="AC572" s="28" t="s">
        <v>3011</v>
      </c>
    </row>
    <row r="573" spans="1:29" x14ac:dyDescent="0.2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8" t="s">
        <v>1396</v>
      </c>
      <c r="W573" s="28" t="s">
        <v>1241</v>
      </c>
      <c r="X573" s="28" t="s">
        <v>3012</v>
      </c>
      <c r="Y573" s="28" t="s">
        <v>3013</v>
      </c>
      <c r="Z573" s="28" t="s">
        <v>3014</v>
      </c>
      <c r="AA573" s="28" t="s">
        <v>3015</v>
      </c>
      <c r="AB573" s="28" t="s">
        <v>3016</v>
      </c>
      <c r="AC573" s="28" t="s">
        <v>3017</v>
      </c>
    </row>
    <row r="574" spans="1:29" x14ac:dyDescent="0.2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8" t="s">
        <v>1397</v>
      </c>
      <c r="W574" s="28" t="s">
        <v>1247</v>
      </c>
      <c r="X574" s="28" t="s">
        <v>3018</v>
      </c>
      <c r="Y574" s="28" t="s">
        <v>3019</v>
      </c>
      <c r="Z574" s="28" t="s">
        <v>3020</v>
      </c>
      <c r="AA574" s="28" t="s">
        <v>3021</v>
      </c>
      <c r="AB574" s="28" t="s">
        <v>3022</v>
      </c>
      <c r="AC574" s="28" t="s">
        <v>3023</v>
      </c>
    </row>
    <row r="575" spans="1:29" x14ac:dyDescent="0.2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8" t="s">
        <v>1398</v>
      </c>
      <c r="W575" s="28" t="s">
        <v>1399</v>
      </c>
      <c r="X575" s="28" t="s">
        <v>3024</v>
      </c>
      <c r="Y575" s="28" t="s">
        <v>3025</v>
      </c>
      <c r="Z575" s="28" t="s">
        <v>3026</v>
      </c>
      <c r="AA575" s="28" t="s">
        <v>3027</v>
      </c>
      <c r="AB575" s="28" t="s">
        <v>3028</v>
      </c>
      <c r="AC575" s="28" t="s">
        <v>3029</v>
      </c>
    </row>
    <row r="576" spans="1:29" x14ac:dyDescent="0.2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8" t="s">
        <v>1400</v>
      </c>
      <c r="W576" s="28" t="s">
        <v>1401</v>
      </c>
      <c r="X576" s="28" t="s">
        <v>3030</v>
      </c>
      <c r="Y576" s="28" t="s">
        <v>3031</v>
      </c>
      <c r="Z576" s="28" t="s">
        <v>3032</v>
      </c>
      <c r="AA576" s="28" t="s">
        <v>3033</v>
      </c>
      <c r="AB576" s="28" t="s">
        <v>3034</v>
      </c>
      <c r="AC576" s="28" t="s">
        <v>3035</v>
      </c>
    </row>
    <row r="577" spans="1:29" x14ac:dyDescent="0.2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8" t="s">
        <v>1402</v>
      </c>
      <c r="W577" s="28" t="s">
        <v>1403</v>
      </c>
      <c r="X577" s="28" t="s">
        <v>3036</v>
      </c>
      <c r="Y577" s="28" t="s">
        <v>3037</v>
      </c>
      <c r="Z577" s="28" t="s">
        <v>3038</v>
      </c>
      <c r="AA577" s="28" t="s">
        <v>3039</v>
      </c>
      <c r="AB577" s="28" t="s">
        <v>3040</v>
      </c>
      <c r="AC577" s="28" t="s">
        <v>3041</v>
      </c>
    </row>
    <row r="578" spans="1:29" x14ac:dyDescent="0.2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8" t="s">
        <v>1191</v>
      </c>
      <c r="W578" s="28" t="s">
        <v>1179</v>
      </c>
      <c r="X578" s="28" t="s">
        <v>3042</v>
      </c>
      <c r="Y578" s="28" t="s">
        <v>3043</v>
      </c>
      <c r="Z578" s="28" t="s">
        <v>3044</v>
      </c>
      <c r="AA578" s="28" t="s">
        <v>3045</v>
      </c>
      <c r="AB578" s="28" t="s">
        <v>3046</v>
      </c>
      <c r="AC578" s="28" t="s">
        <v>3047</v>
      </c>
    </row>
    <row r="579" spans="1:29" x14ac:dyDescent="0.2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8" t="s">
        <v>1404</v>
      </c>
      <c r="W579" s="28" t="s">
        <v>1403</v>
      </c>
      <c r="X579" s="28" t="s">
        <v>3048</v>
      </c>
      <c r="Y579" s="28" t="s">
        <v>3037</v>
      </c>
      <c r="Z579" s="28" t="s">
        <v>3049</v>
      </c>
      <c r="AA579" s="28" t="s">
        <v>3039</v>
      </c>
      <c r="AB579" s="28" t="s">
        <v>3050</v>
      </c>
      <c r="AC579" s="28" t="s">
        <v>3041</v>
      </c>
    </row>
    <row r="580" spans="1:29" x14ac:dyDescent="0.2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8" t="s">
        <v>1405</v>
      </c>
      <c r="W580" s="28" t="s">
        <v>1072</v>
      </c>
      <c r="X580" s="28" t="s">
        <v>3051</v>
      </c>
      <c r="Y580" s="28" t="s">
        <v>3052</v>
      </c>
      <c r="Z580" s="28" t="s">
        <v>3053</v>
      </c>
      <c r="AA580" s="28" t="s">
        <v>3054</v>
      </c>
      <c r="AB580" s="28" t="s">
        <v>3055</v>
      </c>
      <c r="AC580" s="28" t="s">
        <v>3056</v>
      </c>
    </row>
    <row r="581" spans="1:29" x14ac:dyDescent="0.2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8" t="s">
        <v>1406</v>
      </c>
      <c r="W581" s="28" t="s">
        <v>1175</v>
      </c>
      <c r="X581" s="28" t="s">
        <v>3057</v>
      </c>
      <c r="Y581" s="28" t="s">
        <v>3058</v>
      </c>
      <c r="Z581" s="28" t="s">
        <v>3059</v>
      </c>
      <c r="AA581" s="28" t="s">
        <v>3060</v>
      </c>
      <c r="AB581" s="28" t="s">
        <v>3061</v>
      </c>
      <c r="AC581" s="28" t="s">
        <v>3062</v>
      </c>
    </row>
    <row r="582" spans="1:29" x14ac:dyDescent="0.2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8" t="s">
        <v>1191</v>
      </c>
      <c r="W582" s="28" t="s">
        <v>1179</v>
      </c>
      <c r="X582" s="28" t="s">
        <v>3042</v>
      </c>
      <c r="Y582" s="28" t="s">
        <v>3043</v>
      </c>
      <c r="Z582" s="28" t="s">
        <v>3044</v>
      </c>
      <c r="AA582" s="28" t="s">
        <v>3045</v>
      </c>
      <c r="AB582" s="28" t="s">
        <v>3046</v>
      </c>
      <c r="AC582" s="28" t="s">
        <v>3047</v>
      </c>
    </row>
    <row r="583" spans="1:29" x14ac:dyDescent="0.2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8" t="s">
        <v>1213</v>
      </c>
      <c r="W583" s="28" t="s">
        <v>1204</v>
      </c>
      <c r="X583" s="28" t="s">
        <v>3063</v>
      </c>
      <c r="Y583" s="28" t="s">
        <v>3064</v>
      </c>
      <c r="Z583" s="28" t="s">
        <v>3065</v>
      </c>
      <c r="AA583" s="28" t="s">
        <v>3066</v>
      </c>
      <c r="AB583" s="28" t="s">
        <v>3067</v>
      </c>
      <c r="AC583" s="28" t="s">
        <v>3068</v>
      </c>
    </row>
    <row r="584" spans="1:29" x14ac:dyDescent="0.2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8" t="s">
        <v>1407</v>
      </c>
      <c r="W584" s="28" t="s">
        <v>1408</v>
      </c>
      <c r="X584" s="28" t="s">
        <v>3069</v>
      </c>
      <c r="Y584" s="28" t="s">
        <v>3070</v>
      </c>
      <c r="Z584" s="28" t="s">
        <v>3071</v>
      </c>
      <c r="AA584" s="28" t="s">
        <v>3072</v>
      </c>
      <c r="AB584" s="28" t="s">
        <v>3073</v>
      </c>
      <c r="AC584" s="28" t="s">
        <v>3074</v>
      </c>
    </row>
    <row r="585" spans="1:29" x14ac:dyDescent="0.2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8" t="s">
        <v>1409</v>
      </c>
      <c r="W585" s="28" t="s">
        <v>1245</v>
      </c>
      <c r="X585" s="28" t="s">
        <v>3075</v>
      </c>
      <c r="Y585" s="28" t="s">
        <v>3076</v>
      </c>
      <c r="Z585" s="28" t="s">
        <v>3077</v>
      </c>
      <c r="AA585" s="28" t="s">
        <v>3078</v>
      </c>
      <c r="AB585" s="28" t="s">
        <v>3079</v>
      </c>
      <c r="AC585" s="28" t="s">
        <v>3080</v>
      </c>
    </row>
    <row r="586" spans="1:29" x14ac:dyDescent="0.2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8" t="s">
        <v>1410</v>
      </c>
      <c r="W586" s="28" t="s">
        <v>1313</v>
      </c>
      <c r="X586" s="28" t="s">
        <v>3081</v>
      </c>
      <c r="Y586" s="28" t="s">
        <v>2640</v>
      </c>
      <c r="Z586" s="28" t="s">
        <v>3082</v>
      </c>
      <c r="AA586" s="28" t="s">
        <v>3083</v>
      </c>
      <c r="AB586" s="28" t="s">
        <v>3084</v>
      </c>
      <c r="AC586" s="28" t="s">
        <v>3085</v>
      </c>
    </row>
    <row r="587" spans="1:29" x14ac:dyDescent="0.2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8" t="s">
        <v>1366</v>
      </c>
      <c r="W587" s="28" t="s">
        <v>1313</v>
      </c>
      <c r="X587" s="28" t="s">
        <v>2834</v>
      </c>
      <c r="Y587" s="28" t="s">
        <v>2640</v>
      </c>
      <c r="Z587" s="28" t="s">
        <v>3086</v>
      </c>
      <c r="AA587" s="28" t="s">
        <v>3083</v>
      </c>
      <c r="AB587" s="28" t="s">
        <v>3087</v>
      </c>
      <c r="AC587" s="28" t="s">
        <v>3085</v>
      </c>
    </row>
    <row r="588" spans="1:29" x14ac:dyDescent="0.2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8" t="s">
        <v>1411</v>
      </c>
      <c r="W588" s="28" t="s">
        <v>1326</v>
      </c>
      <c r="X588" s="28" t="s">
        <v>3088</v>
      </c>
      <c r="Y588" s="28" t="s">
        <v>2679</v>
      </c>
      <c r="Z588" s="28" t="s">
        <v>3089</v>
      </c>
      <c r="AA588" s="28" t="s">
        <v>3090</v>
      </c>
      <c r="AB588" s="28" t="s">
        <v>3091</v>
      </c>
      <c r="AC588" s="28" t="s">
        <v>3092</v>
      </c>
    </row>
    <row r="589" spans="1:29" x14ac:dyDescent="0.2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8" t="s">
        <v>1323</v>
      </c>
      <c r="W589" s="28" t="s">
        <v>1324</v>
      </c>
      <c r="X589" s="28" t="s">
        <v>2672</v>
      </c>
      <c r="Y589" s="28" t="s">
        <v>2673</v>
      </c>
      <c r="Z589" s="28" t="s">
        <v>3093</v>
      </c>
      <c r="AA589" s="28" t="s">
        <v>3094</v>
      </c>
      <c r="AB589" s="28" t="s">
        <v>3095</v>
      </c>
      <c r="AC589" s="28" t="s">
        <v>3096</v>
      </c>
    </row>
    <row r="590" spans="1:29" x14ac:dyDescent="0.2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8" t="s">
        <v>1412</v>
      </c>
      <c r="W590" s="28" t="s">
        <v>1383</v>
      </c>
      <c r="X590" s="28" t="s">
        <v>3097</v>
      </c>
      <c r="Y590" s="28" t="s">
        <v>2913</v>
      </c>
      <c r="Z590" s="28" t="s">
        <v>3098</v>
      </c>
      <c r="AA590" s="28" t="s">
        <v>3099</v>
      </c>
      <c r="AB590" s="28" t="s">
        <v>3100</v>
      </c>
      <c r="AC590" s="28" t="s">
        <v>3101</v>
      </c>
    </row>
    <row r="591" spans="1:29" x14ac:dyDescent="0.2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8" t="s">
        <v>1325</v>
      </c>
      <c r="W591" s="28" t="s">
        <v>1326</v>
      </c>
      <c r="X591" s="28" t="s">
        <v>2678</v>
      </c>
      <c r="Y591" s="28" t="s">
        <v>2679</v>
      </c>
      <c r="Z591" s="28" t="s">
        <v>3102</v>
      </c>
      <c r="AA591" s="28" t="s">
        <v>3090</v>
      </c>
      <c r="AB591" s="28" t="s">
        <v>3103</v>
      </c>
      <c r="AC591" s="28" t="s">
        <v>3092</v>
      </c>
    </row>
    <row r="592" spans="1:29" x14ac:dyDescent="0.2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8" t="s">
        <v>1413</v>
      </c>
      <c r="W592" s="28" t="s">
        <v>1324</v>
      </c>
      <c r="X592" s="28" t="s">
        <v>3104</v>
      </c>
      <c r="Y592" s="28" t="s">
        <v>2673</v>
      </c>
      <c r="Z592" s="28" t="s">
        <v>3105</v>
      </c>
      <c r="AA592" s="28" t="s">
        <v>3094</v>
      </c>
      <c r="AB592" s="28" t="s">
        <v>3106</v>
      </c>
      <c r="AC592" s="28" t="s">
        <v>3096</v>
      </c>
    </row>
    <row r="593" spans="1:29" x14ac:dyDescent="0.2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8" t="s">
        <v>1414</v>
      </c>
      <c r="W593" s="28" t="s">
        <v>1415</v>
      </c>
      <c r="X593" s="28" t="s">
        <v>3107</v>
      </c>
      <c r="Y593" s="28" t="s">
        <v>3108</v>
      </c>
      <c r="Z593" s="28" t="s">
        <v>3109</v>
      </c>
      <c r="AA593" s="28" t="s">
        <v>3110</v>
      </c>
      <c r="AB593" s="28" t="s">
        <v>3111</v>
      </c>
      <c r="AC593" s="28" t="s">
        <v>3112</v>
      </c>
    </row>
    <row r="594" spans="1:29" x14ac:dyDescent="0.2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8" t="s">
        <v>1416</v>
      </c>
      <c r="W594" s="28" t="s">
        <v>1417</v>
      </c>
      <c r="X594" s="28" t="s">
        <v>3113</v>
      </c>
      <c r="Y594" s="28" t="s">
        <v>3114</v>
      </c>
      <c r="Z594" s="28" t="s">
        <v>3115</v>
      </c>
      <c r="AA594" s="28" t="s">
        <v>3116</v>
      </c>
      <c r="AB594" s="28" t="s">
        <v>3117</v>
      </c>
      <c r="AC594" s="28" t="s">
        <v>3118</v>
      </c>
    </row>
    <row r="595" spans="1:29" x14ac:dyDescent="0.2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8" t="s">
        <v>1418</v>
      </c>
      <c r="W595" s="28" t="s">
        <v>1419</v>
      </c>
      <c r="X595" s="28" t="s">
        <v>3119</v>
      </c>
      <c r="Y595" s="28" t="s">
        <v>3120</v>
      </c>
      <c r="Z595" s="28" t="s">
        <v>3121</v>
      </c>
      <c r="AA595" s="28" t="s">
        <v>3122</v>
      </c>
      <c r="AB595" s="28" t="s">
        <v>3123</v>
      </c>
      <c r="AC595" s="28" t="s">
        <v>3124</v>
      </c>
    </row>
    <row r="596" spans="1:29" x14ac:dyDescent="0.2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8" t="s">
        <v>1091</v>
      </c>
      <c r="W596" s="28" t="s">
        <v>1092</v>
      </c>
      <c r="X596" s="28" t="s">
        <v>3125</v>
      </c>
      <c r="Y596" s="28" t="s">
        <v>2931</v>
      </c>
      <c r="Z596" s="28" t="s">
        <v>3126</v>
      </c>
      <c r="AA596" s="28" t="s">
        <v>3127</v>
      </c>
      <c r="AB596" s="28" t="s">
        <v>3128</v>
      </c>
      <c r="AC596" s="28" t="s">
        <v>1803</v>
      </c>
    </row>
    <row r="597" spans="1:29" x14ac:dyDescent="0.2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8" t="s">
        <v>1420</v>
      </c>
      <c r="W597" s="28" t="s">
        <v>1107</v>
      </c>
      <c r="X597" s="28" t="s">
        <v>3129</v>
      </c>
      <c r="Y597" s="28" t="s">
        <v>2925</v>
      </c>
      <c r="Z597" s="28" t="s">
        <v>3130</v>
      </c>
      <c r="AA597" s="28" t="s">
        <v>3131</v>
      </c>
      <c r="AB597" s="28" t="s">
        <v>3132</v>
      </c>
      <c r="AC597" s="28" t="s">
        <v>1833</v>
      </c>
    </row>
    <row r="598" spans="1:29" x14ac:dyDescent="0.2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8" t="s">
        <v>1106</v>
      </c>
      <c r="W598" s="28" t="s">
        <v>1107</v>
      </c>
      <c r="X598" s="28" t="s">
        <v>2924</v>
      </c>
      <c r="Y598" s="28" t="s">
        <v>2925</v>
      </c>
      <c r="Z598" s="28" t="s">
        <v>3133</v>
      </c>
      <c r="AA598" s="28" t="s">
        <v>3131</v>
      </c>
      <c r="AB598" s="28" t="s">
        <v>3134</v>
      </c>
      <c r="AC598" s="28" t="s">
        <v>1833</v>
      </c>
    </row>
    <row r="599" spans="1:29" x14ac:dyDescent="0.2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8" t="s">
        <v>1097</v>
      </c>
      <c r="W599" s="28" t="s">
        <v>1092</v>
      </c>
      <c r="X599" s="28" t="s">
        <v>2930</v>
      </c>
      <c r="Y599" s="28" t="s">
        <v>2931</v>
      </c>
      <c r="Z599" s="28" t="s">
        <v>3135</v>
      </c>
      <c r="AA599" s="28" t="s">
        <v>3127</v>
      </c>
      <c r="AB599" s="28" t="s">
        <v>1802</v>
      </c>
      <c r="AC599" s="28" t="s">
        <v>1803</v>
      </c>
    </row>
    <row r="600" spans="1:29" x14ac:dyDescent="0.2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8" t="s">
        <v>1131</v>
      </c>
      <c r="W600" s="28" t="s">
        <v>1132</v>
      </c>
      <c r="X600" s="28" t="s">
        <v>3136</v>
      </c>
      <c r="Y600" s="28" t="s">
        <v>2937</v>
      </c>
      <c r="Z600" s="28" t="s">
        <v>3137</v>
      </c>
      <c r="AA600" s="28" t="s">
        <v>3138</v>
      </c>
      <c r="AB600" s="28" t="s">
        <v>3139</v>
      </c>
      <c r="AC600" s="28" t="s">
        <v>3140</v>
      </c>
    </row>
    <row r="601" spans="1:29" x14ac:dyDescent="0.2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8" t="s">
        <v>1131</v>
      </c>
      <c r="W601" s="28" t="s">
        <v>1132</v>
      </c>
      <c r="X601" s="28" t="s">
        <v>3136</v>
      </c>
      <c r="Y601" s="28" t="s">
        <v>2937</v>
      </c>
      <c r="Z601" s="28" t="s">
        <v>3137</v>
      </c>
      <c r="AA601" s="28" t="s">
        <v>3138</v>
      </c>
      <c r="AB601" s="28" t="s">
        <v>3139</v>
      </c>
      <c r="AC601" s="28" t="s">
        <v>3140</v>
      </c>
    </row>
    <row r="602" spans="1:29" x14ac:dyDescent="0.2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8" t="s">
        <v>1131</v>
      </c>
      <c r="W602" s="28" t="s">
        <v>1132</v>
      </c>
      <c r="X602" s="28" t="s">
        <v>3136</v>
      </c>
      <c r="Y602" s="28" t="s">
        <v>2937</v>
      </c>
      <c r="Z602" s="28" t="s">
        <v>3137</v>
      </c>
      <c r="AA602" s="28" t="s">
        <v>3138</v>
      </c>
      <c r="AB602" s="28" t="s">
        <v>3139</v>
      </c>
      <c r="AC602" s="28" t="s">
        <v>3140</v>
      </c>
    </row>
    <row r="603" spans="1:29" x14ac:dyDescent="0.2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8" t="s">
        <v>1127</v>
      </c>
      <c r="W603" s="28" t="s">
        <v>1128</v>
      </c>
      <c r="X603" s="28" t="s">
        <v>3141</v>
      </c>
      <c r="Y603" s="28" t="s">
        <v>3142</v>
      </c>
      <c r="Z603" s="28" t="s">
        <v>3143</v>
      </c>
      <c r="AA603" s="28" t="s">
        <v>3144</v>
      </c>
      <c r="AB603" s="28" t="s">
        <v>3145</v>
      </c>
      <c r="AC603" s="28" t="s">
        <v>3146</v>
      </c>
    </row>
    <row r="604" spans="1:29" x14ac:dyDescent="0.2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8" t="s">
        <v>1138</v>
      </c>
      <c r="W604" s="28" t="s">
        <v>1122</v>
      </c>
      <c r="X604" s="28" t="s">
        <v>3147</v>
      </c>
      <c r="Y604" s="28" t="s">
        <v>2943</v>
      </c>
      <c r="Z604" s="28" t="s">
        <v>3148</v>
      </c>
      <c r="AA604" s="28" t="s">
        <v>3149</v>
      </c>
      <c r="AB604" s="28" t="s">
        <v>3150</v>
      </c>
      <c r="AC604" s="28" t="s">
        <v>3151</v>
      </c>
    </row>
    <row r="605" spans="1:29" x14ac:dyDescent="0.2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8" t="s">
        <v>1421</v>
      </c>
      <c r="W605" s="28" t="s">
        <v>1422</v>
      </c>
      <c r="X605" s="28" t="s">
        <v>3152</v>
      </c>
      <c r="Y605" s="28" t="s">
        <v>3153</v>
      </c>
      <c r="Z605" s="28" t="s">
        <v>3154</v>
      </c>
      <c r="AA605" s="28" t="s">
        <v>3155</v>
      </c>
      <c r="AB605" s="28" t="s">
        <v>3156</v>
      </c>
      <c r="AC605" s="28" t="s">
        <v>3157</v>
      </c>
    </row>
    <row r="606" spans="1:29" x14ac:dyDescent="0.2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8" t="s">
        <v>1423</v>
      </c>
      <c r="W606" s="28" t="s">
        <v>1155</v>
      </c>
      <c r="X606" s="28" t="s">
        <v>3158</v>
      </c>
      <c r="Y606" s="28" t="s">
        <v>3159</v>
      </c>
      <c r="Z606" s="28" t="s">
        <v>3160</v>
      </c>
      <c r="AA606" s="28" t="s">
        <v>3161</v>
      </c>
      <c r="AB606" s="28" t="s">
        <v>3162</v>
      </c>
      <c r="AC606" s="28" t="s">
        <v>2008</v>
      </c>
    </row>
    <row r="607" spans="1:29" x14ac:dyDescent="0.2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8" t="s">
        <v>1388</v>
      </c>
      <c r="W607" s="28" t="s">
        <v>1389</v>
      </c>
      <c r="X607" s="28" t="s">
        <v>2957</v>
      </c>
      <c r="Y607" s="28" t="s">
        <v>2958</v>
      </c>
      <c r="Z607" s="28" t="s">
        <v>3163</v>
      </c>
      <c r="AA607" s="28" t="s">
        <v>3164</v>
      </c>
      <c r="AB607" s="28" t="s">
        <v>3165</v>
      </c>
      <c r="AC607" s="28" t="s">
        <v>3166</v>
      </c>
    </row>
    <row r="608" spans="1:29" x14ac:dyDescent="0.2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8" t="s">
        <v>1424</v>
      </c>
      <c r="W608" s="28" t="s">
        <v>1425</v>
      </c>
      <c r="X608" s="28" t="s">
        <v>3167</v>
      </c>
      <c r="Y608" s="28" t="s">
        <v>3168</v>
      </c>
      <c r="Z608" s="28" t="s">
        <v>3169</v>
      </c>
      <c r="AA608" s="28" t="s">
        <v>3170</v>
      </c>
      <c r="AB608" s="28" t="s">
        <v>3171</v>
      </c>
      <c r="AC608" s="28" t="s">
        <v>3172</v>
      </c>
    </row>
    <row r="609" spans="1:29" x14ac:dyDescent="0.2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8" t="s">
        <v>1426</v>
      </c>
      <c r="W609" s="28" t="s">
        <v>1427</v>
      </c>
      <c r="X609" s="28" t="s">
        <v>3173</v>
      </c>
      <c r="Y609" s="28" t="s">
        <v>3174</v>
      </c>
      <c r="Z609" s="28" t="s">
        <v>3175</v>
      </c>
      <c r="AA609" s="28" t="s">
        <v>3176</v>
      </c>
      <c r="AB609" s="28" t="s">
        <v>3177</v>
      </c>
      <c r="AC609" s="28" t="s">
        <v>3178</v>
      </c>
    </row>
    <row r="610" spans="1:29" x14ac:dyDescent="0.2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8" t="s">
        <v>1428</v>
      </c>
      <c r="W610" s="28" t="s">
        <v>1429</v>
      </c>
      <c r="X610" s="28" t="s">
        <v>3179</v>
      </c>
      <c r="Y610" s="28" t="s">
        <v>3180</v>
      </c>
      <c r="Z610" s="28" t="s">
        <v>3181</v>
      </c>
      <c r="AA610" s="28" t="s">
        <v>3182</v>
      </c>
      <c r="AB610" s="28" t="s">
        <v>3183</v>
      </c>
      <c r="AC610" s="28" t="s">
        <v>3184</v>
      </c>
    </row>
    <row r="611" spans="1:29" x14ac:dyDescent="0.2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8" t="s">
        <v>1430</v>
      </c>
      <c r="W611" s="28" t="s">
        <v>1429</v>
      </c>
      <c r="X611" s="28" t="s">
        <v>3185</v>
      </c>
      <c r="Y611" s="28" t="s">
        <v>3180</v>
      </c>
      <c r="Z611" s="28" t="s">
        <v>3186</v>
      </c>
      <c r="AA611" s="28" t="s">
        <v>3182</v>
      </c>
      <c r="AB611" s="28" t="s">
        <v>3187</v>
      </c>
      <c r="AC611" s="28" t="s">
        <v>3184</v>
      </c>
    </row>
    <row r="612" spans="1:29" x14ac:dyDescent="0.2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8" t="s">
        <v>1431</v>
      </c>
      <c r="W612" s="28" t="s">
        <v>1432</v>
      </c>
      <c r="X612" s="28" t="s">
        <v>3188</v>
      </c>
      <c r="Y612" s="28" t="s">
        <v>3189</v>
      </c>
      <c r="Z612" s="28" t="s">
        <v>3190</v>
      </c>
      <c r="AA612" s="28" t="s">
        <v>3191</v>
      </c>
      <c r="AB612" s="28" t="s">
        <v>3192</v>
      </c>
      <c r="AC612" s="28" t="s">
        <v>3193</v>
      </c>
    </row>
    <row r="613" spans="1:29" x14ac:dyDescent="0.2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8" t="s">
        <v>1433</v>
      </c>
      <c r="W613" s="28" t="s">
        <v>1429</v>
      </c>
      <c r="X613" s="28" t="s">
        <v>3194</v>
      </c>
      <c r="Y613" s="28" t="s">
        <v>3180</v>
      </c>
      <c r="Z613" s="28" t="s">
        <v>3195</v>
      </c>
      <c r="AA613" s="28" t="s">
        <v>3182</v>
      </c>
      <c r="AB613" s="28" t="s">
        <v>3196</v>
      </c>
      <c r="AC613" s="28" t="s">
        <v>3184</v>
      </c>
    </row>
    <row r="614" spans="1:29" x14ac:dyDescent="0.2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8" t="s">
        <v>1434</v>
      </c>
      <c r="W614" s="28" t="s">
        <v>1425</v>
      </c>
      <c r="X614" s="28" t="s">
        <v>3197</v>
      </c>
      <c r="Y614" s="28" t="s">
        <v>3168</v>
      </c>
      <c r="Z614" s="28" t="s">
        <v>3198</v>
      </c>
      <c r="AA614" s="28" t="s">
        <v>3170</v>
      </c>
      <c r="AB614" s="28" t="s">
        <v>3199</v>
      </c>
      <c r="AC614" s="28" t="s">
        <v>3172</v>
      </c>
    </row>
    <row r="615" spans="1:29" x14ac:dyDescent="0.2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8" t="s">
        <v>1435</v>
      </c>
      <c r="W615" s="28" t="s">
        <v>1393</v>
      </c>
      <c r="X615" s="28" t="s">
        <v>3200</v>
      </c>
      <c r="Y615" s="28" t="s">
        <v>2990</v>
      </c>
      <c r="Z615" s="28" t="s">
        <v>3201</v>
      </c>
      <c r="AA615" s="28" t="s">
        <v>3202</v>
      </c>
      <c r="AB615" s="28" t="s">
        <v>3203</v>
      </c>
      <c r="AC615" s="28" t="s">
        <v>3204</v>
      </c>
    </row>
    <row r="616" spans="1:29" x14ac:dyDescent="0.2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8" t="s">
        <v>1436</v>
      </c>
      <c r="W616" s="28" t="s">
        <v>1175</v>
      </c>
      <c r="X616" s="28" t="s">
        <v>3205</v>
      </c>
      <c r="Y616" s="28" t="s">
        <v>3058</v>
      </c>
      <c r="Z616" s="28" t="s">
        <v>3206</v>
      </c>
      <c r="AA616" s="28" t="s">
        <v>3207</v>
      </c>
      <c r="AB616" s="28" t="s">
        <v>3208</v>
      </c>
      <c r="AC616" s="28" t="s">
        <v>2073</v>
      </c>
    </row>
    <row r="617" spans="1:29" x14ac:dyDescent="0.2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8" t="s">
        <v>1436</v>
      </c>
      <c r="W617" s="28" t="s">
        <v>1175</v>
      </c>
      <c r="X617" s="28" t="s">
        <v>3205</v>
      </c>
      <c r="Y617" s="28" t="s">
        <v>3058</v>
      </c>
      <c r="Z617" s="28" t="s">
        <v>3206</v>
      </c>
      <c r="AA617" s="28" t="s">
        <v>3207</v>
      </c>
      <c r="AB617" s="28" t="s">
        <v>3208</v>
      </c>
      <c r="AC617" s="28" t="s">
        <v>2073</v>
      </c>
    </row>
    <row r="618" spans="1:29" x14ac:dyDescent="0.2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8" t="s">
        <v>1437</v>
      </c>
      <c r="W618" s="28" t="s">
        <v>1408</v>
      </c>
      <c r="X618" s="28" t="s">
        <v>3209</v>
      </c>
      <c r="Y618" s="28" t="s">
        <v>3070</v>
      </c>
      <c r="Z618" s="28" t="s">
        <v>3210</v>
      </c>
      <c r="AA618" s="28" t="s">
        <v>3211</v>
      </c>
      <c r="AB618" s="28" t="s">
        <v>3212</v>
      </c>
      <c r="AC618" s="28" t="s">
        <v>3213</v>
      </c>
    </row>
    <row r="619" spans="1:29" x14ac:dyDescent="0.2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8" t="s">
        <v>1394</v>
      </c>
      <c r="W619" s="28" t="s">
        <v>1078</v>
      </c>
      <c r="X619" s="28" t="s">
        <v>2995</v>
      </c>
      <c r="Y619" s="28" t="s">
        <v>2996</v>
      </c>
      <c r="Z619" s="28" t="s">
        <v>3214</v>
      </c>
      <c r="AA619" s="28" t="s">
        <v>3215</v>
      </c>
      <c r="AB619" s="28" t="s">
        <v>3216</v>
      </c>
      <c r="AC619" s="28" t="s">
        <v>1687</v>
      </c>
    </row>
    <row r="620" spans="1:29" x14ac:dyDescent="0.2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8" t="s">
        <v>1219</v>
      </c>
      <c r="W620" s="28" t="s">
        <v>1076</v>
      </c>
      <c r="X620" s="28" t="s">
        <v>3217</v>
      </c>
      <c r="Y620" s="28" t="s">
        <v>3218</v>
      </c>
      <c r="Z620" s="28" t="s">
        <v>3219</v>
      </c>
      <c r="AA620" s="28" t="s">
        <v>3220</v>
      </c>
      <c r="AB620" s="28" t="s">
        <v>3221</v>
      </c>
      <c r="AC620" s="28" t="s">
        <v>1681</v>
      </c>
    </row>
    <row r="621" spans="1:29" x14ac:dyDescent="0.2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8" t="s">
        <v>1233</v>
      </c>
      <c r="W621" s="28" t="s">
        <v>1223</v>
      </c>
      <c r="X621" s="28" t="s">
        <v>3222</v>
      </c>
      <c r="Y621" s="28" t="s">
        <v>3223</v>
      </c>
      <c r="Z621" s="28" t="s">
        <v>3224</v>
      </c>
      <c r="AA621" s="28" t="s">
        <v>3225</v>
      </c>
      <c r="AB621" s="28" t="s">
        <v>2329</v>
      </c>
      <c r="AC621" s="28" t="s">
        <v>2275</v>
      </c>
    </row>
    <row r="622" spans="1:29" x14ac:dyDescent="0.2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8" t="s">
        <v>1236</v>
      </c>
      <c r="W622" s="28" t="s">
        <v>1225</v>
      </c>
      <c r="X622" s="28" t="s">
        <v>2983</v>
      </c>
      <c r="Y622" s="28" t="s">
        <v>2984</v>
      </c>
      <c r="Z622" s="28" t="s">
        <v>3226</v>
      </c>
      <c r="AA622" s="28" t="s">
        <v>3227</v>
      </c>
      <c r="AB622" s="28" t="s">
        <v>2309</v>
      </c>
      <c r="AC622" s="28" t="s">
        <v>2310</v>
      </c>
    </row>
    <row r="623" spans="1:29" x14ac:dyDescent="0.2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8" t="s">
        <v>1438</v>
      </c>
      <c r="W623" s="28" t="s">
        <v>1223</v>
      </c>
      <c r="X623" s="28" t="s">
        <v>3228</v>
      </c>
      <c r="Y623" s="28" t="s">
        <v>3223</v>
      </c>
      <c r="Z623" s="28" t="s">
        <v>3229</v>
      </c>
      <c r="AA623" s="28" t="s">
        <v>3225</v>
      </c>
      <c r="AB623" s="28" t="s">
        <v>3230</v>
      </c>
      <c r="AC623" s="28" t="s">
        <v>2275</v>
      </c>
    </row>
    <row r="624" spans="1:29" x14ac:dyDescent="0.2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8" t="s">
        <v>1438</v>
      </c>
      <c r="W624" s="28" t="s">
        <v>1223</v>
      </c>
      <c r="X624" s="28" t="s">
        <v>3228</v>
      </c>
      <c r="Y624" s="28" t="s">
        <v>3223</v>
      </c>
      <c r="Z624" s="28" t="s">
        <v>3229</v>
      </c>
      <c r="AA624" s="28" t="s">
        <v>3225</v>
      </c>
      <c r="AB624" s="28" t="s">
        <v>3230</v>
      </c>
      <c r="AC624" s="28" t="s">
        <v>2275</v>
      </c>
    </row>
    <row r="625" spans="1:29" x14ac:dyDescent="0.2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8" t="s">
        <v>1439</v>
      </c>
      <c r="W625" s="28" t="s">
        <v>1440</v>
      </c>
      <c r="X625" s="28" t="s">
        <v>3231</v>
      </c>
      <c r="Y625" s="28" t="s">
        <v>3232</v>
      </c>
      <c r="Z625" s="28" t="s">
        <v>3233</v>
      </c>
      <c r="AA625" s="28" t="s">
        <v>3234</v>
      </c>
      <c r="AB625" s="28" t="s">
        <v>3235</v>
      </c>
      <c r="AC625" s="28" t="s">
        <v>3236</v>
      </c>
    </row>
    <row r="626" spans="1:29" x14ac:dyDescent="0.2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8" t="s">
        <v>1240</v>
      </c>
      <c r="W626" s="28" t="s">
        <v>1241</v>
      </c>
      <c r="X626" s="28" t="s">
        <v>3237</v>
      </c>
      <c r="Y626" s="28" t="s">
        <v>3013</v>
      </c>
      <c r="Z626" s="28" t="s">
        <v>3238</v>
      </c>
      <c r="AA626" s="28" t="s">
        <v>3239</v>
      </c>
      <c r="AB626" s="28" t="s">
        <v>3240</v>
      </c>
      <c r="AC626" s="28" t="s">
        <v>3241</v>
      </c>
    </row>
    <row r="627" spans="1:29" x14ac:dyDescent="0.2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8" t="s">
        <v>1244</v>
      </c>
      <c r="W627" s="28" t="s">
        <v>1245</v>
      </c>
      <c r="X627" s="28" t="s">
        <v>3242</v>
      </c>
      <c r="Y627" s="28" t="s">
        <v>3076</v>
      </c>
      <c r="Z627" s="28" t="s">
        <v>3243</v>
      </c>
      <c r="AA627" s="28" t="s">
        <v>3244</v>
      </c>
      <c r="AB627" s="28" t="s">
        <v>3245</v>
      </c>
      <c r="AC627" s="28" t="s">
        <v>3246</v>
      </c>
    </row>
    <row r="628" spans="1:29" x14ac:dyDescent="0.2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8" t="s">
        <v>1256</v>
      </c>
      <c r="W628" s="28" t="s">
        <v>1241</v>
      </c>
      <c r="X628" s="28" t="s">
        <v>3247</v>
      </c>
      <c r="Y628" s="28" t="s">
        <v>3013</v>
      </c>
      <c r="Z628" s="28" t="s">
        <v>3248</v>
      </c>
      <c r="AA628" s="28" t="s">
        <v>3239</v>
      </c>
      <c r="AB628" s="28" t="s">
        <v>3249</v>
      </c>
      <c r="AC628" s="28" t="s">
        <v>3241</v>
      </c>
    </row>
    <row r="629" spans="1:29" x14ac:dyDescent="0.2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8" t="s">
        <v>1441</v>
      </c>
      <c r="W629" s="28" t="s">
        <v>1442</v>
      </c>
      <c r="X629" s="28" t="s">
        <v>3250</v>
      </c>
      <c r="Y629" s="28" t="s">
        <v>3251</v>
      </c>
      <c r="Z629" s="28" t="s">
        <v>3252</v>
      </c>
      <c r="AA629" s="28" t="s">
        <v>3253</v>
      </c>
      <c r="AB629" s="28" t="s">
        <v>3254</v>
      </c>
      <c r="AC629" s="28" t="s">
        <v>3255</v>
      </c>
    </row>
    <row r="630" spans="1:29" x14ac:dyDescent="0.2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8" t="s">
        <v>1443</v>
      </c>
      <c r="W630" s="28" t="s">
        <v>1179</v>
      </c>
      <c r="X630" s="28" t="s">
        <v>3256</v>
      </c>
      <c r="Y630" s="28" t="s">
        <v>3043</v>
      </c>
      <c r="Z630" s="28" t="s">
        <v>3257</v>
      </c>
      <c r="AA630" s="28" t="s">
        <v>3258</v>
      </c>
      <c r="AB630" s="28" t="s">
        <v>3259</v>
      </c>
      <c r="AC630" s="28" t="s">
        <v>2089</v>
      </c>
    </row>
    <row r="631" spans="1:29" x14ac:dyDescent="0.2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8" t="s">
        <v>1174</v>
      </c>
      <c r="W631" s="28" t="s">
        <v>1175</v>
      </c>
      <c r="X631" s="28" t="s">
        <v>3260</v>
      </c>
      <c r="Y631" s="28" t="s">
        <v>3058</v>
      </c>
      <c r="Z631" s="28" t="s">
        <v>3261</v>
      </c>
      <c r="AA631" s="28" t="s">
        <v>3262</v>
      </c>
      <c r="AB631" s="28" t="s">
        <v>3263</v>
      </c>
      <c r="AC631" s="28" t="s">
        <v>3264</v>
      </c>
    </row>
    <row r="632" spans="1:29" x14ac:dyDescent="0.2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8" t="s">
        <v>1444</v>
      </c>
      <c r="W632" s="28" t="s">
        <v>1445</v>
      </c>
      <c r="X632" s="28" t="s">
        <v>3265</v>
      </c>
      <c r="Y632" s="28" t="s">
        <v>3266</v>
      </c>
      <c r="Z632" s="28" t="s">
        <v>3267</v>
      </c>
      <c r="AA632" s="28" t="s">
        <v>3268</v>
      </c>
      <c r="AB632" s="28" t="s">
        <v>3269</v>
      </c>
      <c r="AC632" s="28" t="s">
        <v>3270</v>
      </c>
    </row>
    <row r="633" spans="1:29" x14ac:dyDescent="0.2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8" t="s">
        <v>1184</v>
      </c>
      <c r="W633" s="28" t="s">
        <v>1185</v>
      </c>
      <c r="X633" s="28" t="s">
        <v>3271</v>
      </c>
      <c r="Y633" s="28" t="s">
        <v>3272</v>
      </c>
      <c r="Z633" s="28" t="s">
        <v>3273</v>
      </c>
      <c r="AA633" s="28" t="s">
        <v>3274</v>
      </c>
      <c r="AB633" s="28" t="s">
        <v>3275</v>
      </c>
      <c r="AC633" s="28" t="s">
        <v>3276</v>
      </c>
    </row>
    <row r="634" spans="1:29" x14ac:dyDescent="0.2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8" t="s">
        <v>1075</v>
      </c>
      <c r="W634" s="28" t="s">
        <v>1076</v>
      </c>
      <c r="X634" s="28" t="s">
        <v>3277</v>
      </c>
      <c r="Y634" s="28" t="s">
        <v>3218</v>
      </c>
      <c r="Z634" s="28" t="s">
        <v>3278</v>
      </c>
      <c r="AA634" s="28" t="s">
        <v>3279</v>
      </c>
      <c r="AB634" s="28" t="s">
        <v>3280</v>
      </c>
      <c r="AC634" s="28" t="s">
        <v>3281</v>
      </c>
    </row>
    <row r="635" spans="1:29" x14ac:dyDescent="0.2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8" t="s">
        <v>1446</v>
      </c>
      <c r="W635" s="28" t="s">
        <v>1408</v>
      </c>
      <c r="X635" s="28" t="s">
        <v>3282</v>
      </c>
      <c r="Y635" s="28" t="s">
        <v>3070</v>
      </c>
      <c r="Z635" s="28" t="s">
        <v>3283</v>
      </c>
      <c r="AA635" s="28" t="s">
        <v>3284</v>
      </c>
      <c r="AB635" s="28" t="s">
        <v>3285</v>
      </c>
      <c r="AC635" s="28" t="s">
        <v>3286</v>
      </c>
    </row>
    <row r="636" spans="1:29" x14ac:dyDescent="0.2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8" t="s">
        <v>1447</v>
      </c>
      <c r="W636" s="28" t="s">
        <v>1078</v>
      </c>
      <c r="X636" s="28" t="s">
        <v>3287</v>
      </c>
      <c r="Y636" s="28" t="s">
        <v>2996</v>
      </c>
      <c r="Z636" s="28" t="s">
        <v>3288</v>
      </c>
      <c r="AA636" s="28" t="s">
        <v>3289</v>
      </c>
      <c r="AB636" s="28" t="s">
        <v>3290</v>
      </c>
      <c r="AC636" s="28" t="s">
        <v>3291</v>
      </c>
    </row>
    <row r="637" spans="1:29" x14ac:dyDescent="0.2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8" t="s">
        <v>1227</v>
      </c>
      <c r="W637" s="28" t="s">
        <v>1223</v>
      </c>
      <c r="X637" s="28" t="s">
        <v>3292</v>
      </c>
      <c r="Y637" s="28" t="s">
        <v>3223</v>
      </c>
      <c r="Z637" s="28" t="s">
        <v>3293</v>
      </c>
      <c r="AA637" s="28" t="s">
        <v>3294</v>
      </c>
      <c r="AB637" s="28" t="s">
        <v>3295</v>
      </c>
      <c r="AC637" s="28" t="s">
        <v>2515</v>
      </c>
    </row>
    <row r="638" spans="1:29" x14ac:dyDescent="0.2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8" t="s">
        <v>1438</v>
      </c>
      <c r="W638" s="28" t="s">
        <v>1223</v>
      </c>
      <c r="X638" s="28" t="s">
        <v>3228</v>
      </c>
      <c r="Y638" s="28" t="s">
        <v>3223</v>
      </c>
      <c r="Z638" s="28" t="s">
        <v>3296</v>
      </c>
      <c r="AA638" s="28" t="s">
        <v>3294</v>
      </c>
      <c r="AB638" s="28" t="s">
        <v>3297</v>
      </c>
      <c r="AC638" s="28" t="s">
        <v>2515</v>
      </c>
    </row>
    <row r="639" spans="1:29" x14ac:dyDescent="0.2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8" t="s">
        <v>1448</v>
      </c>
      <c r="W639" s="28" t="s">
        <v>1251</v>
      </c>
      <c r="X639" s="28" t="s">
        <v>3298</v>
      </c>
      <c r="Y639" s="28" t="s">
        <v>3299</v>
      </c>
      <c r="Z639" s="28" t="s">
        <v>3300</v>
      </c>
      <c r="AA639" s="28" t="s">
        <v>3301</v>
      </c>
      <c r="AB639" s="28" t="s">
        <v>3302</v>
      </c>
      <c r="AC639" s="28" t="s">
        <v>2369</v>
      </c>
    </row>
    <row r="640" spans="1:29" x14ac:dyDescent="0.2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8" t="s">
        <v>1396</v>
      </c>
      <c r="W640" s="28" t="s">
        <v>1241</v>
      </c>
      <c r="X640" s="28" t="s">
        <v>3012</v>
      </c>
      <c r="Y640" s="28" t="s">
        <v>3013</v>
      </c>
      <c r="Z640" s="28" t="s">
        <v>3303</v>
      </c>
      <c r="AA640" s="28" t="s">
        <v>3304</v>
      </c>
      <c r="AB640" s="28" t="s">
        <v>3305</v>
      </c>
      <c r="AC640" s="28" t="s">
        <v>2335</v>
      </c>
    </row>
    <row r="641" spans="1:29" x14ac:dyDescent="0.2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8" t="s">
        <v>1449</v>
      </c>
      <c r="W641" s="28" t="s">
        <v>1090</v>
      </c>
      <c r="X641" s="28" t="s">
        <v>3306</v>
      </c>
      <c r="Y641" s="28" t="s">
        <v>3307</v>
      </c>
      <c r="Z641" s="28" t="s">
        <v>3308</v>
      </c>
      <c r="AA641" s="28" t="s">
        <v>3309</v>
      </c>
      <c r="AB641" s="28" t="s">
        <v>3310</v>
      </c>
      <c r="AC641" s="28" t="s">
        <v>3311</v>
      </c>
    </row>
    <row r="642" spans="1:29" x14ac:dyDescent="0.2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8" t="s">
        <v>1450</v>
      </c>
      <c r="W642" s="28" t="s">
        <v>1451</v>
      </c>
      <c r="X642" s="28" t="s">
        <v>3312</v>
      </c>
      <c r="Y642" s="28" t="s">
        <v>3313</v>
      </c>
      <c r="Z642" s="28" t="s">
        <v>3314</v>
      </c>
      <c r="AA642" s="28" t="s">
        <v>3315</v>
      </c>
      <c r="AB642" s="28" t="s">
        <v>3316</v>
      </c>
      <c r="AC642" s="28" t="s">
        <v>3317</v>
      </c>
    </row>
    <row r="643" spans="1:29" x14ac:dyDescent="0.2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8" t="s">
        <v>1452</v>
      </c>
      <c r="W643" s="28" t="s">
        <v>1185</v>
      </c>
      <c r="X643" s="28" t="s">
        <v>3318</v>
      </c>
      <c r="Y643" s="28" t="s">
        <v>3272</v>
      </c>
      <c r="Z643" s="28" t="s">
        <v>3319</v>
      </c>
      <c r="AA643" s="28" t="s">
        <v>3320</v>
      </c>
      <c r="AB643" s="28" t="s">
        <v>3321</v>
      </c>
      <c r="AC643" s="28" t="s">
        <v>2111</v>
      </c>
    </row>
    <row r="644" spans="1:29" x14ac:dyDescent="0.2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8" t="s">
        <v>1453</v>
      </c>
      <c r="W644" s="28" t="s">
        <v>1408</v>
      </c>
      <c r="X644" s="28" t="s">
        <v>3322</v>
      </c>
      <c r="Y644" s="28" t="s">
        <v>3070</v>
      </c>
      <c r="Z644" s="28" t="s">
        <v>3323</v>
      </c>
      <c r="AA644" s="28" t="s">
        <v>3324</v>
      </c>
      <c r="AB644" s="28" t="s">
        <v>3325</v>
      </c>
      <c r="AC644" s="28" t="s">
        <v>3326</v>
      </c>
    </row>
    <row r="645" spans="1:29" x14ac:dyDescent="0.2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8" t="s">
        <v>1454</v>
      </c>
      <c r="W645" s="28" t="s">
        <v>1217</v>
      </c>
      <c r="X645" s="28" t="s">
        <v>3327</v>
      </c>
      <c r="Y645" s="28" t="s">
        <v>3328</v>
      </c>
      <c r="Z645" s="28" t="s">
        <v>3329</v>
      </c>
      <c r="AA645" s="28" t="s">
        <v>3330</v>
      </c>
      <c r="AB645" s="28" t="s">
        <v>3331</v>
      </c>
      <c r="AC645" s="28" t="s">
        <v>2222</v>
      </c>
    </row>
    <row r="646" spans="1:29" x14ac:dyDescent="0.2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8" t="s">
        <v>1227</v>
      </c>
      <c r="W646" s="28" t="s">
        <v>1223</v>
      </c>
      <c r="X646" s="28" t="s">
        <v>3292</v>
      </c>
      <c r="Y646" s="28" t="s">
        <v>3223</v>
      </c>
      <c r="Z646" s="28" t="s">
        <v>3332</v>
      </c>
      <c r="AA646" s="28" t="s">
        <v>3333</v>
      </c>
      <c r="AB646" s="28" t="s">
        <v>3334</v>
      </c>
      <c r="AC646" s="28" t="s">
        <v>2255</v>
      </c>
    </row>
    <row r="647" spans="1:29" x14ac:dyDescent="0.2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8" t="s">
        <v>1227</v>
      </c>
      <c r="W647" s="28" t="s">
        <v>1223</v>
      </c>
      <c r="X647" s="28" t="s">
        <v>3292</v>
      </c>
      <c r="Y647" s="28" t="s">
        <v>3223</v>
      </c>
      <c r="Z647" s="28" t="s">
        <v>3332</v>
      </c>
      <c r="AA647" s="28" t="s">
        <v>3333</v>
      </c>
      <c r="AB647" s="28" t="s">
        <v>3334</v>
      </c>
      <c r="AC647" s="28" t="s">
        <v>2255</v>
      </c>
    </row>
    <row r="648" spans="1:29" x14ac:dyDescent="0.2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8" t="s">
        <v>1455</v>
      </c>
      <c r="W648" s="28" t="s">
        <v>1456</v>
      </c>
      <c r="X648" s="28" t="s">
        <v>3335</v>
      </c>
      <c r="Y648" s="28" t="s">
        <v>3336</v>
      </c>
      <c r="Z648" s="28" t="s">
        <v>3337</v>
      </c>
      <c r="AA648" s="28" t="s">
        <v>3338</v>
      </c>
      <c r="AB648" s="28" t="s">
        <v>3339</v>
      </c>
      <c r="AC648" s="28" t="s">
        <v>3340</v>
      </c>
    </row>
    <row r="649" spans="1:29" x14ac:dyDescent="0.2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8" t="s">
        <v>1244</v>
      </c>
      <c r="W649" s="28" t="s">
        <v>1245</v>
      </c>
      <c r="X649" s="28" t="s">
        <v>3242</v>
      </c>
      <c r="Y649" s="28" t="s">
        <v>3076</v>
      </c>
      <c r="Z649" s="28" t="s">
        <v>3341</v>
      </c>
      <c r="AA649" s="28" t="s">
        <v>3342</v>
      </c>
      <c r="AB649" s="28" t="s">
        <v>2346</v>
      </c>
      <c r="AC649" s="28" t="s">
        <v>2347</v>
      </c>
    </row>
    <row r="650" spans="1:29" x14ac:dyDescent="0.2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8" t="s">
        <v>1256</v>
      </c>
      <c r="W650" s="28" t="s">
        <v>1241</v>
      </c>
      <c r="X650" s="28" t="s">
        <v>3247</v>
      </c>
      <c r="Y650" s="28" t="s">
        <v>3013</v>
      </c>
      <c r="Z650" s="28" t="s">
        <v>3343</v>
      </c>
      <c r="AA650" s="28" t="s">
        <v>3344</v>
      </c>
      <c r="AB650" s="28" t="s">
        <v>2390</v>
      </c>
      <c r="AC650" s="28" t="s">
        <v>2351</v>
      </c>
    </row>
    <row r="651" spans="1:29" x14ac:dyDescent="0.2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8" t="s">
        <v>1457</v>
      </c>
      <c r="W651" s="28" t="s">
        <v>1247</v>
      </c>
      <c r="X651" s="28" t="s">
        <v>3345</v>
      </c>
      <c r="Y651" s="28" t="s">
        <v>3019</v>
      </c>
      <c r="Z651" s="28" t="s">
        <v>3346</v>
      </c>
      <c r="AA651" s="28" t="s">
        <v>3347</v>
      </c>
      <c r="AB651" s="28" t="s">
        <v>3348</v>
      </c>
      <c r="AC651" s="28" t="s">
        <v>3349</v>
      </c>
    </row>
    <row r="652" spans="1:29" x14ac:dyDescent="0.2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8" t="s">
        <v>1458</v>
      </c>
      <c r="W652" s="28" t="s">
        <v>1459</v>
      </c>
      <c r="X652" s="28" t="s">
        <v>3350</v>
      </c>
      <c r="Y652" s="28" t="s">
        <v>3351</v>
      </c>
      <c r="Z652" s="28" t="s">
        <v>3352</v>
      </c>
      <c r="AA652" s="28" t="s">
        <v>3353</v>
      </c>
      <c r="AB652" s="28" t="s">
        <v>3354</v>
      </c>
      <c r="AC652" s="28" t="s">
        <v>3355</v>
      </c>
    </row>
    <row r="653" spans="1:29" x14ac:dyDescent="0.2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8" t="s">
        <v>1460</v>
      </c>
      <c r="W653" s="28" t="s">
        <v>1461</v>
      </c>
      <c r="X653" s="28" t="s">
        <v>3356</v>
      </c>
      <c r="Y653" s="28" t="s">
        <v>3357</v>
      </c>
      <c r="Z653" s="28" t="s">
        <v>3358</v>
      </c>
      <c r="AA653" s="28" t="s">
        <v>3359</v>
      </c>
      <c r="AB653" s="28" t="s">
        <v>3360</v>
      </c>
      <c r="AC653" s="28" t="s">
        <v>3361</v>
      </c>
    </row>
    <row r="654" spans="1:29" x14ac:dyDescent="0.2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8" t="s">
        <v>1462</v>
      </c>
      <c r="W654" s="28" t="s">
        <v>1463</v>
      </c>
      <c r="X654" s="28" t="s">
        <v>3362</v>
      </c>
      <c r="Y654" s="28" t="s">
        <v>3363</v>
      </c>
      <c r="Z654" s="28" t="s">
        <v>3364</v>
      </c>
      <c r="AA654" s="28" t="s">
        <v>3365</v>
      </c>
      <c r="AB654" s="28" t="s">
        <v>3366</v>
      </c>
      <c r="AC654" s="28" t="s">
        <v>3367</v>
      </c>
    </row>
    <row r="655" spans="1:29" x14ac:dyDescent="0.2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8" t="s">
        <v>1462</v>
      </c>
      <c r="W655" s="28" t="s">
        <v>1463</v>
      </c>
      <c r="X655" s="28" t="s">
        <v>3362</v>
      </c>
      <c r="Y655" s="28" t="s">
        <v>3363</v>
      </c>
      <c r="Z655" s="28" t="s">
        <v>3364</v>
      </c>
      <c r="AA655" s="28" t="s">
        <v>3365</v>
      </c>
      <c r="AB655" s="28" t="s">
        <v>3366</v>
      </c>
      <c r="AC655" s="28" t="s">
        <v>3367</v>
      </c>
    </row>
    <row r="656" spans="1:29" x14ac:dyDescent="0.2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8" t="s">
        <v>1464</v>
      </c>
      <c r="W656" s="28" t="s">
        <v>1465</v>
      </c>
      <c r="X656" s="28" t="s">
        <v>3368</v>
      </c>
      <c r="Y656" s="28" t="s">
        <v>3369</v>
      </c>
      <c r="Z656" s="28" t="s">
        <v>3370</v>
      </c>
      <c r="AA656" s="28" t="s">
        <v>3371</v>
      </c>
      <c r="AB656" s="28" t="s">
        <v>3372</v>
      </c>
      <c r="AC656" s="28" t="s">
        <v>3373</v>
      </c>
    </row>
    <row r="657" spans="1:29" x14ac:dyDescent="0.2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8" t="s">
        <v>1466</v>
      </c>
      <c r="W657" s="28" t="s">
        <v>1467</v>
      </c>
      <c r="X657" s="28" t="s">
        <v>3374</v>
      </c>
      <c r="Y657" s="28" t="s">
        <v>3375</v>
      </c>
      <c r="Z657" s="28" t="s">
        <v>3376</v>
      </c>
      <c r="AA657" s="28" t="s">
        <v>3377</v>
      </c>
      <c r="AB657" s="28" t="s">
        <v>3378</v>
      </c>
      <c r="AC657" s="28" t="s">
        <v>3379</v>
      </c>
    </row>
    <row r="658" spans="1:29" x14ac:dyDescent="0.2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8" t="s">
        <v>1466</v>
      </c>
      <c r="W658" s="28" t="s">
        <v>1467</v>
      </c>
      <c r="X658" s="28" t="s">
        <v>3374</v>
      </c>
      <c r="Y658" s="28" t="s">
        <v>3375</v>
      </c>
      <c r="Z658" s="28" t="s">
        <v>3376</v>
      </c>
      <c r="AA658" s="28" t="s">
        <v>3377</v>
      </c>
      <c r="AB658" s="28" t="s">
        <v>3378</v>
      </c>
      <c r="AC658" s="28" t="s">
        <v>3379</v>
      </c>
    </row>
    <row r="659" spans="1:29" x14ac:dyDescent="0.2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8" t="s">
        <v>1265</v>
      </c>
      <c r="W659" s="28" t="s">
        <v>1266</v>
      </c>
      <c r="X659" s="28" t="s">
        <v>3380</v>
      </c>
      <c r="Y659" s="28" t="s">
        <v>2568</v>
      </c>
      <c r="Z659" s="28" t="s">
        <v>3381</v>
      </c>
      <c r="AA659" s="28" t="s">
        <v>3382</v>
      </c>
      <c r="AB659" s="28" t="s">
        <v>3383</v>
      </c>
      <c r="AC659" s="28" t="s">
        <v>3384</v>
      </c>
    </row>
    <row r="660" spans="1:29" x14ac:dyDescent="0.2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8" t="s">
        <v>1468</v>
      </c>
      <c r="W660" s="28" t="s">
        <v>1469</v>
      </c>
      <c r="X660" s="28" t="s">
        <v>3385</v>
      </c>
      <c r="Y660" s="28" t="s">
        <v>3386</v>
      </c>
      <c r="Z660" s="28" t="s">
        <v>3387</v>
      </c>
      <c r="AA660" s="28" t="s">
        <v>3388</v>
      </c>
      <c r="AB660" s="28" t="s">
        <v>3389</v>
      </c>
      <c r="AC660" s="28" t="s">
        <v>3390</v>
      </c>
    </row>
    <row r="661" spans="1:29" x14ac:dyDescent="0.2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8" t="s">
        <v>1470</v>
      </c>
      <c r="W661" s="28" t="s">
        <v>1471</v>
      </c>
      <c r="X661" s="28" t="s">
        <v>3391</v>
      </c>
      <c r="Y661" s="28" t="s">
        <v>3392</v>
      </c>
      <c r="Z661" s="28" t="s">
        <v>3393</v>
      </c>
      <c r="AA661" s="28" t="s">
        <v>3394</v>
      </c>
      <c r="AB661" s="28" t="s">
        <v>3395</v>
      </c>
      <c r="AC661" s="28" t="s">
        <v>3396</v>
      </c>
    </row>
    <row r="662" spans="1:29" x14ac:dyDescent="0.2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8" t="s">
        <v>1470</v>
      </c>
      <c r="W662" s="28" t="s">
        <v>1471</v>
      </c>
      <c r="X662" s="28" t="s">
        <v>3391</v>
      </c>
      <c r="Y662" s="28" t="s">
        <v>3392</v>
      </c>
      <c r="Z662" s="28" t="s">
        <v>3393</v>
      </c>
      <c r="AA662" s="28" t="s">
        <v>3394</v>
      </c>
      <c r="AB662" s="28" t="s">
        <v>3395</v>
      </c>
      <c r="AC662" s="28" t="s">
        <v>3396</v>
      </c>
    </row>
    <row r="663" spans="1:29" x14ac:dyDescent="0.2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8" t="s">
        <v>1470</v>
      </c>
      <c r="W663" s="28" t="s">
        <v>1471</v>
      </c>
      <c r="X663" s="28" t="s">
        <v>3391</v>
      </c>
      <c r="Y663" s="28" t="s">
        <v>3392</v>
      </c>
      <c r="Z663" s="28" t="s">
        <v>3393</v>
      </c>
      <c r="AA663" s="28" t="s">
        <v>3394</v>
      </c>
      <c r="AB663" s="28" t="s">
        <v>3395</v>
      </c>
      <c r="AC663" s="28" t="s">
        <v>3396</v>
      </c>
    </row>
    <row r="664" spans="1:29" x14ac:dyDescent="0.2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8" t="s">
        <v>1470</v>
      </c>
      <c r="W664" s="28" t="s">
        <v>1471</v>
      </c>
      <c r="X664" s="28" t="s">
        <v>3391</v>
      </c>
      <c r="Y664" s="28" t="s">
        <v>3392</v>
      </c>
      <c r="Z664" s="28" t="s">
        <v>3393</v>
      </c>
      <c r="AA664" s="28" t="s">
        <v>3394</v>
      </c>
      <c r="AB664" s="28" t="s">
        <v>3395</v>
      </c>
      <c r="AC664" s="28" t="s">
        <v>3396</v>
      </c>
    </row>
    <row r="665" spans="1:29" x14ac:dyDescent="0.2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8" t="s">
        <v>1286</v>
      </c>
      <c r="W665" s="28" t="s">
        <v>1287</v>
      </c>
      <c r="X665" s="28" t="s">
        <v>2552</v>
      </c>
      <c r="Y665" s="28" t="s">
        <v>2553</v>
      </c>
      <c r="Z665" s="28" t="s">
        <v>3397</v>
      </c>
      <c r="AA665" s="28" t="s">
        <v>3398</v>
      </c>
      <c r="AB665" s="28" t="s">
        <v>3399</v>
      </c>
      <c r="AC665" s="28" t="s">
        <v>3400</v>
      </c>
    </row>
    <row r="666" spans="1:29" x14ac:dyDescent="0.2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8" t="s">
        <v>1472</v>
      </c>
      <c r="W666" s="28" t="s">
        <v>1471</v>
      </c>
      <c r="X666" s="28" t="s">
        <v>3401</v>
      </c>
      <c r="Y666" s="28" t="s">
        <v>3392</v>
      </c>
      <c r="Z666" s="28" t="s">
        <v>3402</v>
      </c>
      <c r="AA666" s="28" t="s">
        <v>3394</v>
      </c>
      <c r="AB666" s="28" t="s">
        <v>3403</v>
      </c>
      <c r="AC666" s="28" t="s">
        <v>3396</v>
      </c>
    </row>
    <row r="667" spans="1:29" x14ac:dyDescent="0.2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8" t="s">
        <v>1472</v>
      </c>
      <c r="W667" s="28" t="s">
        <v>1471</v>
      </c>
      <c r="X667" s="28" t="s">
        <v>3401</v>
      </c>
      <c r="Y667" s="28" t="s">
        <v>3392</v>
      </c>
      <c r="Z667" s="28" t="s">
        <v>3402</v>
      </c>
      <c r="AA667" s="28" t="s">
        <v>3394</v>
      </c>
      <c r="AB667" s="28" t="s">
        <v>3403</v>
      </c>
      <c r="AC667" s="28" t="s">
        <v>3396</v>
      </c>
    </row>
    <row r="668" spans="1:29" x14ac:dyDescent="0.2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8" t="s">
        <v>1473</v>
      </c>
      <c r="W668" s="28" t="s">
        <v>1474</v>
      </c>
      <c r="X668" s="28" t="s">
        <v>3404</v>
      </c>
      <c r="Y668" s="28" t="s">
        <v>3405</v>
      </c>
      <c r="Z668" s="28" t="s">
        <v>3406</v>
      </c>
      <c r="AA668" s="28" t="s">
        <v>3407</v>
      </c>
      <c r="AB668" s="28" t="s">
        <v>3408</v>
      </c>
      <c r="AC668" s="28" t="s">
        <v>3409</v>
      </c>
    </row>
    <row r="669" spans="1:29" x14ac:dyDescent="0.2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8" t="s">
        <v>1292</v>
      </c>
      <c r="W669" s="28" t="s">
        <v>1287</v>
      </c>
      <c r="X669" s="28" t="s">
        <v>2573</v>
      </c>
      <c r="Y669" s="28" t="s">
        <v>2553</v>
      </c>
      <c r="Z669" s="28" t="s">
        <v>3410</v>
      </c>
      <c r="AA669" s="28" t="s">
        <v>3398</v>
      </c>
      <c r="AB669" s="28" t="s">
        <v>3411</v>
      </c>
      <c r="AC669" s="28" t="s">
        <v>3400</v>
      </c>
    </row>
    <row r="670" spans="1:29" x14ac:dyDescent="0.2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8" t="s">
        <v>1475</v>
      </c>
      <c r="W670" s="28" t="s">
        <v>1299</v>
      </c>
      <c r="X670" s="28" t="s">
        <v>3412</v>
      </c>
      <c r="Y670" s="28" t="s">
        <v>2592</v>
      </c>
      <c r="Z670" s="28" t="s">
        <v>3413</v>
      </c>
      <c r="AA670" s="28" t="s">
        <v>3414</v>
      </c>
      <c r="AB670" s="28" t="s">
        <v>3415</v>
      </c>
      <c r="AC670" s="28" t="s">
        <v>3416</v>
      </c>
    </row>
    <row r="671" spans="1:29" x14ac:dyDescent="0.2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8" t="s">
        <v>1476</v>
      </c>
      <c r="W671" s="28" t="s">
        <v>1477</v>
      </c>
      <c r="X671" s="28" t="s">
        <v>3417</v>
      </c>
      <c r="Y671" s="28" t="s">
        <v>3418</v>
      </c>
      <c r="Z671" s="28" t="s">
        <v>3419</v>
      </c>
      <c r="AA671" s="28" t="s">
        <v>3420</v>
      </c>
      <c r="AB671" s="28" t="s">
        <v>3421</v>
      </c>
      <c r="AC671" s="28" t="s">
        <v>3422</v>
      </c>
    </row>
    <row r="672" spans="1:29" x14ac:dyDescent="0.2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8" t="s">
        <v>1478</v>
      </c>
      <c r="W672" s="28" t="s">
        <v>1479</v>
      </c>
      <c r="X672" s="28" t="s">
        <v>3423</v>
      </c>
      <c r="Y672" s="28" t="s">
        <v>3424</v>
      </c>
      <c r="Z672" s="28" t="s">
        <v>3425</v>
      </c>
      <c r="AA672" s="28" t="s">
        <v>3426</v>
      </c>
      <c r="AB672" s="28" t="s">
        <v>3427</v>
      </c>
      <c r="AC672" s="28" t="s">
        <v>3428</v>
      </c>
    </row>
    <row r="673" spans="1:29" x14ac:dyDescent="0.2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8" t="s">
        <v>1480</v>
      </c>
      <c r="W673" s="28" t="s">
        <v>1268</v>
      </c>
      <c r="X673" s="28" t="s">
        <v>3429</v>
      </c>
      <c r="Y673" s="28" t="s">
        <v>3430</v>
      </c>
      <c r="Z673" s="28" t="s">
        <v>3431</v>
      </c>
      <c r="AA673" s="28" t="s">
        <v>3432</v>
      </c>
      <c r="AB673" s="28" t="s">
        <v>3433</v>
      </c>
      <c r="AC673" s="28" t="s">
        <v>3434</v>
      </c>
    </row>
    <row r="674" spans="1:29" x14ac:dyDescent="0.2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8" t="s">
        <v>1481</v>
      </c>
      <c r="W674" s="28" t="s">
        <v>1378</v>
      </c>
      <c r="X674" s="28" t="s">
        <v>3435</v>
      </c>
      <c r="Y674" s="28" t="s">
        <v>2894</v>
      </c>
      <c r="Z674" s="28" t="s">
        <v>3436</v>
      </c>
      <c r="AA674" s="28" t="s">
        <v>3437</v>
      </c>
      <c r="AB674" s="28" t="s">
        <v>3438</v>
      </c>
      <c r="AC674" s="28" t="s">
        <v>3439</v>
      </c>
    </row>
    <row r="675" spans="1:29" x14ac:dyDescent="0.2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8" t="s">
        <v>1375</v>
      </c>
      <c r="W675" s="28" t="s">
        <v>1309</v>
      </c>
      <c r="X675" s="28" t="s">
        <v>2879</v>
      </c>
      <c r="Y675" s="28" t="s">
        <v>2628</v>
      </c>
      <c r="Z675" s="28" t="s">
        <v>3440</v>
      </c>
      <c r="AA675" s="28" t="s">
        <v>3441</v>
      </c>
      <c r="AB675" s="28" t="s">
        <v>3442</v>
      </c>
      <c r="AC675" s="28" t="s">
        <v>3443</v>
      </c>
    </row>
    <row r="676" spans="1:29" x14ac:dyDescent="0.2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8" t="s">
        <v>1478</v>
      </c>
      <c r="W676" s="28" t="s">
        <v>1479</v>
      </c>
      <c r="X676" s="28" t="s">
        <v>3423</v>
      </c>
      <c r="Y676" s="28" t="s">
        <v>3424</v>
      </c>
      <c r="Z676" s="28" t="s">
        <v>3425</v>
      </c>
      <c r="AA676" s="28" t="s">
        <v>3426</v>
      </c>
      <c r="AB676" s="28" t="s">
        <v>3427</v>
      </c>
      <c r="AC676" s="28" t="s">
        <v>3428</v>
      </c>
    </row>
    <row r="677" spans="1:29" x14ac:dyDescent="0.2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8" t="s">
        <v>1478</v>
      </c>
      <c r="W677" s="28" t="s">
        <v>1479</v>
      </c>
      <c r="X677" s="28" t="s">
        <v>3423</v>
      </c>
      <c r="Y677" s="28" t="s">
        <v>3424</v>
      </c>
      <c r="Z677" s="28" t="s">
        <v>3425</v>
      </c>
      <c r="AA677" s="28" t="s">
        <v>3426</v>
      </c>
      <c r="AB677" s="28" t="s">
        <v>3427</v>
      </c>
      <c r="AC677" s="28" t="s">
        <v>3428</v>
      </c>
    </row>
    <row r="678" spans="1:29" x14ac:dyDescent="0.2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8" t="s">
        <v>1375</v>
      </c>
      <c r="W678" s="28" t="s">
        <v>1309</v>
      </c>
      <c r="X678" s="28" t="s">
        <v>2879</v>
      </c>
      <c r="Y678" s="28" t="s">
        <v>2628</v>
      </c>
      <c r="Z678" s="28" t="s">
        <v>3440</v>
      </c>
      <c r="AA678" s="28" t="s">
        <v>3441</v>
      </c>
      <c r="AB678" s="28" t="s">
        <v>3442</v>
      </c>
      <c r="AC678" s="28" t="s">
        <v>3443</v>
      </c>
    </row>
    <row r="679" spans="1:29" x14ac:dyDescent="0.2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8" t="s">
        <v>1480</v>
      </c>
      <c r="W679" s="28" t="s">
        <v>1268</v>
      </c>
      <c r="X679" s="28" t="s">
        <v>3429</v>
      </c>
      <c r="Y679" s="28" t="s">
        <v>3430</v>
      </c>
      <c r="Z679" s="28" t="s">
        <v>3431</v>
      </c>
      <c r="AA679" s="28" t="s">
        <v>3432</v>
      </c>
      <c r="AB679" s="28" t="s">
        <v>3433</v>
      </c>
      <c r="AC679" s="28" t="s">
        <v>3434</v>
      </c>
    </row>
    <row r="680" spans="1:29" x14ac:dyDescent="0.2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8" t="s">
        <v>1359</v>
      </c>
      <c r="W680" s="28" t="s">
        <v>1360</v>
      </c>
      <c r="X680" s="28" t="s">
        <v>2807</v>
      </c>
      <c r="Y680" s="28" t="s">
        <v>2808</v>
      </c>
      <c r="Z680" s="28" t="s">
        <v>3444</v>
      </c>
      <c r="AA680" s="28" t="s">
        <v>3445</v>
      </c>
      <c r="AB680" s="28" t="s">
        <v>3446</v>
      </c>
      <c r="AC680" s="28" t="s">
        <v>3447</v>
      </c>
    </row>
    <row r="681" spans="1:29" x14ac:dyDescent="0.2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8" t="s">
        <v>1308</v>
      </c>
      <c r="W681" s="28" t="s">
        <v>1309</v>
      </c>
      <c r="X681" s="28" t="s">
        <v>2627</v>
      </c>
      <c r="Y681" s="28" t="s">
        <v>2628</v>
      </c>
      <c r="Z681" s="28" t="s">
        <v>3448</v>
      </c>
      <c r="AA681" s="28" t="s">
        <v>3441</v>
      </c>
      <c r="AB681" s="28" t="s">
        <v>3449</v>
      </c>
      <c r="AC681" s="28" t="s">
        <v>3443</v>
      </c>
    </row>
    <row r="682" spans="1:29" x14ac:dyDescent="0.2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8" t="s">
        <v>1308</v>
      </c>
      <c r="W682" s="28" t="s">
        <v>1309</v>
      </c>
      <c r="X682" s="28" t="s">
        <v>2627</v>
      </c>
      <c r="Y682" s="28" t="s">
        <v>2628</v>
      </c>
      <c r="Z682" s="28" t="s">
        <v>3448</v>
      </c>
      <c r="AA682" s="28" t="s">
        <v>3441</v>
      </c>
      <c r="AB682" s="28" t="s">
        <v>3449</v>
      </c>
      <c r="AC682" s="28" t="s">
        <v>3443</v>
      </c>
    </row>
    <row r="683" spans="1:29" x14ac:dyDescent="0.2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8" t="s">
        <v>1267</v>
      </c>
      <c r="W683" s="28" t="s">
        <v>1268</v>
      </c>
      <c r="X683" s="28" t="s">
        <v>3450</v>
      </c>
      <c r="Y683" s="28" t="s">
        <v>3430</v>
      </c>
      <c r="Z683" s="28" t="s">
        <v>3451</v>
      </c>
      <c r="AA683" s="28" t="s">
        <v>3432</v>
      </c>
      <c r="AB683" s="28" t="s">
        <v>3452</v>
      </c>
      <c r="AC683" s="28" t="s">
        <v>3434</v>
      </c>
    </row>
    <row r="684" spans="1:29" x14ac:dyDescent="0.2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8" t="s">
        <v>1377</v>
      </c>
      <c r="W684" s="28" t="s">
        <v>1378</v>
      </c>
      <c r="X684" s="28" t="s">
        <v>2893</v>
      </c>
      <c r="Y684" s="28" t="s">
        <v>2894</v>
      </c>
      <c r="Z684" s="28" t="s">
        <v>3453</v>
      </c>
      <c r="AA684" s="28" t="s">
        <v>3437</v>
      </c>
      <c r="AB684" s="28" t="s">
        <v>3454</v>
      </c>
      <c r="AC684" s="28" t="s">
        <v>3439</v>
      </c>
    </row>
    <row r="685" spans="1:29" x14ac:dyDescent="0.2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8" t="s">
        <v>1267</v>
      </c>
      <c r="W685" s="28" t="s">
        <v>1268</v>
      </c>
      <c r="X685" s="28" t="s">
        <v>3450</v>
      </c>
      <c r="Y685" s="28" t="s">
        <v>3430</v>
      </c>
      <c r="Z685" s="28" t="s">
        <v>3451</v>
      </c>
      <c r="AA685" s="28" t="s">
        <v>3432</v>
      </c>
      <c r="AB685" s="28" t="s">
        <v>3452</v>
      </c>
      <c r="AC685" s="28" t="s">
        <v>3434</v>
      </c>
    </row>
    <row r="686" spans="1:29" x14ac:dyDescent="0.2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8" t="s">
        <v>1379</v>
      </c>
      <c r="W686" s="28" t="s">
        <v>1309</v>
      </c>
      <c r="X686" s="28" t="s">
        <v>2899</v>
      </c>
      <c r="Y686" s="28" t="s">
        <v>2628</v>
      </c>
      <c r="Z686" s="28" t="s">
        <v>3455</v>
      </c>
      <c r="AA686" s="28" t="s">
        <v>3441</v>
      </c>
      <c r="AB686" s="28" t="s">
        <v>3456</v>
      </c>
      <c r="AC686" s="28" t="s">
        <v>3443</v>
      </c>
    </row>
    <row r="687" spans="1:29" x14ac:dyDescent="0.2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8" t="s">
        <v>1482</v>
      </c>
      <c r="W687" s="28" t="s">
        <v>1268</v>
      </c>
      <c r="X687" s="28" t="s">
        <v>3457</v>
      </c>
      <c r="Y687" s="28" t="s">
        <v>3430</v>
      </c>
      <c r="Z687" s="28" t="s">
        <v>3458</v>
      </c>
      <c r="AA687" s="28" t="s">
        <v>3432</v>
      </c>
      <c r="AB687" s="28" t="s">
        <v>3459</v>
      </c>
      <c r="AC687" s="28" t="s">
        <v>3434</v>
      </c>
    </row>
    <row r="688" spans="1:29" x14ac:dyDescent="0.2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8" t="s">
        <v>1314</v>
      </c>
      <c r="W688" s="28" t="s">
        <v>1315</v>
      </c>
      <c r="X688" s="28" t="s">
        <v>2645</v>
      </c>
      <c r="Y688" s="28" t="s">
        <v>2646</v>
      </c>
      <c r="Z688" s="28" t="s">
        <v>3460</v>
      </c>
      <c r="AA688" s="28" t="s">
        <v>3461</v>
      </c>
      <c r="AB688" s="28" t="s">
        <v>3462</v>
      </c>
      <c r="AC688" s="28" t="s">
        <v>3463</v>
      </c>
    </row>
    <row r="689" spans="1:29" x14ac:dyDescent="0.2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8" t="s">
        <v>1483</v>
      </c>
      <c r="W689" s="28" t="s">
        <v>1365</v>
      </c>
      <c r="X689" s="28" t="s">
        <v>3464</v>
      </c>
      <c r="Y689" s="28" t="s">
        <v>2829</v>
      </c>
      <c r="Z689" s="28" t="s">
        <v>3465</v>
      </c>
      <c r="AA689" s="28" t="s">
        <v>3466</v>
      </c>
      <c r="AB689" s="28" t="s">
        <v>3467</v>
      </c>
      <c r="AC689" s="28" t="s">
        <v>3468</v>
      </c>
    </row>
    <row r="690" spans="1:29" x14ac:dyDescent="0.2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8" t="s">
        <v>1484</v>
      </c>
      <c r="W690" s="28" t="s">
        <v>1158</v>
      </c>
      <c r="X690" s="28" t="s">
        <v>3469</v>
      </c>
      <c r="Y690" s="28" t="s">
        <v>2759</v>
      </c>
      <c r="Z690" s="28" t="s">
        <v>3470</v>
      </c>
      <c r="AA690" s="28" t="s">
        <v>3471</v>
      </c>
      <c r="AB690" s="28" t="s">
        <v>3472</v>
      </c>
      <c r="AC690" s="28" t="s">
        <v>3473</v>
      </c>
    </row>
    <row r="691" spans="1:29" x14ac:dyDescent="0.2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8" t="s">
        <v>1343</v>
      </c>
      <c r="W691" s="28" t="s">
        <v>1344</v>
      </c>
      <c r="X691" s="28" t="s">
        <v>2746</v>
      </c>
      <c r="Y691" s="28" t="s">
        <v>2747</v>
      </c>
      <c r="Z691" s="28" t="s">
        <v>3474</v>
      </c>
      <c r="AA691" s="28" t="s">
        <v>3475</v>
      </c>
      <c r="AB691" s="28" t="s">
        <v>3476</v>
      </c>
      <c r="AC691" s="28" t="s">
        <v>3477</v>
      </c>
    </row>
    <row r="692" spans="1:29" x14ac:dyDescent="0.2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8" t="s">
        <v>1485</v>
      </c>
      <c r="W692" s="28" t="s">
        <v>1486</v>
      </c>
      <c r="X692" s="28" t="s">
        <v>3478</v>
      </c>
      <c r="Y692" s="28" t="s">
        <v>3479</v>
      </c>
      <c r="Z692" s="28" t="s">
        <v>3480</v>
      </c>
      <c r="AA692" s="28" t="s">
        <v>3481</v>
      </c>
      <c r="AB692" s="28" t="s">
        <v>3482</v>
      </c>
      <c r="AC692" s="28" t="s">
        <v>3483</v>
      </c>
    </row>
    <row r="693" spans="1:29" x14ac:dyDescent="0.2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8" t="s">
        <v>1487</v>
      </c>
      <c r="W693" s="28" t="s">
        <v>1351</v>
      </c>
      <c r="X693" s="28" t="s">
        <v>3484</v>
      </c>
      <c r="Y693" s="28" t="s">
        <v>2774</v>
      </c>
      <c r="Z693" s="28" t="s">
        <v>3485</v>
      </c>
      <c r="AA693" s="28" t="s">
        <v>3486</v>
      </c>
      <c r="AB693" s="28" t="s">
        <v>3487</v>
      </c>
      <c r="AC693" s="28" t="s">
        <v>3488</v>
      </c>
    </row>
    <row r="694" spans="1:29" x14ac:dyDescent="0.2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8" t="s">
        <v>1488</v>
      </c>
      <c r="W694" s="28" t="s">
        <v>1489</v>
      </c>
      <c r="X694" s="28" t="s">
        <v>3489</v>
      </c>
      <c r="Y694" s="28" t="s">
        <v>3490</v>
      </c>
      <c r="Z694" s="28" t="s">
        <v>3491</v>
      </c>
      <c r="AA694" s="28" t="s">
        <v>3492</v>
      </c>
      <c r="AB694" s="28" t="s">
        <v>3493</v>
      </c>
      <c r="AC694" s="28" t="s">
        <v>3494</v>
      </c>
    </row>
    <row r="695" spans="1:29" x14ac:dyDescent="0.2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8" t="s">
        <v>1490</v>
      </c>
      <c r="W695" s="28" t="s">
        <v>1491</v>
      </c>
      <c r="X695" s="28" t="s">
        <v>3495</v>
      </c>
      <c r="Y695" s="28" t="s">
        <v>3496</v>
      </c>
      <c r="Z695" s="28" t="s">
        <v>3497</v>
      </c>
      <c r="AA695" s="28" t="s">
        <v>3498</v>
      </c>
      <c r="AB695" s="28" t="s">
        <v>3499</v>
      </c>
      <c r="AC695" s="28" t="s">
        <v>3500</v>
      </c>
    </row>
    <row r="696" spans="1:29" x14ac:dyDescent="0.2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8" t="s">
        <v>1303</v>
      </c>
      <c r="W696" s="28" t="s">
        <v>1297</v>
      </c>
      <c r="X696" s="28" t="s">
        <v>2610</v>
      </c>
      <c r="Y696" s="28" t="s">
        <v>2586</v>
      </c>
      <c r="Z696" s="28" t="s">
        <v>3501</v>
      </c>
      <c r="AA696" s="28" t="s">
        <v>3502</v>
      </c>
      <c r="AB696" s="28" t="s">
        <v>3503</v>
      </c>
      <c r="AC696" s="28" t="s">
        <v>3504</v>
      </c>
    </row>
    <row r="697" spans="1:29" x14ac:dyDescent="0.2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8" t="s">
        <v>1492</v>
      </c>
      <c r="W697" s="28" t="s">
        <v>1493</v>
      </c>
      <c r="X697" s="28" t="s">
        <v>3505</v>
      </c>
      <c r="Y697" s="28" t="s">
        <v>3506</v>
      </c>
      <c r="Z697" s="28" t="s">
        <v>3507</v>
      </c>
      <c r="AA697" s="28" t="s">
        <v>3508</v>
      </c>
      <c r="AB697" s="28" t="s">
        <v>3509</v>
      </c>
      <c r="AC697" s="28" t="s">
        <v>3510</v>
      </c>
    </row>
    <row r="698" spans="1:29" x14ac:dyDescent="0.2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8" t="s">
        <v>1359</v>
      </c>
      <c r="W698" s="28" t="s">
        <v>1360</v>
      </c>
      <c r="X698" s="28" t="s">
        <v>2807</v>
      </c>
      <c r="Y698" s="28" t="s">
        <v>2808</v>
      </c>
      <c r="Z698" s="28" t="s">
        <v>3511</v>
      </c>
      <c r="AA698" s="28" t="s">
        <v>3512</v>
      </c>
      <c r="AB698" s="28" t="s">
        <v>3513</v>
      </c>
      <c r="AC698" s="28" t="s">
        <v>3514</v>
      </c>
    </row>
    <row r="699" spans="1:29" x14ac:dyDescent="0.2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8" t="s">
        <v>1494</v>
      </c>
      <c r="W699" s="28" t="s">
        <v>1311</v>
      </c>
      <c r="X699" s="28" t="s">
        <v>3515</v>
      </c>
      <c r="Y699" s="28" t="s">
        <v>2634</v>
      </c>
      <c r="Z699" s="28" t="s">
        <v>3516</v>
      </c>
      <c r="AA699" s="28" t="s">
        <v>3517</v>
      </c>
      <c r="AB699" s="28" t="s">
        <v>3518</v>
      </c>
      <c r="AC699" s="28" t="s">
        <v>3519</v>
      </c>
    </row>
    <row r="700" spans="1:29" x14ac:dyDescent="0.2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8" t="s">
        <v>1308</v>
      </c>
      <c r="W700" s="28" t="s">
        <v>1309</v>
      </c>
      <c r="X700" s="28" t="s">
        <v>2627</v>
      </c>
      <c r="Y700" s="28" t="s">
        <v>2628</v>
      </c>
      <c r="Z700" s="28" t="s">
        <v>3520</v>
      </c>
      <c r="AA700" s="28" t="s">
        <v>3521</v>
      </c>
      <c r="AB700" s="28" t="s">
        <v>3522</v>
      </c>
      <c r="AC700" s="28" t="s">
        <v>3523</v>
      </c>
    </row>
    <row r="701" spans="1:29" x14ac:dyDescent="0.2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8" t="s">
        <v>1377</v>
      </c>
      <c r="W701" s="28" t="s">
        <v>1378</v>
      </c>
      <c r="X701" s="28" t="s">
        <v>2893</v>
      </c>
      <c r="Y701" s="28" t="s">
        <v>2894</v>
      </c>
      <c r="Z701" s="28" t="s">
        <v>3524</v>
      </c>
      <c r="AA701" s="28" t="s">
        <v>3525</v>
      </c>
      <c r="AB701" s="28" t="s">
        <v>3526</v>
      </c>
      <c r="AC701" s="28" t="s">
        <v>3527</v>
      </c>
    </row>
    <row r="702" spans="1:29" x14ac:dyDescent="0.2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8" t="s">
        <v>1495</v>
      </c>
      <c r="W702" s="28" t="s">
        <v>1362</v>
      </c>
      <c r="X702" s="28" t="s">
        <v>3528</v>
      </c>
      <c r="Y702" s="28" t="s">
        <v>2814</v>
      </c>
      <c r="Z702" s="28" t="s">
        <v>3529</v>
      </c>
      <c r="AA702" s="28" t="s">
        <v>3530</v>
      </c>
      <c r="AB702" s="28" t="s">
        <v>3531</v>
      </c>
      <c r="AC702" s="28" t="s">
        <v>3532</v>
      </c>
    </row>
    <row r="703" spans="1:29" x14ac:dyDescent="0.2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8" t="s">
        <v>1496</v>
      </c>
      <c r="W703" s="28" t="s">
        <v>1378</v>
      </c>
      <c r="X703" s="28" t="s">
        <v>3533</v>
      </c>
      <c r="Y703" s="28" t="s">
        <v>2894</v>
      </c>
      <c r="Z703" s="28" t="s">
        <v>3534</v>
      </c>
      <c r="AA703" s="28" t="s">
        <v>3525</v>
      </c>
      <c r="AB703" s="28" t="s">
        <v>3535</v>
      </c>
      <c r="AC703" s="28" t="s">
        <v>3527</v>
      </c>
    </row>
    <row r="704" spans="1:29" x14ac:dyDescent="0.2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8" t="s">
        <v>1410</v>
      </c>
      <c r="W704" s="28" t="s">
        <v>1313</v>
      </c>
      <c r="X704" s="28" t="s">
        <v>3081</v>
      </c>
      <c r="Y704" s="28" t="s">
        <v>2640</v>
      </c>
      <c r="Z704" s="28" t="s">
        <v>3536</v>
      </c>
      <c r="AA704" s="28" t="s">
        <v>3537</v>
      </c>
      <c r="AB704" s="28" t="s">
        <v>3538</v>
      </c>
      <c r="AC704" s="28" t="s">
        <v>3539</v>
      </c>
    </row>
    <row r="705" spans="1:29" x14ac:dyDescent="0.2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8" t="s">
        <v>1497</v>
      </c>
      <c r="W705" s="28" t="s">
        <v>1322</v>
      </c>
      <c r="X705" s="28" t="s">
        <v>3540</v>
      </c>
      <c r="Y705" s="28" t="s">
        <v>2667</v>
      </c>
      <c r="Z705" s="28" t="s">
        <v>3541</v>
      </c>
      <c r="AA705" s="28" t="s">
        <v>3542</v>
      </c>
      <c r="AB705" s="28" t="s">
        <v>3543</v>
      </c>
      <c r="AC705" s="28" t="s">
        <v>3544</v>
      </c>
    </row>
    <row r="706" spans="1:29" x14ac:dyDescent="0.2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8" t="s">
        <v>1498</v>
      </c>
      <c r="W706" s="28" t="s">
        <v>1499</v>
      </c>
      <c r="X706" s="28" t="s">
        <v>3545</v>
      </c>
      <c r="Y706" s="28" t="s">
        <v>3546</v>
      </c>
      <c r="Z706" s="28" t="s">
        <v>3547</v>
      </c>
      <c r="AA706" s="28" t="s">
        <v>3548</v>
      </c>
      <c r="AB706" s="28" t="s">
        <v>3549</v>
      </c>
      <c r="AC706" s="28" t="s">
        <v>3550</v>
      </c>
    </row>
    <row r="707" spans="1:29" x14ac:dyDescent="0.2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8" t="s">
        <v>1500</v>
      </c>
      <c r="W707" s="28" t="s">
        <v>1326</v>
      </c>
      <c r="X707" s="28" t="s">
        <v>3551</v>
      </c>
      <c r="Y707" s="28" t="s">
        <v>2679</v>
      </c>
      <c r="Z707" s="28" t="s">
        <v>3552</v>
      </c>
      <c r="AA707" s="28" t="s">
        <v>3553</v>
      </c>
      <c r="AB707" s="28" t="s">
        <v>3554</v>
      </c>
      <c r="AC707" s="28" t="s">
        <v>3555</v>
      </c>
    </row>
    <row r="708" spans="1:29" x14ac:dyDescent="0.2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8" t="s">
        <v>1335</v>
      </c>
      <c r="W708" s="28" t="s">
        <v>1099</v>
      </c>
      <c r="X708" s="28" t="s">
        <v>2710</v>
      </c>
      <c r="Y708" s="28" t="s">
        <v>2711</v>
      </c>
      <c r="Z708" s="28" t="s">
        <v>3556</v>
      </c>
      <c r="AA708" s="28" t="s">
        <v>3557</v>
      </c>
      <c r="AB708" s="28" t="s">
        <v>3558</v>
      </c>
      <c r="AC708" s="28" t="s">
        <v>1799</v>
      </c>
    </row>
    <row r="709" spans="1:29" x14ac:dyDescent="0.2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8" t="s">
        <v>1501</v>
      </c>
      <c r="W709" s="28" t="s">
        <v>1337</v>
      </c>
      <c r="X709" s="28" t="s">
        <v>3559</v>
      </c>
      <c r="Y709" s="28" t="s">
        <v>2718</v>
      </c>
      <c r="Z709" s="28" t="s">
        <v>3560</v>
      </c>
      <c r="AA709" s="28" t="s">
        <v>3561</v>
      </c>
      <c r="AB709" s="28" t="s">
        <v>3562</v>
      </c>
      <c r="AC709" s="28" t="s">
        <v>3563</v>
      </c>
    </row>
    <row r="710" spans="1:29" x14ac:dyDescent="0.2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8" t="s">
        <v>1502</v>
      </c>
      <c r="W710" s="28" t="s">
        <v>1275</v>
      </c>
      <c r="X710" s="28" t="s">
        <v>3564</v>
      </c>
      <c r="Y710" s="28" t="s">
        <v>2741</v>
      </c>
      <c r="Z710" s="28" t="s">
        <v>3565</v>
      </c>
      <c r="AA710" s="28" t="s">
        <v>3566</v>
      </c>
      <c r="AB710" s="28" t="s">
        <v>3567</v>
      </c>
      <c r="AC710" s="28" t="s">
        <v>3568</v>
      </c>
    </row>
    <row r="711" spans="1:29" x14ac:dyDescent="0.2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8" t="s">
        <v>1503</v>
      </c>
      <c r="W711" s="28" t="s">
        <v>1155</v>
      </c>
      <c r="X711" s="28" t="s">
        <v>3569</v>
      </c>
      <c r="Y711" s="28" t="s">
        <v>3159</v>
      </c>
      <c r="Z711" s="28" t="s">
        <v>3570</v>
      </c>
      <c r="AA711" s="28" t="s">
        <v>3571</v>
      </c>
      <c r="AB711" s="28" t="s">
        <v>3572</v>
      </c>
      <c r="AC711" s="28" t="s">
        <v>3573</v>
      </c>
    </row>
    <row r="712" spans="1:29" x14ac:dyDescent="0.2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8" t="s">
        <v>1504</v>
      </c>
      <c r="W712" s="28" t="s">
        <v>1389</v>
      </c>
      <c r="X712" s="28" t="s">
        <v>3574</v>
      </c>
      <c r="Y712" s="28" t="s">
        <v>2958</v>
      </c>
      <c r="Z712" s="28" t="s">
        <v>3575</v>
      </c>
      <c r="AA712" s="28" t="s">
        <v>3576</v>
      </c>
      <c r="AB712" s="28" t="s">
        <v>3577</v>
      </c>
      <c r="AC712" s="28" t="s">
        <v>3578</v>
      </c>
    </row>
    <row r="713" spans="1:29" x14ac:dyDescent="0.2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8" t="s">
        <v>1505</v>
      </c>
      <c r="W713" s="28" t="s">
        <v>1489</v>
      </c>
      <c r="X713" s="28" t="s">
        <v>3579</v>
      </c>
      <c r="Y713" s="28" t="s">
        <v>3490</v>
      </c>
      <c r="Z713" s="28" t="s">
        <v>3580</v>
      </c>
      <c r="AA713" s="28" t="s">
        <v>3581</v>
      </c>
      <c r="AB713" s="28" t="s">
        <v>3582</v>
      </c>
      <c r="AC713" s="28" t="s">
        <v>3583</v>
      </c>
    </row>
    <row r="714" spans="1:29" x14ac:dyDescent="0.2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8" t="s">
        <v>1506</v>
      </c>
      <c r="W714" s="28" t="s">
        <v>1507</v>
      </c>
      <c r="X714" s="28" t="s">
        <v>3584</v>
      </c>
      <c r="Y714" s="28" t="s">
        <v>3585</v>
      </c>
      <c r="Z714" s="28" t="s">
        <v>3586</v>
      </c>
      <c r="AA714" s="28" t="s">
        <v>3587</v>
      </c>
      <c r="AB714" s="28" t="s">
        <v>3588</v>
      </c>
      <c r="AC714" s="28" t="s">
        <v>3589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16"/>
  <sheetViews>
    <sheetView zoomScaleNormal="100" workbookViewId="0">
      <selection activeCell="Q34" sqref="Q34"/>
    </sheetView>
  </sheetViews>
  <sheetFormatPr defaultRowHeight="15" x14ac:dyDescent="0.25"/>
  <cols>
    <col min="1" max="1" width="7.85546875" bestFit="1" customWidth="1"/>
    <col min="2" max="2" width="12.140625" bestFit="1" customWidth="1"/>
    <col min="3" max="3" width="10.85546875" bestFit="1" customWidth="1"/>
    <col min="4" max="4" width="5" bestFit="1" customWidth="1"/>
    <col min="5" max="5" width="8.140625" bestFit="1" customWidth="1"/>
    <col min="6" max="6" width="7.85546875" style="35" bestFit="1" customWidth="1"/>
    <col min="7" max="14" width="10.85546875" style="28" hidden="1" customWidth="1"/>
    <col min="15" max="15" width="0" hidden="1" customWidth="1"/>
  </cols>
  <sheetData>
    <row r="1" spans="1:14" x14ac:dyDescent="0.2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34" t="s">
        <v>971</v>
      </c>
      <c r="G1" s="27" t="s">
        <v>1023</v>
      </c>
      <c r="H1" s="27" t="s">
        <v>1028</v>
      </c>
      <c r="I1" s="27" t="s">
        <v>1655</v>
      </c>
      <c r="J1" s="27" t="s">
        <v>1656</v>
      </c>
      <c r="K1" s="27" t="s">
        <v>1657</v>
      </c>
      <c r="L1" s="27" t="s">
        <v>1658</v>
      </c>
      <c r="M1" s="27" t="s">
        <v>1661</v>
      </c>
      <c r="N1" s="27" t="s">
        <v>1662</v>
      </c>
    </row>
    <row r="2" spans="1:14" x14ac:dyDescent="0.25">
      <c r="A2" t="s">
        <v>26</v>
      </c>
      <c r="B2" t="s">
        <v>54</v>
      </c>
      <c r="C2">
        <v>2112</v>
      </c>
      <c r="D2">
        <v>6</v>
      </c>
      <c r="E2" t="s">
        <v>967</v>
      </c>
      <c r="F2" s="35" t="s">
        <v>976</v>
      </c>
      <c r="G2" s="28" t="s">
        <v>1508</v>
      </c>
      <c r="H2" s="28" t="s">
        <v>1509</v>
      </c>
      <c r="I2" s="28" t="s">
        <v>3590</v>
      </c>
      <c r="J2" s="28" t="s">
        <v>3591</v>
      </c>
      <c r="K2" s="28" t="s">
        <v>3592</v>
      </c>
      <c r="L2" s="28" t="s">
        <v>3593</v>
      </c>
      <c r="M2" s="28" t="s">
        <v>3594</v>
      </c>
      <c r="N2" s="28" t="s">
        <v>3595</v>
      </c>
    </row>
    <row r="3" spans="1:14" x14ac:dyDescent="0.25">
      <c r="A3" t="s">
        <v>26</v>
      </c>
      <c r="B3" t="s">
        <v>54</v>
      </c>
      <c r="C3">
        <v>2113</v>
      </c>
      <c r="D3">
        <v>32</v>
      </c>
      <c r="E3" t="s">
        <v>967</v>
      </c>
      <c r="F3" s="35" t="s">
        <v>976</v>
      </c>
      <c r="G3" s="28" t="s">
        <v>1510</v>
      </c>
      <c r="H3" s="28" t="s">
        <v>1509</v>
      </c>
      <c r="I3" s="28" t="s">
        <v>3596</v>
      </c>
      <c r="J3" s="28" t="s">
        <v>3591</v>
      </c>
      <c r="K3" s="28" t="s">
        <v>3597</v>
      </c>
      <c r="L3" s="28" t="s">
        <v>3593</v>
      </c>
      <c r="M3" s="28" t="s">
        <v>3598</v>
      </c>
      <c r="N3" s="28" t="s">
        <v>3595</v>
      </c>
    </row>
    <row r="4" spans="1:14" x14ac:dyDescent="0.25">
      <c r="A4" t="s">
        <v>26</v>
      </c>
      <c r="B4" t="s">
        <v>54</v>
      </c>
      <c r="C4">
        <v>2114</v>
      </c>
      <c r="D4">
        <v>182</v>
      </c>
      <c r="E4" t="s">
        <v>967</v>
      </c>
      <c r="F4" s="35" t="s">
        <v>977</v>
      </c>
      <c r="G4" s="28" t="s">
        <v>1511</v>
      </c>
      <c r="H4" s="28" t="s">
        <v>1512</v>
      </c>
      <c r="I4" s="28" t="s">
        <v>3599</v>
      </c>
      <c r="J4" s="28" t="s">
        <v>3600</v>
      </c>
      <c r="K4" s="28" t="s">
        <v>3601</v>
      </c>
      <c r="L4" s="28" t="s">
        <v>3602</v>
      </c>
      <c r="M4" s="28" t="s">
        <v>3603</v>
      </c>
      <c r="N4" s="28" t="s">
        <v>3604</v>
      </c>
    </row>
    <row r="5" spans="1:14" x14ac:dyDescent="0.25">
      <c r="A5" t="s">
        <v>26</v>
      </c>
      <c r="B5" t="s">
        <v>54</v>
      </c>
      <c r="C5">
        <v>2116</v>
      </c>
      <c r="D5">
        <v>140</v>
      </c>
      <c r="E5" t="s">
        <v>967</v>
      </c>
      <c r="F5" s="35" t="s">
        <v>977</v>
      </c>
      <c r="G5" s="28" t="s">
        <v>1513</v>
      </c>
      <c r="H5" s="28" t="s">
        <v>1512</v>
      </c>
      <c r="I5" s="28" t="s">
        <v>3605</v>
      </c>
      <c r="J5" s="28" t="s">
        <v>3600</v>
      </c>
      <c r="K5" s="28" t="s">
        <v>3606</v>
      </c>
      <c r="L5" s="28" t="s">
        <v>3602</v>
      </c>
      <c r="M5" s="28" t="s">
        <v>3607</v>
      </c>
      <c r="N5" s="28" t="s">
        <v>3604</v>
      </c>
    </row>
    <row r="6" spans="1:14" x14ac:dyDescent="0.25">
      <c r="A6" t="s">
        <v>26</v>
      </c>
      <c r="B6" t="s">
        <v>54</v>
      </c>
      <c r="C6">
        <v>2118</v>
      </c>
      <c r="D6">
        <v>350</v>
      </c>
      <c r="E6" t="s">
        <v>967</v>
      </c>
      <c r="F6" s="35" t="s">
        <v>978</v>
      </c>
      <c r="G6" s="28" t="s">
        <v>1514</v>
      </c>
      <c r="H6" s="28" t="s">
        <v>1515</v>
      </c>
      <c r="I6" s="28" t="s">
        <v>3608</v>
      </c>
      <c r="J6" s="28" t="s">
        <v>3609</v>
      </c>
      <c r="K6" s="28" t="s">
        <v>3610</v>
      </c>
      <c r="L6" s="28" t="s">
        <v>3611</v>
      </c>
      <c r="M6" s="28" t="s">
        <v>3612</v>
      </c>
      <c r="N6" s="28" t="s">
        <v>3613</v>
      </c>
    </row>
    <row r="7" spans="1:14" x14ac:dyDescent="0.25">
      <c r="A7" t="s">
        <v>26</v>
      </c>
      <c r="B7" t="s">
        <v>54</v>
      </c>
      <c r="C7">
        <v>2120</v>
      </c>
      <c r="D7">
        <v>380</v>
      </c>
      <c r="E7" t="s">
        <v>967</v>
      </c>
      <c r="F7" s="35" t="s">
        <v>978</v>
      </c>
      <c r="G7" s="28" t="s">
        <v>1516</v>
      </c>
      <c r="H7" s="28" t="s">
        <v>1515</v>
      </c>
      <c r="I7" s="28" t="s">
        <v>3614</v>
      </c>
      <c r="J7" s="28" t="s">
        <v>3609</v>
      </c>
      <c r="K7" s="28" t="s">
        <v>3615</v>
      </c>
      <c r="L7" s="28" t="s">
        <v>3611</v>
      </c>
      <c r="M7" s="28" t="s">
        <v>3616</v>
      </c>
      <c r="N7" s="28" t="s">
        <v>3613</v>
      </c>
    </row>
    <row r="8" spans="1:14" x14ac:dyDescent="0.25">
      <c r="A8" t="s">
        <v>26</v>
      </c>
      <c r="B8" t="s">
        <v>54</v>
      </c>
      <c r="C8">
        <v>2123</v>
      </c>
      <c r="D8">
        <v>345</v>
      </c>
      <c r="E8" t="s">
        <v>967</v>
      </c>
      <c r="F8" s="35" t="s">
        <v>979</v>
      </c>
      <c r="G8" s="28" t="s">
        <v>1517</v>
      </c>
      <c r="H8" s="28" t="s">
        <v>1518</v>
      </c>
      <c r="I8" s="28" t="s">
        <v>3617</v>
      </c>
      <c r="J8" s="28" t="s">
        <v>3618</v>
      </c>
      <c r="K8" s="28" t="s">
        <v>3619</v>
      </c>
      <c r="L8" s="28" t="s">
        <v>3620</v>
      </c>
      <c r="M8" s="28" t="s">
        <v>3621</v>
      </c>
      <c r="N8" s="28" t="s">
        <v>3622</v>
      </c>
    </row>
    <row r="9" spans="1:14" x14ac:dyDescent="0.25">
      <c r="A9" t="s">
        <v>26</v>
      </c>
      <c r="B9" t="s">
        <v>54</v>
      </c>
      <c r="C9">
        <v>2127</v>
      </c>
      <c r="D9">
        <v>555</v>
      </c>
      <c r="E9" t="s">
        <v>967</v>
      </c>
      <c r="F9" s="35" t="s">
        <v>980</v>
      </c>
      <c r="G9" s="28" t="s">
        <v>1519</v>
      </c>
      <c r="H9" s="28" t="s">
        <v>1520</v>
      </c>
      <c r="I9" s="28" t="s">
        <v>3623</v>
      </c>
      <c r="J9" s="28" t="s">
        <v>3624</v>
      </c>
      <c r="K9" s="28" t="s">
        <v>3625</v>
      </c>
      <c r="L9" s="28" t="s">
        <v>3626</v>
      </c>
      <c r="M9" s="28" t="s">
        <v>3627</v>
      </c>
      <c r="N9" s="28" t="s">
        <v>3628</v>
      </c>
    </row>
    <row r="10" spans="1:14" x14ac:dyDescent="0.2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35" t="s">
        <v>980</v>
      </c>
      <c r="G10" s="28" t="s">
        <v>1521</v>
      </c>
      <c r="H10" s="28" t="s">
        <v>1520</v>
      </c>
      <c r="I10" s="28" t="s">
        <v>3629</v>
      </c>
      <c r="J10" s="28" t="s">
        <v>3624</v>
      </c>
      <c r="K10" s="28" t="s">
        <v>3630</v>
      </c>
      <c r="L10" s="28" t="s">
        <v>3626</v>
      </c>
      <c r="M10" s="28" t="s">
        <v>3631</v>
      </c>
      <c r="N10" s="28" t="s">
        <v>3628</v>
      </c>
    </row>
    <row r="11" spans="1:14" x14ac:dyDescent="0.2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35" t="s">
        <v>980</v>
      </c>
      <c r="G11" s="28" t="s">
        <v>1522</v>
      </c>
      <c r="H11" s="28" t="s">
        <v>1520</v>
      </c>
      <c r="I11" s="28" t="s">
        <v>3632</v>
      </c>
      <c r="J11" s="28" t="s">
        <v>3624</v>
      </c>
      <c r="K11" s="28" t="s">
        <v>3633</v>
      </c>
      <c r="L11" s="28" t="s">
        <v>3626</v>
      </c>
      <c r="M11" s="28" t="s">
        <v>3634</v>
      </c>
      <c r="N11" s="28" t="s">
        <v>3628</v>
      </c>
    </row>
    <row r="12" spans="1:14" x14ac:dyDescent="0.2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35" t="s">
        <v>980</v>
      </c>
      <c r="G12" s="28" t="s">
        <v>1523</v>
      </c>
      <c r="H12" s="28" t="s">
        <v>1520</v>
      </c>
      <c r="I12" s="28" t="s">
        <v>3635</v>
      </c>
      <c r="J12" s="28" t="s">
        <v>3624</v>
      </c>
      <c r="K12" s="28" t="s">
        <v>3636</v>
      </c>
      <c r="L12" s="28" t="s">
        <v>3626</v>
      </c>
      <c r="M12" s="28" t="s">
        <v>3637</v>
      </c>
      <c r="N12" s="28" t="s">
        <v>3628</v>
      </c>
    </row>
    <row r="13" spans="1:14" x14ac:dyDescent="0.2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35" t="s">
        <v>981</v>
      </c>
      <c r="G13" s="28" t="s">
        <v>1524</v>
      </c>
      <c r="H13" s="28" t="s">
        <v>1525</v>
      </c>
      <c r="I13" s="28" t="s">
        <v>3638</v>
      </c>
      <c r="J13" s="28" t="s">
        <v>3639</v>
      </c>
      <c r="K13" s="28" t="s">
        <v>3640</v>
      </c>
      <c r="L13" s="28" t="s">
        <v>3641</v>
      </c>
      <c r="M13" s="28" t="s">
        <v>3642</v>
      </c>
      <c r="N13" s="28" t="s">
        <v>3643</v>
      </c>
    </row>
    <row r="14" spans="1:14" x14ac:dyDescent="0.2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35" t="s">
        <v>977</v>
      </c>
      <c r="G14" s="28" t="s">
        <v>1513</v>
      </c>
      <c r="H14" s="28" t="s">
        <v>1512</v>
      </c>
      <c r="I14" s="28" t="s">
        <v>3605</v>
      </c>
      <c r="J14" s="28" t="s">
        <v>3600</v>
      </c>
      <c r="K14" s="28" t="s">
        <v>3644</v>
      </c>
      <c r="L14" s="28" t="s">
        <v>3645</v>
      </c>
      <c r="M14" s="28" t="s">
        <v>3646</v>
      </c>
      <c r="N14" s="28" t="s">
        <v>3647</v>
      </c>
    </row>
    <row r="15" spans="1:14" x14ac:dyDescent="0.2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35" t="s">
        <v>979</v>
      </c>
      <c r="G15" s="28" t="s">
        <v>1526</v>
      </c>
      <c r="H15" s="28" t="s">
        <v>1518</v>
      </c>
      <c r="I15" s="28" t="s">
        <v>3648</v>
      </c>
      <c r="J15" s="28" t="s">
        <v>3618</v>
      </c>
      <c r="K15" s="28" t="s">
        <v>3649</v>
      </c>
      <c r="L15" s="28" t="s">
        <v>3650</v>
      </c>
      <c r="M15" s="28" t="s">
        <v>3651</v>
      </c>
      <c r="N15" s="28" t="s">
        <v>3652</v>
      </c>
    </row>
    <row r="16" spans="1:14" x14ac:dyDescent="0.2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35" t="s">
        <v>980</v>
      </c>
      <c r="G16" s="28" t="s">
        <v>1519</v>
      </c>
      <c r="H16" s="28" t="s">
        <v>1520</v>
      </c>
      <c r="I16" s="28" t="s">
        <v>3623</v>
      </c>
      <c r="J16" s="28" t="s">
        <v>3624</v>
      </c>
      <c r="K16" s="28" t="s">
        <v>3653</v>
      </c>
      <c r="L16" s="28" t="s">
        <v>3654</v>
      </c>
      <c r="M16" s="28" t="s">
        <v>3655</v>
      </c>
      <c r="N16" s="28" t="s">
        <v>3656</v>
      </c>
    </row>
    <row r="17" spans="1:14" x14ac:dyDescent="0.25">
      <c r="A17" t="s">
        <v>27</v>
      </c>
      <c r="B17" t="s">
        <v>71</v>
      </c>
      <c r="C17">
        <v>2129</v>
      </c>
      <c r="D17">
        <v>3</v>
      </c>
      <c r="E17" t="s">
        <v>967</v>
      </c>
      <c r="F17" s="35" t="s">
        <v>980</v>
      </c>
      <c r="G17" s="28" t="s">
        <v>1522</v>
      </c>
      <c r="H17" s="28" t="s">
        <v>1520</v>
      </c>
      <c r="I17" s="28" t="s">
        <v>3657</v>
      </c>
      <c r="J17" s="28" t="s">
        <v>3658</v>
      </c>
      <c r="K17" s="28" t="s">
        <v>3659</v>
      </c>
      <c r="L17" s="28" t="s">
        <v>3660</v>
      </c>
      <c r="M17" s="28" t="s">
        <v>3661</v>
      </c>
      <c r="N17" s="28" t="s">
        <v>3662</v>
      </c>
    </row>
    <row r="18" spans="1:14" x14ac:dyDescent="0.2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35" t="s">
        <v>981</v>
      </c>
      <c r="G18" s="28" t="s">
        <v>1527</v>
      </c>
      <c r="H18" s="28" t="s">
        <v>1525</v>
      </c>
      <c r="I18" s="28" t="s">
        <v>3663</v>
      </c>
      <c r="J18" s="28" t="s">
        <v>3664</v>
      </c>
      <c r="K18" s="28" t="s">
        <v>3665</v>
      </c>
      <c r="L18" s="28" t="s">
        <v>3666</v>
      </c>
      <c r="M18" s="28" t="s">
        <v>3667</v>
      </c>
      <c r="N18" s="28" t="s">
        <v>3668</v>
      </c>
    </row>
    <row r="19" spans="1:14" x14ac:dyDescent="0.2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35" t="s">
        <v>981</v>
      </c>
      <c r="G19" s="28" t="s">
        <v>1528</v>
      </c>
      <c r="H19" s="28" t="s">
        <v>1525</v>
      </c>
      <c r="I19" s="28" t="s">
        <v>3669</v>
      </c>
      <c r="J19" s="28" t="s">
        <v>3664</v>
      </c>
      <c r="K19" s="28" t="s">
        <v>3670</v>
      </c>
      <c r="L19" s="28" t="s">
        <v>3666</v>
      </c>
      <c r="M19" s="28" t="s">
        <v>3671</v>
      </c>
      <c r="N19" s="28" t="s">
        <v>3668</v>
      </c>
    </row>
    <row r="20" spans="1:14" x14ac:dyDescent="0.2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35" t="s">
        <v>981</v>
      </c>
      <c r="G20" s="28" t="s">
        <v>1524</v>
      </c>
      <c r="H20" s="28" t="s">
        <v>1525</v>
      </c>
      <c r="I20" s="28" t="s">
        <v>3672</v>
      </c>
      <c r="J20" s="28" t="s">
        <v>3664</v>
      </c>
      <c r="K20" s="28" t="s">
        <v>3673</v>
      </c>
      <c r="L20" s="28" t="s">
        <v>3666</v>
      </c>
      <c r="M20" s="28" t="s">
        <v>3674</v>
      </c>
      <c r="N20" s="28" t="s">
        <v>3668</v>
      </c>
    </row>
    <row r="21" spans="1:14" x14ac:dyDescent="0.2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35" t="s">
        <v>978</v>
      </c>
      <c r="G21" s="28" t="s">
        <v>1529</v>
      </c>
      <c r="H21" s="28" t="s">
        <v>1515</v>
      </c>
      <c r="I21" s="28" t="s">
        <v>3675</v>
      </c>
      <c r="J21" s="28" t="s">
        <v>3676</v>
      </c>
      <c r="K21" s="28" t="s">
        <v>3677</v>
      </c>
      <c r="L21" s="28" t="s">
        <v>3678</v>
      </c>
      <c r="M21" s="28" t="s">
        <v>3679</v>
      </c>
      <c r="N21" s="28" t="s">
        <v>3680</v>
      </c>
    </row>
    <row r="22" spans="1:14" x14ac:dyDescent="0.2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35" t="s">
        <v>978</v>
      </c>
      <c r="G22" s="28" t="s">
        <v>1530</v>
      </c>
      <c r="H22" s="28" t="s">
        <v>1515</v>
      </c>
      <c r="I22" s="28" t="s">
        <v>3681</v>
      </c>
      <c r="J22" s="28" t="s">
        <v>3676</v>
      </c>
      <c r="K22" s="28" t="s">
        <v>3682</v>
      </c>
      <c r="L22" s="28" t="s">
        <v>3678</v>
      </c>
      <c r="M22" s="28" t="s">
        <v>3683</v>
      </c>
      <c r="N22" s="28" t="s">
        <v>3680</v>
      </c>
    </row>
    <row r="23" spans="1:14" x14ac:dyDescent="0.2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35" t="s">
        <v>978</v>
      </c>
      <c r="G23" s="28" t="s">
        <v>1531</v>
      </c>
      <c r="H23" s="28" t="s">
        <v>1515</v>
      </c>
      <c r="I23" s="28" t="s">
        <v>3684</v>
      </c>
      <c r="J23" s="28" t="s">
        <v>3676</v>
      </c>
      <c r="K23" s="28" t="s">
        <v>3685</v>
      </c>
      <c r="L23" s="28" t="s">
        <v>3678</v>
      </c>
      <c r="M23" s="28" t="s">
        <v>3686</v>
      </c>
      <c r="N23" s="28" t="s">
        <v>3680</v>
      </c>
    </row>
    <row r="24" spans="1:14" x14ac:dyDescent="0.2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35" t="s">
        <v>979</v>
      </c>
      <c r="G24" s="28" t="s">
        <v>1517</v>
      </c>
      <c r="H24" s="28" t="s">
        <v>1518</v>
      </c>
      <c r="I24" s="28" t="s">
        <v>3687</v>
      </c>
      <c r="J24" s="28" t="s">
        <v>3688</v>
      </c>
      <c r="K24" s="28" t="s">
        <v>3689</v>
      </c>
      <c r="L24" s="28" t="s">
        <v>3690</v>
      </c>
      <c r="M24" s="28" t="s">
        <v>3691</v>
      </c>
      <c r="N24" s="28" t="s">
        <v>3692</v>
      </c>
    </row>
    <row r="25" spans="1:14" x14ac:dyDescent="0.2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35" t="s">
        <v>980</v>
      </c>
      <c r="G25" s="28" t="s">
        <v>1521</v>
      </c>
      <c r="H25" s="28" t="s">
        <v>1520</v>
      </c>
      <c r="I25" s="28" t="s">
        <v>3693</v>
      </c>
      <c r="J25" s="28" t="s">
        <v>3658</v>
      </c>
      <c r="K25" s="28" t="s">
        <v>3694</v>
      </c>
      <c r="L25" s="28" t="s">
        <v>3695</v>
      </c>
      <c r="M25" s="28" t="s">
        <v>3696</v>
      </c>
      <c r="N25" s="28" t="s">
        <v>3697</v>
      </c>
    </row>
    <row r="26" spans="1:14" x14ac:dyDescent="0.2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35" t="s">
        <v>980</v>
      </c>
      <c r="G26" s="28" t="s">
        <v>1523</v>
      </c>
      <c r="H26" s="28" t="s">
        <v>1520</v>
      </c>
      <c r="I26" s="28" t="s">
        <v>3698</v>
      </c>
      <c r="J26" s="28" t="s">
        <v>3658</v>
      </c>
      <c r="K26" s="28" t="s">
        <v>3699</v>
      </c>
      <c r="L26" s="28" t="s">
        <v>3695</v>
      </c>
      <c r="M26" s="28" t="s">
        <v>3700</v>
      </c>
      <c r="N26" s="28" t="s">
        <v>3697</v>
      </c>
    </row>
    <row r="27" spans="1:14" x14ac:dyDescent="0.2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35" t="s">
        <v>981</v>
      </c>
      <c r="G27" s="28" t="s">
        <v>1524</v>
      </c>
      <c r="H27" s="28" t="s">
        <v>1525</v>
      </c>
      <c r="I27" s="28" t="s">
        <v>3672</v>
      </c>
      <c r="J27" s="28" t="s">
        <v>3664</v>
      </c>
      <c r="K27" s="28" t="s">
        <v>3701</v>
      </c>
      <c r="L27" s="28" t="s">
        <v>3702</v>
      </c>
      <c r="M27" s="28" t="s">
        <v>3703</v>
      </c>
      <c r="N27" s="28" t="s">
        <v>3704</v>
      </c>
    </row>
    <row r="28" spans="1:14" x14ac:dyDescent="0.2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35" t="s">
        <v>977</v>
      </c>
      <c r="G28" s="28" t="s">
        <v>1532</v>
      </c>
      <c r="H28" s="28" t="s">
        <v>1512</v>
      </c>
      <c r="I28" s="28" t="s">
        <v>3705</v>
      </c>
      <c r="J28" s="28" t="s">
        <v>3706</v>
      </c>
      <c r="K28" s="28" t="s">
        <v>3707</v>
      </c>
      <c r="L28" s="28" t="s">
        <v>3708</v>
      </c>
      <c r="M28" s="28" t="s">
        <v>3709</v>
      </c>
      <c r="N28" s="28" t="s">
        <v>3710</v>
      </c>
    </row>
    <row r="29" spans="1:14" x14ac:dyDescent="0.2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35" t="s">
        <v>978</v>
      </c>
      <c r="G29" s="28" t="s">
        <v>1531</v>
      </c>
      <c r="H29" s="28" t="s">
        <v>1515</v>
      </c>
      <c r="I29" s="28" t="s">
        <v>3684</v>
      </c>
      <c r="J29" s="28" t="s">
        <v>3676</v>
      </c>
      <c r="K29" s="28" t="s">
        <v>3711</v>
      </c>
      <c r="L29" s="28" t="s">
        <v>3712</v>
      </c>
      <c r="M29" s="28" t="s">
        <v>3713</v>
      </c>
      <c r="N29" s="28" t="s">
        <v>3714</v>
      </c>
    </row>
    <row r="30" spans="1:14" x14ac:dyDescent="0.2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35" t="s">
        <v>980</v>
      </c>
      <c r="G30" s="28" t="s">
        <v>1522</v>
      </c>
      <c r="H30" s="28" t="s">
        <v>1520</v>
      </c>
      <c r="I30" s="28" t="s">
        <v>3657</v>
      </c>
      <c r="J30" s="28" t="s">
        <v>3658</v>
      </c>
      <c r="K30" s="28" t="s">
        <v>3715</v>
      </c>
      <c r="L30" s="28" t="s">
        <v>3716</v>
      </c>
      <c r="M30" s="28" t="s">
        <v>3717</v>
      </c>
      <c r="N30" s="28" t="s">
        <v>3718</v>
      </c>
    </row>
    <row r="31" spans="1:14" x14ac:dyDescent="0.2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35" t="s">
        <v>980</v>
      </c>
      <c r="G31" s="28" t="s">
        <v>1523</v>
      </c>
      <c r="H31" s="28" t="s">
        <v>1520</v>
      </c>
      <c r="I31" s="28" t="s">
        <v>3698</v>
      </c>
      <c r="J31" s="28" t="s">
        <v>3658</v>
      </c>
      <c r="K31" s="28" t="s">
        <v>3719</v>
      </c>
      <c r="L31" s="28" t="s">
        <v>3716</v>
      </c>
      <c r="M31" s="28" t="s">
        <v>3720</v>
      </c>
      <c r="N31" s="28" t="s">
        <v>3718</v>
      </c>
    </row>
    <row r="32" spans="1:14" x14ac:dyDescent="0.2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35" t="s">
        <v>981</v>
      </c>
      <c r="G32" s="28" t="s">
        <v>1524</v>
      </c>
      <c r="H32" s="28" t="s">
        <v>1525</v>
      </c>
      <c r="I32" s="28" t="s">
        <v>3672</v>
      </c>
      <c r="J32" s="28" t="s">
        <v>3664</v>
      </c>
      <c r="K32" s="28" t="s">
        <v>3721</v>
      </c>
      <c r="L32" s="28" t="s">
        <v>3722</v>
      </c>
      <c r="M32" s="28" t="s">
        <v>3723</v>
      </c>
      <c r="N32" s="28" t="s">
        <v>3724</v>
      </c>
    </row>
    <row r="33" spans="1:14" x14ac:dyDescent="0.2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35" t="s">
        <v>977</v>
      </c>
      <c r="G33" s="28" t="s">
        <v>1532</v>
      </c>
      <c r="H33" s="28" t="s">
        <v>1512</v>
      </c>
      <c r="I33" s="28" t="s">
        <v>3705</v>
      </c>
      <c r="J33" s="28" t="s">
        <v>3706</v>
      </c>
      <c r="K33" s="28" t="s">
        <v>3725</v>
      </c>
      <c r="L33" s="28" t="s">
        <v>3726</v>
      </c>
      <c r="M33" s="28" t="s">
        <v>3727</v>
      </c>
      <c r="N33" s="28" t="s">
        <v>3728</v>
      </c>
    </row>
    <row r="34" spans="1:14" x14ac:dyDescent="0.2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35" t="s">
        <v>980</v>
      </c>
      <c r="G34" s="28" t="s">
        <v>1523</v>
      </c>
      <c r="H34" s="28" t="s">
        <v>1520</v>
      </c>
      <c r="I34" s="28" t="s">
        <v>3698</v>
      </c>
      <c r="J34" s="28" t="s">
        <v>3658</v>
      </c>
      <c r="K34" s="28" t="s">
        <v>3729</v>
      </c>
      <c r="L34" s="28" t="s">
        <v>3730</v>
      </c>
      <c r="M34" s="28" t="s">
        <v>3731</v>
      </c>
      <c r="N34" s="28" t="s">
        <v>3732</v>
      </c>
    </row>
    <row r="35" spans="1:14" x14ac:dyDescent="0.2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35" t="s">
        <v>981</v>
      </c>
      <c r="G35" s="28" t="s">
        <v>1527</v>
      </c>
      <c r="H35" s="28" t="s">
        <v>1525</v>
      </c>
      <c r="I35" s="28" t="s">
        <v>3663</v>
      </c>
      <c r="J35" s="28" t="s">
        <v>3664</v>
      </c>
      <c r="K35" s="28" t="s">
        <v>3733</v>
      </c>
      <c r="L35" s="28" t="s">
        <v>3734</v>
      </c>
      <c r="M35" s="28" t="s">
        <v>3735</v>
      </c>
      <c r="N35" s="28" t="s">
        <v>3736</v>
      </c>
    </row>
    <row r="36" spans="1:14" x14ac:dyDescent="0.2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35" t="s">
        <v>981</v>
      </c>
      <c r="G36" s="28" t="s">
        <v>1528</v>
      </c>
      <c r="H36" s="28" t="s">
        <v>1525</v>
      </c>
      <c r="I36" s="28" t="s">
        <v>3669</v>
      </c>
      <c r="J36" s="28" t="s">
        <v>3664</v>
      </c>
      <c r="K36" s="28" t="s">
        <v>3737</v>
      </c>
      <c r="L36" s="28" t="s">
        <v>3734</v>
      </c>
      <c r="M36" s="28" t="s">
        <v>3738</v>
      </c>
      <c r="N36" s="28" t="s">
        <v>3736</v>
      </c>
    </row>
    <row r="37" spans="1:14" x14ac:dyDescent="0.2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35" t="s">
        <v>981</v>
      </c>
      <c r="G37" s="28" t="s">
        <v>1524</v>
      </c>
      <c r="H37" s="28" t="s">
        <v>1525</v>
      </c>
      <c r="I37" s="28" t="s">
        <v>3672</v>
      </c>
      <c r="J37" s="28" t="s">
        <v>3664</v>
      </c>
      <c r="K37" s="28" t="s">
        <v>3739</v>
      </c>
      <c r="L37" s="28" t="s">
        <v>3734</v>
      </c>
      <c r="M37" s="28" t="s">
        <v>3740</v>
      </c>
      <c r="N37" s="28" t="s">
        <v>3736</v>
      </c>
    </row>
    <row r="38" spans="1:14" x14ac:dyDescent="0.2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35" t="s">
        <v>978</v>
      </c>
      <c r="G38" s="28" t="s">
        <v>1529</v>
      </c>
      <c r="H38" s="28" t="s">
        <v>1515</v>
      </c>
      <c r="I38" s="28" t="s">
        <v>3675</v>
      </c>
      <c r="J38" s="28" t="s">
        <v>3676</v>
      </c>
      <c r="K38" s="28" t="s">
        <v>3741</v>
      </c>
      <c r="L38" s="28" t="s">
        <v>3742</v>
      </c>
      <c r="M38" s="28" t="s">
        <v>3743</v>
      </c>
      <c r="N38" s="28" t="s">
        <v>3744</v>
      </c>
    </row>
    <row r="39" spans="1:14" x14ac:dyDescent="0.2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35" t="s">
        <v>978</v>
      </c>
      <c r="G39" s="28" t="s">
        <v>1530</v>
      </c>
      <c r="H39" s="28" t="s">
        <v>1515</v>
      </c>
      <c r="I39" s="28" t="s">
        <v>3681</v>
      </c>
      <c r="J39" s="28" t="s">
        <v>3676</v>
      </c>
      <c r="K39" s="28" t="s">
        <v>3745</v>
      </c>
      <c r="L39" s="28" t="s">
        <v>3742</v>
      </c>
      <c r="M39" s="28" t="s">
        <v>3746</v>
      </c>
      <c r="N39" s="28" t="s">
        <v>3744</v>
      </c>
    </row>
    <row r="40" spans="1:14" x14ac:dyDescent="0.2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35" t="s">
        <v>978</v>
      </c>
      <c r="G40" s="28" t="s">
        <v>1531</v>
      </c>
      <c r="H40" s="28" t="s">
        <v>1515</v>
      </c>
      <c r="I40" s="28" t="s">
        <v>3684</v>
      </c>
      <c r="J40" s="28" t="s">
        <v>3676</v>
      </c>
      <c r="K40" s="28" t="s">
        <v>3747</v>
      </c>
      <c r="L40" s="28" t="s">
        <v>3742</v>
      </c>
      <c r="M40" s="28" t="s">
        <v>3748</v>
      </c>
      <c r="N40" s="28" t="s">
        <v>3744</v>
      </c>
    </row>
    <row r="41" spans="1:14" x14ac:dyDescent="0.2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35" t="s">
        <v>979</v>
      </c>
      <c r="G41" s="28" t="s">
        <v>1517</v>
      </c>
      <c r="H41" s="28" t="s">
        <v>1518</v>
      </c>
      <c r="I41" s="28" t="s">
        <v>3687</v>
      </c>
      <c r="J41" s="28" t="s">
        <v>3688</v>
      </c>
      <c r="K41" s="28" t="s">
        <v>3749</v>
      </c>
      <c r="L41" s="28" t="s">
        <v>3750</v>
      </c>
      <c r="M41" s="28" t="s">
        <v>3751</v>
      </c>
      <c r="N41" s="28" t="s">
        <v>3752</v>
      </c>
    </row>
    <row r="42" spans="1:14" x14ac:dyDescent="0.2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35" t="s">
        <v>979</v>
      </c>
      <c r="G42" s="28" t="s">
        <v>1533</v>
      </c>
      <c r="H42" s="28" t="s">
        <v>1518</v>
      </c>
      <c r="I42" s="28" t="s">
        <v>3753</v>
      </c>
      <c r="J42" s="28" t="s">
        <v>3688</v>
      </c>
      <c r="K42" s="28" t="s">
        <v>3754</v>
      </c>
      <c r="L42" s="28" t="s">
        <v>3750</v>
      </c>
      <c r="M42" s="28" t="s">
        <v>3755</v>
      </c>
      <c r="N42" s="28" t="s">
        <v>3752</v>
      </c>
    </row>
    <row r="43" spans="1:14" x14ac:dyDescent="0.2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35" t="s">
        <v>980</v>
      </c>
      <c r="G43" s="28" t="s">
        <v>1521</v>
      </c>
      <c r="H43" s="28" t="s">
        <v>1520</v>
      </c>
      <c r="I43" s="28" t="s">
        <v>3693</v>
      </c>
      <c r="J43" s="28" t="s">
        <v>3658</v>
      </c>
      <c r="K43" s="28" t="s">
        <v>3756</v>
      </c>
      <c r="L43" s="28" t="s">
        <v>3757</v>
      </c>
      <c r="M43" s="28" t="s">
        <v>3758</v>
      </c>
      <c r="N43" s="28" t="s">
        <v>3759</v>
      </c>
    </row>
    <row r="44" spans="1:14" x14ac:dyDescent="0.2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35" t="s">
        <v>980</v>
      </c>
      <c r="G44" s="28" t="s">
        <v>1522</v>
      </c>
      <c r="H44" s="28" t="s">
        <v>1520</v>
      </c>
      <c r="I44" s="28" t="s">
        <v>3657</v>
      </c>
      <c r="J44" s="28" t="s">
        <v>3658</v>
      </c>
      <c r="K44" s="28" t="s">
        <v>3760</v>
      </c>
      <c r="L44" s="28" t="s">
        <v>3757</v>
      </c>
      <c r="M44" s="28" t="s">
        <v>3761</v>
      </c>
      <c r="N44" s="28" t="s">
        <v>3759</v>
      </c>
    </row>
    <row r="45" spans="1:14" x14ac:dyDescent="0.2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35" t="s">
        <v>980</v>
      </c>
      <c r="G45" s="28" t="s">
        <v>1523</v>
      </c>
      <c r="H45" s="28" t="s">
        <v>1520</v>
      </c>
      <c r="I45" s="28" t="s">
        <v>3698</v>
      </c>
      <c r="J45" s="28" t="s">
        <v>3658</v>
      </c>
      <c r="K45" s="28" t="s">
        <v>3762</v>
      </c>
      <c r="L45" s="28" t="s">
        <v>3757</v>
      </c>
      <c r="M45" s="28" t="s">
        <v>3763</v>
      </c>
      <c r="N45" s="28" t="s">
        <v>3759</v>
      </c>
    </row>
    <row r="46" spans="1:14" x14ac:dyDescent="0.2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35" t="s">
        <v>981</v>
      </c>
      <c r="G46" s="28" t="s">
        <v>1527</v>
      </c>
      <c r="H46" s="28" t="s">
        <v>1525</v>
      </c>
      <c r="I46" s="28" t="s">
        <v>3663</v>
      </c>
      <c r="J46" s="28" t="s">
        <v>3664</v>
      </c>
      <c r="K46" s="28" t="s">
        <v>3764</v>
      </c>
      <c r="L46" s="28" t="s">
        <v>3765</v>
      </c>
      <c r="M46" s="28" t="s">
        <v>3766</v>
      </c>
      <c r="N46" s="28" t="s">
        <v>3767</v>
      </c>
    </row>
    <row r="47" spans="1:14" x14ac:dyDescent="0.2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35" t="s">
        <v>981</v>
      </c>
      <c r="G47" s="28" t="s">
        <v>1528</v>
      </c>
      <c r="H47" s="28" t="s">
        <v>1525</v>
      </c>
      <c r="I47" s="28" t="s">
        <v>3669</v>
      </c>
      <c r="J47" s="28" t="s">
        <v>3664</v>
      </c>
      <c r="K47" s="28" t="s">
        <v>3768</v>
      </c>
      <c r="L47" s="28" t="s">
        <v>3765</v>
      </c>
      <c r="M47" s="28" t="s">
        <v>3769</v>
      </c>
      <c r="N47" s="28" t="s">
        <v>3767</v>
      </c>
    </row>
    <row r="48" spans="1:14" x14ac:dyDescent="0.2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35" t="s">
        <v>981</v>
      </c>
      <c r="G48" s="28" t="s">
        <v>1524</v>
      </c>
      <c r="H48" s="28" t="s">
        <v>1525</v>
      </c>
      <c r="I48" s="28" t="s">
        <v>3672</v>
      </c>
      <c r="J48" s="28" t="s">
        <v>3664</v>
      </c>
      <c r="K48" s="28" t="s">
        <v>3770</v>
      </c>
      <c r="L48" s="28" t="s">
        <v>3765</v>
      </c>
      <c r="M48" s="28" t="s">
        <v>3771</v>
      </c>
      <c r="N48" s="28" t="s">
        <v>3767</v>
      </c>
    </row>
    <row r="49" spans="1:14" x14ac:dyDescent="0.2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35" t="s">
        <v>980</v>
      </c>
      <c r="G49" s="28" t="s">
        <v>1522</v>
      </c>
      <c r="H49" s="28" t="s">
        <v>1520</v>
      </c>
      <c r="I49" s="28" t="s">
        <v>3772</v>
      </c>
      <c r="J49" s="28" t="s">
        <v>3773</v>
      </c>
      <c r="K49" s="28" t="s">
        <v>3774</v>
      </c>
      <c r="L49" s="28" t="s">
        <v>3775</v>
      </c>
      <c r="M49" s="28" t="s">
        <v>3661</v>
      </c>
      <c r="N49" s="28" t="s">
        <v>3662</v>
      </c>
    </row>
    <row r="50" spans="1:14" x14ac:dyDescent="0.25">
      <c r="A50" t="s">
        <v>28</v>
      </c>
      <c r="B50" t="s">
        <v>71</v>
      </c>
      <c r="C50">
        <v>2132</v>
      </c>
      <c r="D50">
        <v>4</v>
      </c>
      <c r="E50" t="s">
        <v>967</v>
      </c>
      <c r="F50" s="35" t="s">
        <v>981</v>
      </c>
      <c r="G50" s="28" t="s">
        <v>1528</v>
      </c>
      <c r="H50" s="28" t="s">
        <v>1525</v>
      </c>
      <c r="I50" s="28" t="s">
        <v>3776</v>
      </c>
      <c r="J50" s="28" t="s">
        <v>3777</v>
      </c>
      <c r="K50" s="28" t="s">
        <v>3778</v>
      </c>
      <c r="L50" s="28" t="s">
        <v>3779</v>
      </c>
      <c r="M50" s="28" t="s">
        <v>3671</v>
      </c>
      <c r="N50" s="28" t="s">
        <v>3668</v>
      </c>
    </row>
    <row r="51" spans="1:14" x14ac:dyDescent="0.2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35" t="s">
        <v>981</v>
      </c>
      <c r="G51" s="28" t="s">
        <v>1524</v>
      </c>
      <c r="H51" s="28" t="s">
        <v>1525</v>
      </c>
      <c r="I51" s="28" t="s">
        <v>3780</v>
      </c>
      <c r="J51" s="28" t="s">
        <v>3777</v>
      </c>
      <c r="K51" s="28" t="s">
        <v>3781</v>
      </c>
      <c r="L51" s="28" t="s">
        <v>3779</v>
      </c>
      <c r="M51" s="28" t="s">
        <v>3674</v>
      </c>
      <c r="N51" s="28" t="s">
        <v>3668</v>
      </c>
    </row>
    <row r="52" spans="1:14" x14ac:dyDescent="0.25">
      <c r="A52" t="s">
        <v>28</v>
      </c>
      <c r="B52" t="s">
        <v>58</v>
      </c>
      <c r="C52">
        <v>2119</v>
      </c>
      <c r="D52">
        <v>2</v>
      </c>
      <c r="E52" t="s">
        <v>967</v>
      </c>
      <c r="F52" s="35" t="s">
        <v>978</v>
      </c>
      <c r="G52" s="28" t="s">
        <v>1529</v>
      </c>
      <c r="H52" s="28" t="s">
        <v>1515</v>
      </c>
      <c r="I52" s="28" t="s">
        <v>3782</v>
      </c>
      <c r="J52" s="28" t="s">
        <v>3783</v>
      </c>
      <c r="K52" s="28" t="s">
        <v>3784</v>
      </c>
      <c r="L52" s="28" t="s">
        <v>3785</v>
      </c>
      <c r="M52" s="28" t="s">
        <v>3743</v>
      </c>
      <c r="N52" s="28" t="s">
        <v>3744</v>
      </c>
    </row>
    <row r="53" spans="1:14" x14ac:dyDescent="0.2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35" t="s">
        <v>978</v>
      </c>
      <c r="G53" s="28" t="s">
        <v>1516</v>
      </c>
      <c r="H53" s="28" t="s">
        <v>1515</v>
      </c>
      <c r="I53" s="28" t="s">
        <v>3786</v>
      </c>
      <c r="J53" s="28" t="s">
        <v>3783</v>
      </c>
      <c r="K53" s="28" t="s">
        <v>3787</v>
      </c>
      <c r="L53" s="28" t="s">
        <v>3785</v>
      </c>
      <c r="M53" s="28" t="s">
        <v>3788</v>
      </c>
      <c r="N53" s="28" t="s">
        <v>3744</v>
      </c>
    </row>
    <row r="54" spans="1:14" x14ac:dyDescent="0.2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35" t="s">
        <v>978</v>
      </c>
      <c r="G54" s="28" t="s">
        <v>1531</v>
      </c>
      <c r="H54" s="28" t="s">
        <v>1515</v>
      </c>
      <c r="I54" s="28" t="s">
        <v>3789</v>
      </c>
      <c r="J54" s="28" t="s">
        <v>3783</v>
      </c>
      <c r="K54" s="28" t="s">
        <v>3790</v>
      </c>
      <c r="L54" s="28" t="s">
        <v>3785</v>
      </c>
      <c r="M54" s="28" t="s">
        <v>3748</v>
      </c>
      <c r="N54" s="28" t="s">
        <v>3744</v>
      </c>
    </row>
    <row r="55" spans="1:14" x14ac:dyDescent="0.2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35" t="s">
        <v>979</v>
      </c>
      <c r="G55" s="28" t="s">
        <v>1533</v>
      </c>
      <c r="H55" s="28" t="s">
        <v>1518</v>
      </c>
      <c r="I55" s="28" t="s">
        <v>3791</v>
      </c>
      <c r="J55" s="28" t="s">
        <v>3792</v>
      </c>
      <c r="K55" s="28" t="s">
        <v>3793</v>
      </c>
      <c r="L55" s="28" t="s">
        <v>3794</v>
      </c>
      <c r="M55" s="28" t="s">
        <v>3755</v>
      </c>
      <c r="N55" s="28" t="s">
        <v>3752</v>
      </c>
    </row>
    <row r="56" spans="1:14" x14ac:dyDescent="0.2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35" t="s">
        <v>979</v>
      </c>
      <c r="G56" s="28" t="s">
        <v>1534</v>
      </c>
      <c r="H56" s="28" t="s">
        <v>1518</v>
      </c>
      <c r="I56" s="28" t="s">
        <v>3795</v>
      </c>
      <c r="J56" s="28" t="s">
        <v>3792</v>
      </c>
      <c r="K56" s="28" t="s">
        <v>3796</v>
      </c>
      <c r="L56" s="28" t="s">
        <v>3794</v>
      </c>
      <c r="M56" s="28" t="s">
        <v>3797</v>
      </c>
      <c r="N56" s="28" t="s">
        <v>3752</v>
      </c>
    </row>
    <row r="57" spans="1:14" x14ac:dyDescent="0.2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35" t="s">
        <v>979</v>
      </c>
      <c r="G57" s="28" t="s">
        <v>1526</v>
      </c>
      <c r="H57" s="28" t="s">
        <v>1518</v>
      </c>
      <c r="I57" s="28" t="s">
        <v>3798</v>
      </c>
      <c r="J57" s="28" t="s">
        <v>3792</v>
      </c>
      <c r="K57" s="28" t="s">
        <v>3799</v>
      </c>
      <c r="L57" s="28" t="s">
        <v>3794</v>
      </c>
      <c r="M57" s="28" t="s">
        <v>3800</v>
      </c>
      <c r="N57" s="28" t="s">
        <v>3752</v>
      </c>
    </row>
    <row r="58" spans="1:14" x14ac:dyDescent="0.2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35" t="s">
        <v>981</v>
      </c>
      <c r="G58" s="28" t="s">
        <v>1528</v>
      </c>
      <c r="H58" s="28" t="s">
        <v>1525</v>
      </c>
      <c r="I58" s="28" t="s">
        <v>3776</v>
      </c>
      <c r="J58" s="28" t="s">
        <v>3777</v>
      </c>
      <c r="K58" s="28" t="s">
        <v>3801</v>
      </c>
      <c r="L58" s="28" t="s">
        <v>3802</v>
      </c>
      <c r="M58" s="28" t="s">
        <v>3769</v>
      </c>
      <c r="N58" s="28" t="s">
        <v>3767</v>
      </c>
    </row>
    <row r="59" spans="1:14" x14ac:dyDescent="0.2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35" t="s">
        <v>981</v>
      </c>
      <c r="G59" s="28" t="s">
        <v>1524</v>
      </c>
      <c r="H59" s="28" t="s">
        <v>1525</v>
      </c>
      <c r="I59" s="28" t="s">
        <v>3780</v>
      </c>
      <c r="J59" s="28" t="s">
        <v>3777</v>
      </c>
      <c r="K59" s="28" t="s">
        <v>3803</v>
      </c>
      <c r="L59" s="28" t="s">
        <v>3802</v>
      </c>
      <c r="M59" s="28" t="s">
        <v>3771</v>
      </c>
      <c r="N59" s="28" t="s">
        <v>3767</v>
      </c>
    </row>
    <row r="60" spans="1:14" x14ac:dyDescent="0.25">
      <c r="A60" t="s">
        <v>28</v>
      </c>
      <c r="B60" t="s">
        <v>69</v>
      </c>
      <c r="C60">
        <v>2119</v>
      </c>
      <c r="D60">
        <v>2</v>
      </c>
      <c r="E60" t="s">
        <v>967</v>
      </c>
      <c r="F60" s="35" t="s">
        <v>978</v>
      </c>
      <c r="G60" s="28" t="s">
        <v>1529</v>
      </c>
      <c r="H60" s="28" t="s">
        <v>1515</v>
      </c>
      <c r="I60" s="28" t="s">
        <v>3782</v>
      </c>
      <c r="J60" s="28" t="s">
        <v>3783</v>
      </c>
      <c r="K60" s="28" t="s">
        <v>3804</v>
      </c>
      <c r="L60" s="28" t="s">
        <v>3805</v>
      </c>
      <c r="M60" s="28" t="s">
        <v>3679</v>
      </c>
      <c r="N60" s="28" t="s">
        <v>3680</v>
      </c>
    </row>
    <row r="61" spans="1:14" x14ac:dyDescent="0.2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35" t="s">
        <v>978</v>
      </c>
      <c r="G61" s="28" t="s">
        <v>1516</v>
      </c>
      <c r="H61" s="28" t="s">
        <v>1515</v>
      </c>
      <c r="I61" s="28" t="s">
        <v>3786</v>
      </c>
      <c r="J61" s="28" t="s">
        <v>3783</v>
      </c>
      <c r="K61" s="28" t="s">
        <v>3806</v>
      </c>
      <c r="L61" s="28" t="s">
        <v>3805</v>
      </c>
      <c r="M61" s="28" t="s">
        <v>3807</v>
      </c>
      <c r="N61" s="28" t="s">
        <v>3680</v>
      </c>
    </row>
    <row r="62" spans="1:14" x14ac:dyDescent="0.2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35" t="s">
        <v>978</v>
      </c>
      <c r="G62" s="28" t="s">
        <v>1531</v>
      </c>
      <c r="H62" s="28" t="s">
        <v>1515</v>
      </c>
      <c r="I62" s="28" t="s">
        <v>3789</v>
      </c>
      <c r="J62" s="28" t="s">
        <v>3783</v>
      </c>
      <c r="K62" s="28" t="s">
        <v>3808</v>
      </c>
      <c r="L62" s="28" t="s">
        <v>3805</v>
      </c>
      <c r="M62" s="28" t="s">
        <v>3686</v>
      </c>
      <c r="N62" s="28" t="s">
        <v>3680</v>
      </c>
    </row>
    <row r="63" spans="1:14" x14ac:dyDescent="0.2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35" t="s">
        <v>979</v>
      </c>
      <c r="G63" s="28" t="s">
        <v>1517</v>
      </c>
      <c r="H63" s="28" t="s">
        <v>1518</v>
      </c>
      <c r="I63" s="28" t="s">
        <v>3809</v>
      </c>
      <c r="J63" s="28" t="s">
        <v>3792</v>
      </c>
      <c r="K63" s="28" t="s">
        <v>3810</v>
      </c>
      <c r="L63" s="28" t="s">
        <v>3811</v>
      </c>
      <c r="M63" s="28" t="s">
        <v>3691</v>
      </c>
      <c r="N63" s="28" t="s">
        <v>3692</v>
      </c>
    </row>
    <row r="64" spans="1:14" x14ac:dyDescent="0.2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35" t="s">
        <v>979</v>
      </c>
      <c r="G64" s="28" t="s">
        <v>1533</v>
      </c>
      <c r="H64" s="28" t="s">
        <v>1518</v>
      </c>
      <c r="I64" s="28" t="s">
        <v>3791</v>
      </c>
      <c r="J64" s="28" t="s">
        <v>3792</v>
      </c>
      <c r="K64" s="28" t="s">
        <v>3812</v>
      </c>
      <c r="L64" s="28" t="s">
        <v>3811</v>
      </c>
      <c r="M64" s="28" t="s">
        <v>3813</v>
      </c>
      <c r="N64" s="28" t="s">
        <v>3692</v>
      </c>
    </row>
    <row r="65" spans="1:14" x14ac:dyDescent="0.2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35" t="s">
        <v>979</v>
      </c>
      <c r="G65" s="28" t="s">
        <v>1534</v>
      </c>
      <c r="H65" s="28" t="s">
        <v>1518</v>
      </c>
      <c r="I65" s="28" t="s">
        <v>3795</v>
      </c>
      <c r="J65" s="28" t="s">
        <v>3792</v>
      </c>
      <c r="K65" s="28" t="s">
        <v>3814</v>
      </c>
      <c r="L65" s="28" t="s">
        <v>3811</v>
      </c>
      <c r="M65" s="28" t="s">
        <v>3815</v>
      </c>
      <c r="N65" s="28" t="s">
        <v>3692</v>
      </c>
    </row>
    <row r="66" spans="1:14" x14ac:dyDescent="0.2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35" t="s">
        <v>980</v>
      </c>
      <c r="G66" s="28" t="s">
        <v>1521</v>
      </c>
      <c r="H66" s="28" t="s">
        <v>1520</v>
      </c>
      <c r="I66" s="28" t="s">
        <v>3816</v>
      </c>
      <c r="J66" s="28" t="s">
        <v>3773</v>
      </c>
      <c r="K66" s="28" t="s">
        <v>3817</v>
      </c>
      <c r="L66" s="28" t="s">
        <v>3818</v>
      </c>
      <c r="M66" s="28" t="s">
        <v>3696</v>
      </c>
      <c r="N66" s="28" t="s">
        <v>3697</v>
      </c>
    </row>
    <row r="67" spans="1:14" x14ac:dyDescent="0.2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35" t="s">
        <v>980</v>
      </c>
      <c r="G67" s="28" t="s">
        <v>1522</v>
      </c>
      <c r="H67" s="28" t="s">
        <v>1520</v>
      </c>
      <c r="I67" s="28" t="s">
        <v>3772</v>
      </c>
      <c r="J67" s="28" t="s">
        <v>3773</v>
      </c>
      <c r="K67" s="28" t="s">
        <v>3819</v>
      </c>
      <c r="L67" s="28" t="s">
        <v>3818</v>
      </c>
      <c r="M67" s="28" t="s">
        <v>3820</v>
      </c>
      <c r="N67" s="28" t="s">
        <v>3697</v>
      </c>
    </row>
    <row r="68" spans="1:14" x14ac:dyDescent="0.2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35" t="s">
        <v>981</v>
      </c>
      <c r="G68" s="28" t="s">
        <v>1528</v>
      </c>
      <c r="H68" s="28" t="s">
        <v>1525</v>
      </c>
      <c r="I68" s="28" t="s">
        <v>3776</v>
      </c>
      <c r="J68" s="28" t="s">
        <v>3777</v>
      </c>
      <c r="K68" s="28" t="s">
        <v>3821</v>
      </c>
      <c r="L68" s="28" t="s">
        <v>3822</v>
      </c>
      <c r="M68" s="28" t="s">
        <v>3823</v>
      </c>
      <c r="N68" s="28" t="s">
        <v>3704</v>
      </c>
    </row>
    <row r="69" spans="1:14" x14ac:dyDescent="0.2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35" t="s">
        <v>981</v>
      </c>
      <c r="G69" s="28" t="s">
        <v>1524</v>
      </c>
      <c r="H69" s="28" t="s">
        <v>1525</v>
      </c>
      <c r="I69" s="28" t="s">
        <v>3780</v>
      </c>
      <c r="J69" s="28" t="s">
        <v>3777</v>
      </c>
      <c r="K69" s="28" t="s">
        <v>3824</v>
      </c>
      <c r="L69" s="28" t="s">
        <v>3822</v>
      </c>
      <c r="M69" s="28" t="s">
        <v>3703</v>
      </c>
      <c r="N69" s="28" t="s">
        <v>3704</v>
      </c>
    </row>
    <row r="70" spans="1:14" x14ac:dyDescent="0.25">
      <c r="A70" t="s">
        <v>28</v>
      </c>
      <c r="B70" t="s">
        <v>54</v>
      </c>
      <c r="C70">
        <v>2108</v>
      </c>
      <c r="D70">
        <v>2</v>
      </c>
      <c r="E70" t="s">
        <v>967</v>
      </c>
      <c r="F70" s="35" t="s">
        <v>982</v>
      </c>
      <c r="G70" s="28" t="s">
        <v>1535</v>
      </c>
      <c r="H70" s="28" t="s">
        <v>1536</v>
      </c>
      <c r="I70" s="28" t="s">
        <v>3825</v>
      </c>
      <c r="J70" s="28" t="s">
        <v>3826</v>
      </c>
      <c r="K70" s="28" t="s">
        <v>3827</v>
      </c>
      <c r="L70" s="28" t="s">
        <v>3828</v>
      </c>
      <c r="M70" s="28" t="s">
        <v>3829</v>
      </c>
      <c r="N70" s="28" t="s">
        <v>3830</v>
      </c>
    </row>
    <row r="71" spans="1:14" x14ac:dyDescent="0.2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35" t="s">
        <v>976</v>
      </c>
      <c r="G71" s="28" t="s">
        <v>1537</v>
      </c>
      <c r="H71" s="28" t="s">
        <v>1509</v>
      </c>
      <c r="I71" s="28" t="s">
        <v>3831</v>
      </c>
      <c r="J71" s="28" t="s">
        <v>3832</v>
      </c>
      <c r="K71" s="28" t="s">
        <v>3833</v>
      </c>
      <c r="L71" s="28" t="s">
        <v>3834</v>
      </c>
      <c r="M71" s="28" t="s">
        <v>3835</v>
      </c>
      <c r="N71" s="28" t="s">
        <v>3595</v>
      </c>
    </row>
    <row r="72" spans="1:14" x14ac:dyDescent="0.2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35" t="s">
        <v>976</v>
      </c>
      <c r="G72" s="28" t="s">
        <v>1538</v>
      </c>
      <c r="H72" s="28" t="s">
        <v>1509</v>
      </c>
      <c r="I72" s="28" t="s">
        <v>3836</v>
      </c>
      <c r="J72" s="28" t="s">
        <v>3832</v>
      </c>
      <c r="K72" s="28" t="s">
        <v>3837</v>
      </c>
      <c r="L72" s="28" t="s">
        <v>3834</v>
      </c>
      <c r="M72" s="28" t="s">
        <v>3838</v>
      </c>
      <c r="N72" s="28" t="s">
        <v>3595</v>
      </c>
    </row>
    <row r="73" spans="1:14" x14ac:dyDescent="0.2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35" t="s">
        <v>976</v>
      </c>
      <c r="G73" s="28" t="s">
        <v>1508</v>
      </c>
      <c r="H73" s="28" t="s">
        <v>1509</v>
      </c>
      <c r="I73" s="28" t="s">
        <v>3839</v>
      </c>
      <c r="J73" s="28" t="s">
        <v>3832</v>
      </c>
      <c r="K73" s="28" t="s">
        <v>3840</v>
      </c>
      <c r="L73" s="28" t="s">
        <v>3834</v>
      </c>
      <c r="M73" s="28" t="s">
        <v>3594</v>
      </c>
      <c r="N73" s="28" t="s">
        <v>3595</v>
      </c>
    </row>
    <row r="74" spans="1:14" x14ac:dyDescent="0.2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35" t="s">
        <v>976</v>
      </c>
      <c r="G74" s="28" t="s">
        <v>1510</v>
      </c>
      <c r="H74" s="28" t="s">
        <v>1509</v>
      </c>
      <c r="I74" s="28" t="s">
        <v>3841</v>
      </c>
      <c r="J74" s="28" t="s">
        <v>3832</v>
      </c>
      <c r="K74" s="28" t="s">
        <v>3842</v>
      </c>
      <c r="L74" s="28" t="s">
        <v>3834</v>
      </c>
      <c r="M74" s="28" t="s">
        <v>3598</v>
      </c>
      <c r="N74" s="28" t="s">
        <v>3595</v>
      </c>
    </row>
    <row r="75" spans="1:14" x14ac:dyDescent="0.2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35" t="s">
        <v>977</v>
      </c>
      <c r="G75" s="28" t="s">
        <v>1511</v>
      </c>
      <c r="H75" s="28" t="s">
        <v>1512</v>
      </c>
      <c r="I75" s="28" t="s">
        <v>3843</v>
      </c>
      <c r="J75" s="28" t="s">
        <v>3844</v>
      </c>
      <c r="K75" s="28" t="s">
        <v>3845</v>
      </c>
      <c r="L75" s="28" t="s">
        <v>3846</v>
      </c>
      <c r="M75" s="28" t="s">
        <v>3603</v>
      </c>
      <c r="N75" s="28" t="s">
        <v>3604</v>
      </c>
    </row>
    <row r="76" spans="1:14" x14ac:dyDescent="0.2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35" t="s">
        <v>977</v>
      </c>
      <c r="G76" s="28" t="s">
        <v>1532</v>
      </c>
      <c r="H76" s="28" t="s">
        <v>1512</v>
      </c>
      <c r="I76" s="28" t="s">
        <v>3847</v>
      </c>
      <c r="J76" s="28" t="s">
        <v>3844</v>
      </c>
      <c r="K76" s="28" t="s">
        <v>3848</v>
      </c>
      <c r="L76" s="28" t="s">
        <v>3846</v>
      </c>
      <c r="M76" s="28" t="s">
        <v>3849</v>
      </c>
      <c r="N76" s="28" t="s">
        <v>3604</v>
      </c>
    </row>
    <row r="77" spans="1:14" x14ac:dyDescent="0.2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35" t="s">
        <v>977</v>
      </c>
      <c r="G77" s="28" t="s">
        <v>1513</v>
      </c>
      <c r="H77" s="28" t="s">
        <v>1512</v>
      </c>
      <c r="I77" s="28" t="s">
        <v>3850</v>
      </c>
      <c r="J77" s="28" t="s">
        <v>3844</v>
      </c>
      <c r="K77" s="28" t="s">
        <v>3851</v>
      </c>
      <c r="L77" s="28" t="s">
        <v>3846</v>
      </c>
      <c r="M77" s="28" t="s">
        <v>3607</v>
      </c>
      <c r="N77" s="28" t="s">
        <v>3604</v>
      </c>
    </row>
    <row r="78" spans="1:14" x14ac:dyDescent="0.2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35" t="s">
        <v>977</v>
      </c>
      <c r="G78" s="28" t="s">
        <v>1539</v>
      </c>
      <c r="H78" s="28" t="s">
        <v>1512</v>
      </c>
      <c r="I78" s="28" t="s">
        <v>3852</v>
      </c>
      <c r="J78" s="28" t="s">
        <v>3844</v>
      </c>
      <c r="K78" s="28" t="s">
        <v>3853</v>
      </c>
      <c r="L78" s="28" t="s">
        <v>3846</v>
      </c>
      <c r="M78" s="28" t="s">
        <v>3854</v>
      </c>
      <c r="N78" s="28" t="s">
        <v>3604</v>
      </c>
    </row>
    <row r="79" spans="1:14" x14ac:dyDescent="0.2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35" t="s">
        <v>978</v>
      </c>
      <c r="G79" s="28" t="s">
        <v>1514</v>
      </c>
      <c r="H79" s="28" t="s">
        <v>1515</v>
      </c>
      <c r="I79" s="28" t="s">
        <v>3855</v>
      </c>
      <c r="J79" s="28" t="s">
        <v>3783</v>
      </c>
      <c r="K79" s="28" t="s">
        <v>3856</v>
      </c>
      <c r="L79" s="28" t="s">
        <v>3857</v>
      </c>
      <c r="M79" s="28" t="s">
        <v>3612</v>
      </c>
      <c r="N79" s="28" t="s">
        <v>3613</v>
      </c>
    </row>
    <row r="80" spans="1:14" x14ac:dyDescent="0.2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35" t="s">
        <v>978</v>
      </c>
      <c r="G80" s="28" t="s">
        <v>1529</v>
      </c>
      <c r="H80" s="28" t="s">
        <v>1515</v>
      </c>
      <c r="I80" s="28" t="s">
        <v>3782</v>
      </c>
      <c r="J80" s="28" t="s">
        <v>3783</v>
      </c>
      <c r="K80" s="28" t="s">
        <v>3858</v>
      </c>
      <c r="L80" s="28" t="s">
        <v>3857</v>
      </c>
      <c r="M80" s="28" t="s">
        <v>3859</v>
      </c>
      <c r="N80" s="28" t="s">
        <v>3613</v>
      </c>
    </row>
    <row r="81" spans="1:14" x14ac:dyDescent="0.2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35" t="s">
        <v>978</v>
      </c>
      <c r="G81" s="28" t="s">
        <v>1516</v>
      </c>
      <c r="H81" s="28" t="s">
        <v>1515</v>
      </c>
      <c r="I81" s="28" t="s">
        <v>3786</v>
      </c>
      <c r="J81" s="28" t="s">
        <v>3783</v>
      </c>
      <c r="K81" s="28" t="s">
        <v>3860</v>
      </c>
      <c r="L81" s="28" t="s">
        <v>3857</v>
      </c>
      <c r="M81" s="28" t="s">
        <v>3616</v>
      </c>
      <c r="N81" s="28" t="s">
        <v>3613</v>
      </c>
    </row>
    <row r="82" spans="1:14" x14ac:dyDescent="0.2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35" t="s">
        <v>978</v>
      </c>
      <c r="G82" s="28" t="s">
        <v>1530</v>
      </c>
      <c r="H82" s="28" t="s">
        <v>1515</v>
      </c>
      <c r="I82" s="28" t="s">
        <v>3861</v>
      </c>
      <c r="J82" s="28" t="s">
        <v>3783</v>
      </c>
      <c r="K82" s="28" t="s">
        <v>3862</v>
      </c>
      <c r="L82" s="28" t="s">
        <v>3857</v>
      </c>
      <c r="M82" s="28" t="s">
        <v>3863</v>
      </c>
      <c r="N82" s="28" t="s">
        <v>3613</v>
      </c>
    </row>
    <row r="83" spans="1:14" x14ac:dyDescent="0.2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35" t="s">
        <v>978</v>
      </c>
      <c r="G83" s="28" t="s">
        <v>1531</v>
      </c>
      <c r="H83" s="28" t="s">
        <v>1515</v>
      </c>
      <c r="I83" s="28" t="s">
        <v>3789</v>
      </c>
      <c r="J83" s="28" t="s">
        <v>3783</v>
      </c>
      <c r="K83" s="28" t="s">
        <v>3864</v>
      </c>
      <c r="L83" s="28" t="s">
        <v>3857</v>
      </c>
      <c r="M83" s="28" t="s">
        <v>3865</v>
      </c>
      <c r="N83" s="28" t="s">
        <v>3613</v>
      </c>
    </row>
    <row r="84" spans="1:14" x14ac:dyDescent="0.2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35" t="s">
        <v>979</v>
      </c>
      <c r="G84" s="28" t="s">
        <v>1517</v>
      </c>
      <c r="H84" s="28" t="s">
        <v>1518</v>
      </c>
      <c r="I84" s="28" t="s">
        <v>3809</v>
      </c>
      <c r="J84" s="28" t="s">
        <v>3792</v>
      </c>
      <c r="K84" s="28" t="s">
        <v>3866</v>
      </c>
      <c r="L84" s="28" t="s">
        <v>3867</v>
      </c>
      <c r="M84" s="28" t="s">
        <v>3621</v>
      </c>
      <c r="N84" s="28" t="s">
        <v>3622</v>
      </c>
    </row>
    <row r="85" spans="1:14" x14ac:dyDescent="0.2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35" t="s">
        <v>979</v>
      </c>
      <c r="G85" s="28" t="s">
        <v>1533</v>
      </c>
      <c r="H85" s="28" t="s">
        <v>1518</v>
      </c>
      <c r="I85" s="28" t="s">
        <v>3791</v>
      </c>
      <c r="J85" s="28" t="s">
        <v>3792</v>
      </c>
      <c r="K85" s="28" t="s">
        <v>3868</v>
      </c>
      <c r="L85" s="28" t="s">
        <v>3867</v>
      </c>
      <c r="M85" s="28" t="s">
        <v>3869</v>
      </c>
      <c r="N85" s="28" t="s">
        <v>3622</v>
      </c>
    </row>
    <row r="86" spans="1:14" x14ac:dyDescent="0.2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35" t="s">
        <v>979</v>
      </c>
      <c r="G86" s="28" t="s">
        <v>1534</v>
      </c>
      <c r="H86" s="28" t="s">
        <v>1518</v>
      </c>
      <c r="I86" s="28" t="s">
        <v>3795</v>
      </c>
      <c r="J86" s="28" t="s">
        <v>3792</v>
      </c>
      <c r="K86" s="28" t="s">
        <v>3870</v>
      </c>
      <c r="L86" s="28" t="s">
        <v>3867</v>
      </c>
      <c r="M86" s="28" t="s">
        <v>3871</v>
      </c>
      <c r="N86" s="28" t="s">
        <v>3622</v>
      </c>
    </row>
    <row r="87" spans="1:14" x14ac:dyDescent="0.2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35" t="s">
        <v>979</v>
      </c>
      <c r="G87" s="28" t="s">
        <v>1526</v>
      </c>
      <c r="H87" s="28" t="s">
        <v>1518</v>
      </c>
      <c r="I87" s="28" t="s">
        <v>3798</v>
      </c>
      <c r="J87" s="28" t="s">
        <v>3792</v>
      </c>
      <c r="K87" s="28" t="s">
        <v>3872</v>
      </c>
      <c r="L87" s="28" t="s">
        <v>3867</v>
      </c>
      <c r="M87" s="28" t="s">
        <v>3873</v>
      </c>
      <c r="N87" s="28" t="s">
        <v>3622</v>
      </c>
    </row>
    <row r="88" spans="1:14" x14ac:dyDescent="0.2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35" t="s">
        <v>980</v>
      </c>
      <c r="G88" s="28" t="s">
        <v>1519</v>
      </c>
      <c r="H88" s="28" t="s">
        <v>1520</v>
      </c>
      <c r="I88" s="28" t="s">
        <v>3874</v>
      </c>
      <c r="J88" s="28" t="s">
        <v>3773</v>
      </c>
      <c r="K88" s="28" t="s">
        <v>3875</v>
      </c>
      <c r="L88" s="28" t="s">
        <v>3876</v>
      </c>
      <c r="M88" s="28" t="s">
        <v>3627</v>
      </c>
      <c r="N88" s="28" t="s">
        <v>3628</v>
      </c>
    </row>
    <row r="89" spans="1:14" x14ac:dyDescent="0.2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35" t="s">
        <v>980</v>
      </c>
      <c r="G89" s="28" t="s">
        <v>1521</v>
      </c>
      <c r="H89" s="28" t="s">
        <v>1520</v>
      </c>
      <c r="I89" s="28" t="s">
        <v>3816</v>
      </c>
      <c r="J89" s="28" t="s">
        <v>3773</v>
      </c>
      <c r="K89" s="28" t="s">
        <v>3877</v>
      </c>
      <c r="L89" s="28" t="s">
        <v>3876</v>
      </c>
      <c r="M89" s="28" t="s">
        <v>3631</v>
      </c>
      <c r="N89" s="28" t="s">
        <v>3628</v>
      </c>
    </row>
    <row r="90" spans="1:14" x14ac:dyDescent="0.2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35" t="s">
        <v>980</v>
      </c>
      <c r="G90" s="28" t="s">
        <v>1522</v>
      </c>
      <c r="H90" s="28" t="s">
        <v>1520</v>
      </c>
      <c r="I90" s="28" t="s">
        <v>3772</v>
      </c>
      <c r="J90" s="28" t="s">
        <v>3773</v>
      </c>
      <c r="K90" s="28" t="s">
        <v>3878</v>
      </c>
      <c r="L90" s="28" t="s">
        <v>3876</v>
      </c>
      <c r="M90" s="28" t="s">
        <v>3634</v>
      </c>
      <c r="N90" s="28" t="s">
        <v>3628</v>
      </c>
    </row>
    <row r="91" spans="1:14" x14ac:dyDescent="0.2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35" t="s">
        <v>981</v>
      </c>
      <c r="G91" s="28" t="s">
        <v>1528</v>
      </c>
      <c r="H91" s="28" t="s">
        <v>1525</v>
      </c>
      <c r="I91" s="28" t="s">
        <v>3776</v>
      </c>
      <c r="J91" s="28" t="s">
        <v>3777</v>
      </c>
      <c r="K91" s="28" t="s">
        <v>3879</v>
      </c>
      <c r="L91" s="28" t="s">
        <v>3880</v>
      </c>
      <c r="M91" s="28" t="s">
        <v>3881</v>
      </c>
      <c r="N91" s="28" t="s">
        <v>3643</v>
      </c>
    </row>
    <row r="92" spans="1:14" x14ac:dyDescent="0.2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35" t="s">
        <v>981</v>
      </c>
      <c r="G92" s="28" t="s">
        <v>1524</v>
      </c>
      <c r="H92" s="28" t="s">
        <v>1525</v>
      </c>
      <c r="I92" s="28" t="s">
        <v>3780</v>
      </c>
      <c r="J92" s="28" t="s">
        <v>3777</v>
      </c>
      <c r="K92" s="28" t="s">
        <v>3882</v>
      </c>
      <c r="L92" s="28" t="s">
        <v>3880</v>
      </c>
      <c r="M92" s="28" t="s">
        <v>3642</v>
      </c>
      <c r="N92" s="28" t="s">
        <v>3643</v>
      </c>
    </row>
    <row r="93" spans="1:14" x14ac:dyDescent="0.25">
      <c r="A93" t="s">
        <v>28</v>
      </c>
      <c r="B93" t="s">
        <v>56</v>
      </c>
      <c r="C93">
        <v>2115</v>
      </c>
      <c r="D93">
        <v>1</v>
      </c>
      <c r="E93" t="s">
        <v>967</v>
      </c>
      <c r="F93" s="35" t="s">
        <v>977</v>
      </c>
      <c r="G93" s="28" t="s">
        <v>1532</v>
      </c>
      <c r="H93" s="28" t="s">
        <v>1512</v>
      </c>
      <c r="I93" s="28" t="s">
        <v>3847</v>
      </c>
      <c r="J93" s="28" t="s">
        <v>3844</v>
      </c>
      <c r="K93" s="28" t="s">
        <v>3883</v>
      </c>
      <c r="L93" s="28" t="s">
        <v>3884</v>
      </c>
      <c r="M93" s="28" t="s">
        <v>3709</v>
      </c>
      <c r="N93" s="28" t="s">
        <v>3710</v>
      </c>
    </row>
    <row r="94" spans="1:14" x14ac:dyDescent="0.2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35" t="s">
        <v>977</v>
      </c>
      <c r="G94" s="28" t="s">
        <v>1513</v>
      </c>
      <c r="H94" s="28" t="s">
        <v>1512</v>
      </c>
      <c r="I94" s="28" t="s">
        <v>3850</v>
      </c>
      <c r="J94" s="28" t="s">
        <v>3844</v>
      </c>
      <c r="K94" s="28" t="s">
        <v>3885</v>
      </c>
      <c r="L94" s="28" t="s">
        <v>3884</v>
      </c>
      <c r="M94" s="28" t="s">
        <v>3886</v>
      </c>
      <c r="N94" s="28" t="s">
        <v>3710</v>
      </c>
    </row>
    <row r="95" spans="1:14" x14ac:dyDescent="0.2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35" t="s">
        <v>979</v>
      </c>
      <c r="G95" s="28" t="s">
        <v>1533</v>
      </c>
      <c r="H95" s="28" t="s">
        <v>1518</v>
      </c>
      <c r="I95" s="28" t="s">
        <v>3791</v>
      </c>
      <c r="J95" s="28" t="s">
        <v>3792</v>
      </c>
      <c r="K95" s="28" t="s">
        <v>3887</v>
      </c>
      <c r="L95" s="28" t="s">
        <v>3888</v>
      </c>
      <c r="M95" s="28" t="s">
        <v>3889</v>
      </c>
      <c r="N95" s="28" t="s">
        <v>3890</v>
      </c>
    </row>
    <row r="96" spans="1:14" x14ac:dyDescent="0.2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35" t="s">
        <v>979</v>
      </c>
      <c r="G96" s="28" t="s">
        <v>1526</v>
      </c>
      <c r="H96" s="28" t="s">
        <v>1518</v>
      </c>
      <c r="I96" s="28" t="s">
        <v>3798</v>
      </c>
      <c r="J96" s="28" t="s">
        <v>3792</v>
      </c>
      <c r="K96" s="28" t="s">
        <v>3891</v>
      </c>
      <c r="L96" s="28" t="s">
        <v>3888</v>
      </c>
      <c r="M96" s="28" t="s">
        <v>3892</v>
      </c>
      <c r="N96" s="28" t="s">
        <v>3890</v>
      </c>
    </row>
    <row r="97" spans="1:14" x14ac:dyDescent="0.2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35" t="s">
        <v>980</v>
      </c>
      <c r="G97" s="28" t="s">
        <v>1519</v>
      </c>
      <c r="H97" s="28" t="s">
        <v>1520</v>
      </c>
      <c r="I97" s="28" t="s">
        <v>3874</v>
      </c>
      <c r="J97" s="28" t="s">
        <v>3773</v>
      </c>
      <c r="K97" s="28" t="s">
        <v>3893</v>
      </c>
      <c r="L97" s="28" t="s">
        <v>3894</v>
      </c>
      <c r="M97" s="28" t="s">
        <v>3895</v>
      </c>
      <c r="N97" s="28" t="s">
        <v>3718</v>
      </c>
    </row>
    <row r="98" spans="1:14" x14ac:dyDescent="0.2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35" t="s">
        <v>980</v>
      </c>
      <c r="G98" s="28" t="s">
        <v>1522</v>
      </c>
      <c r="H98" s="28" t="s">
        <v>1520</v>
      </c>
      <c r="I98" s="28" t="s">
        <v>3772</v>
      </c>
      <c r="J98" s="28" t="s">
        <v>3773</v>
      </c>
      <c r="K98" s="28" t="s">
        <v>3896</v>
      </c>
      <c r="L98" s="28" t="s">
        <v>3894</v>
      </c>
      <c r="M98" s="28" t="s">
        <v>3717</v>
      </c>
      <c r="N98" s="28" t="s">
        <v>3718</v>
      </c>
    </row>
    <row r="99" spans="1:14" x14ac:dyDescent="0.2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35" t="s">
        <v>981</v>
      </c>
      <c r="G99" s="28" t="s">
        <v>1528</v>
      </c>
      <c r="H99" s="28" t="s">
        <v>1525</v>
      </c>
      <c r="I99" s="28" t="s">
        <v>3776</v>
      </c>
      <c r="J99" s="28" t="s">
        <v>3777</v>
      </c>
      <c r="K99" s="28" t="s">
        <v>3897</v>
      </c>
      <c r="L99" s="28" t="s">
        <v>3898</v>
      </c>
      <c r="M99" s="28" t="s">
        <v>3899</v>
      </c>
      <c r="N99" s="28" t="s">
        <v>3724</v>
      </c>
    </row>
    <row r="100" spans="1:14" x14ac:dyDescent="0.2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35" t="s">
        <v>981</v>
      </c>
      <c r="G100" s="28" t="s">
        <v>1524</v>
      </c>
      <c r="H100" s="28" t="s">
        <v>1525</v>
      </c>
      <c r="I100" s="28" t="s">
        <v>3780</v>
      </c>
      <c r="J100" s="28" t="s">
        <v>3777</v>
      </c>
      <c r="K100" s="28" t="s">
        <v>3900</v>
      </c>
      <c r="L100" s="28" t="s">
        <v>3898</v>
      </c>
      <c r="M100" s="28" t="s">
        <v>3723</v>
      </c>
      <c r="N100" s="28" t="s">
        <v>3724</v>
      </c>
    </row>
    <row r="101" spans="1:14" x14ac:dyDescent="0.2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35" t="s">
        <v>977</v>
      </c>
      <c r="G101" s="28" t="s">
        <v>1513</v>
      </c>
      <c r="H101" s="28" t="s">
        <v>1512</v>
      </c>
      <c r="I101" s="28" t="s">
        <v>3850</v>
      </c>
      <c r="J101" s="28" t="s">
        <v>3844</v>
      </c>
      <c r="K101" s="28" t="s">
        <v>3901</v>
      </c>
      <c r="L101" s="28" t="s">
        <v>3902</v>
      </c>
      <c r="M101" s="28" t="s">
        <v>3903</v>
      </c>
      <c r="N101" s="28" t="s">
        <v>3728</v>
      </c>
    </row>
    <row r="102" spans="1:14" x14ac:dyDescent="0.2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35" t="s">
        <v>977</v>
      </c>
      <c r="G102" s="28" t="s">
        <v>1539</v>
      </c>
      <c r="H102" s="28" t="s">
        <v>1512</v>
      </c>
      <c r="I102" s="28" t="s">
        <v>3852</v>
      </c>
      <c r="J102" s="28" t="s">
        <v>3844</v>
      </c>
      <c r="K102" s="28" t="s">
        <v>3904</v>
      </c>
      <c r="L102" s="28" t="s">
        <v>3902</v>
      </c>
      <c r="M102" s="28" t="s">
        <v>3905</v>
      </c>
      <c r="N102" s="28" t="s">
        <v>3728</v>
      </c>
    </row>
    <row r="103" spans="1:14" x14ac:dyDescent="0.2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35" t="s">
        <v>979</v>
      </c>
      <c r="G103" s="28" t="s">
        <v>1533</v>
      </c>
      <c r="H103" s="28" t="s">
        <v>1518</v>
      </c>
      <c r="I103" s="28" t="s">
        <v>3791</v>
      </c>
      <c r="J103" s="28" t="s">
        <v>3792</v>
      </c>
      <c r="K103" s="28" t="s">
        <v>3906</v>
      </c>
      <c r="L103" s="28" t="s">
        <v>3907</v>
      </c>
      <c r="M103" s="28" t="s">
        <v>3908</v>
      </c>
      <c r="N103" s="28" t="s">
        <v>3909</v>
      </c>
    </row>
    <row r="104" spans="1:14" x14ac:dyDescent="0.2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35" t="s">
        <v>979</v>
      </c>
      <c r="G104" s="28" t="s">
        <v>1534</v>
      </c>
      <c r="H104" s="28" t="s">
        <v>1518</v>
      </c>
      <c r="I104" s="28" t="s">
        <v>3795</v>
      </c>
      <c r="J104" s="28" t="s">
        <v>3792</v>
      </c>
      <c r="K104" s="28" t="s">
        <v>3910</v>
      </c>
      <c r="L104" s="28" t="s">
        <v>3907</v>
      </c>
      <c r="M104" s="28" t="s">
        <v>3911</v>
      </c>
      <c r="N104" s="28" t="s">
        <v>3909</v>
      </c>
    </row>
    <row r="105" spans="1:14" x14ac:dyDescent="0.2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35" t="s">
        <v>979</v>
      </c>
      <c r="G105" s="28" t="s">
        <v>1526</v>
      </c>
      <c r="H105" s="28" t="s">
        <v>1518</v>
      </c>
      <c r="I105" s="28" t="s">
        <v>3798</v>
      </c>
      <c r="J105" s="28" t="s">
        <v>3792</v>
      </c>
      <c r="K105" s="28" t="s">
        <v>3912</v>
      </c>
      <c r="L105" s="28" t="s">
        <v>3907</v>
      </c>
      <c r="M105" s="28" t="s">
        <v>3913</v>
      </c>
      <c r="N105" s="28" t="s">
        <v>3909</v>
      </c>
    </row>
    <row r="106" spans="1:14" x14ac:dyDescent="0.2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35" t="s">
        <v>980</v>
      </c>
      <c r="G106" s="28" t="s">
        <v>1522</v>
      </c>
      <c r="H106" s="28" t="s">
        <v>1520</v>
      </c>
      <c r="I106" s="28" t="s">
        <v>3772</v>
      </c>
      <c r="J106" s="28" t="s">
        <v>3773</v>
      </c>
      <c r="K106" s="28" t="s">
        <v>3914</v>
      </c>
      <c r="L106" s="28" t="s">
        <v>3915</v>
      </c>
      <c r="M106" s="28" t="s">
        <v>3916</v>
      </c>
      <c r="N106" s="28" t="s">
        <v>3732</v>
      </c>
    </row>
    <row r="107" spans="1:14" x14ac:dyDescent="0.2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35" t="s">
        <v>981</v>
      </c>
      <c r="G107" s="28" t="s">
        <v>1528</v>
      </c>
      <c r="H107" s="28" t="s">
        <v>1525</v>
      </c>
      <c r="I107" s="28" t="s">
        <v>3776</v>
      </c>
      <c r="J107" s="28" t="s">
        <v>3777</v>
      </c>
      <c r="K107" s="28" t="s">
        <v>3917</v>
      </c>
      <c r="L107" s="28" t="s">
        <v>3918</v>
      </c>
      <c r="M107" s="28" t="s">
        <v>3738</v>
      </c>
      <c r="N107" s="28" t="s">
        <v>3736</v>
      </c>
    </row>
    <row r="108" spans="1:14" x14ac:dyDescent="0.2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35" t="s">
        <v>981</v>
      </c>
      <c r="G108" s="28" t="s">
        <v>1524</v>
      </c>
      <c r="H108" s="28" t="s">
        <v>1525</v>
      </c>
      <c r="I108" s="28" t="s">
        <v>3780</v>
      </c>
      <c r="J108" s="28" t="s">
        <v>3777</v>
      </c>
      <c r="K108" s="28" t="s">
        <v>3919</v>
      </c>
      <c r="L108" s="28" t="s">
        <v>3918</v>
      </c>
      <c r="M108" s="28" t="s">
        <v>3740</v>
      </c>
      <c r="N108" s="28" t="s">
        <v>3736</v>
      </c>
    </row>
    <row r="109" spans="1:14" x14ac:dyDescent="0.2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35" t="s">
        <v>978</v>
      </c>
      <c r="G109" s="28" t="s">
        <v>1514</v>
      </c>
      <c r="H109" s="28" t="s">
        <v>1515</v>
      </c>
      <c r="I109" s="28" t="s">
        <v>3855</v>
      </c>
      <c r="J109" s="28" t="s">
        <v>3783</v>
      </c>
      <c r="K109" s="28" t="s">
        <v>3920</v>
      </c>
      <c r="L109" s="28" t="s">
        <v>3921</v>
      </c>
      <c r="M109" s="28" t="s">
        <v>3922</v>
      </c>
      <c r="N109" s="28" t="s">
        <v>3923</v>
      </c>
    </row>
    <row r="110" spans="1:14" x14ac:dyDescent="0.2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35" t="s">
        <v>978</v>
      </c>
      <c r="G110" s="28" t="s">
        <v>1516</v>
      </c>
      <c r="H110" s="28" t="s">
        <v>1515</v>
      </c>
      <c r="I110" s="28" t="s">
        <v>3786</v>
      </c>
      <c r="J110" s="28" t="s">
        <v>3783</v>
      </c>
      <c r="K110" s="28" t="s">
        <v>3924</v>
      </c>
      <c r="L110" s="28" t="s">
        <v>3921</v>
      </c>
      <c r="M110" s="28" t="s">
        <v>3925</v>
      </c>
      <c r="N110" s="28" t="s">
        <v>3923</v>
      </c>
    </row>
    <row r="111" spans="1:14" x14ac:dyDescent="0.2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35" t="s">
        <v>978</v>
      </c>
      <c r="G111" s="28" t="s">
        <v>1530</v>
      </c>
      <c r="H111" s="28" t="s">
        <v>1515</v>
      </c>
      <c r="I111" s="28" t="s">
        <v>3861</v>
      </c>
      <c r="J111" s="28" t="s">
        <v>3783</v>
      </c>
      <c r="K111" s="28" t="s">
        <v>3926</v>
      </c>
      <c r="L111" s="28" t="s">
        <v>3921</v>
      </c>
      <c r="M111" s="28" t="s">
        <v>3927</v>
      </c>
      <c r="N111" s="28" t="s">
        <v>3923</v>
      </c>
    </row>
    <row r="112" spans="1:14" x14ac:dyDescent="0.2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35" t="s">
        <v>979</v>
      </c>
      <c r="G112" s="28" t="s">
        <v>1517</v>
      </c>
      <c r="H112" s="28" t="s">
        <v>1518</v>
      </c>
      <c r="I112" s="28" t="s">
        <v>3809</v>
      </c>
      <c r="J112" s="28" t="s">
        <v>3792</v>
      </c>
      <c r="K112" s="28" t="s">
        <v>3928</v>
      </c>
      <c r="L112" s="28" t="s">
        <v>3929</v>
      </c>
      <c r="M112" s="28" t="s">
        <v>3930</v>
      </c>
      <c r="N112" s="28" t="s">
        <v>3652</v>
      </c>
    </row>
    <row r="113" spans="1:14" x14ac:dyDescent="0.2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35" t="s">
        <v>979</v>
      </c>
      <c r="G113" s="28" t="s">
        <v>1533</v>
      </c>
      <c r="H113" s="28" t="s">
        <v>1518</v>
      </c>
      <c r="I113" s="28" t="s">
        <v>3791</v>
      </c>
      <c r="J113" s="28" t="s">
        <v>3792</v>
      </c>
      <c r="K113" s="28" t="s">
        <v>3931</v>
      </c>
      <c r="L113" s="28" t="s">
        <v>3929</v>
      </c>
      <c r="M113" s="28" t="s">
        <v>3932</v>
      </c>
      <c r="N113" s="28" t="s">
        <v>3652</v>
      </c>
    </row>
    <row r="114" spans="1:14" x14ac:dyDescent="0.2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35" t="s">
        <v>979</v>
      </c>
      <c r="G114" s="28" t="s">
        <v>1534</v>
      </c>
      <c r="H114" s="28" t="s">
        <v>1518</v>
      </c>
      <c r="I114" s="28" t="s">
        <v>3795</v>
      </c>
      <c r="J114" s="28" t="s">
        <v>3792</v>
      </c>
      <c r="K114" s="28" t="s">
        <v>3933</v>
      </c>
      <c r="L114" s="28" t="s">
        <v>3929</v>
      </c>
      <c r="M114" s="28" t="s">
        <v>3934</v>
      </c>
      <c r="N114" s="28" t="s">
        <v>3652</v>
      </c>
    </row>
    <row r="115" spans="1:14" x14ac:dyDescent="0.2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35" t="s">
        <v>979</v>
      </c>
      <c r="G115" s="28" t="s">
        <v>1526</v>
      </c>
      <c r="H115" s="28" t="s">
        <v>1518</v>
      </c>
      <c r="I115" s="28" t="s">
        <v>3798</v>
      </c>
      <c r="J115" s="28" t="s">
        <v>3792</v>
      </c>
      <c r="K115" s="28" t="s">
        <v>3935</v>
      </c>
      <c r="L115" s="28" t="s">
        <v>3929</v>
      </c>
      <c r="M115" s="28" t="s">
        <v>3651</v>
      </c>
      <c r="N115" s="28" t="s">
        <v>3652</v>
      </c>
    </row>
    <row r="116" spans="1:14" x14ac:dyDescent="0.2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35" t="s">
        <v>980</v>
      </c>
      <c r="G116" s="28" t="s">
        <v>1519</v>
      </c>
      <c r="H116" s="28" t="s">
        <v>1520</v>
      </c>
      <c r="I116" s="28" t="s">
        <v>3874</v>
      </c>
      <c r="J116" s="28" t="s">
        <v>3773</v>
      </c>
      <c r="K116" s="28" t="s">
        <v>3936</v>
      </c>
      <c r="L116" s="28" t="s">
        <v>3937</v>
      </c>
      <c r="M116" s="28" t="s">
        <v>3655</v>
      </c>
      <c r="N116" s="28" t="s">
        <v>3656</v>
      </c>
    </row>
    <row r="117" spans="1:14" x14ac:dyDescent="0.2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35" t="s">
        <v>980</v>
      </c>
      <c r="G117" s="28" t="s">
        <v>1521</v>
      </c>
      <c r="H117" s="28" t="s">
        <v>1520</v>
      </c>
      <c r="I117" s="28" t="s">
        <v>3816</v>
      </c>
      <c r="J117" s="28" t="s">
        <v>3773</v>
      </c>
      <c r="K117" s="28" t="s">
        <v>3938</v>
      </c>
      <c r="L117" s="28" t="s">
        <v>3937</v>
      </c>
      <c r="M117" s="28" t="s">
        <v>3939</v>
      </c>
      <c r="N117" s="28" t="s">
        <v>3656</v>
      </c>
    </row>
    <row r="118" spans="1:14" x14ac:dyDescent="0.2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35" t="s">
        <v>980</v>
      </c>
      <c r="G118" s="28" t="s">
        <v>1522</v>
      </c>
      <c r="H118" s="28" t="s">
        <v>1520</v>
      </c>
      <c r="I118" s="28" t="s">
        <v>3772</v>
      </c>
      <c r="J118" s="28" t="s">
        <v>3773</v>
      </c>
      <c r="K118" s="28" t="s">
        <v>3940</v>
      </c>
      <c r="L118" s="28" t="s">
        <v>3937</v>
      </c>
      <c r="M118" s="28" t="s">
        <v>3941</v>
      </c>
      <c r="N118" s="28" t="s">
        <v>3656</v>
      </c>
    </row>
    <row r="119" spans="1:14" x14ac:dyDescent="0.2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35" t="s">
        <v>981</v>
      </c>
      <c r="G119" s="28" t="s">
        <v>1528</v>
      </c>
      <c r="H119" s="28" t="s">
        <v>1525</v>
      </c>
      <c r="I119" s="28" t="s">
        <v>3776</v>
      </c>
      <c r="J119" s="28" t="s">
        <v>3777</v>
      </c>
      <c r="K119" s="28" t="s">
        <v>3942</v>
      </c>
      <c r="L119" s="28" t="s">
        <v>3943</v>
      </c>
      <c r="M119" s="28" t="s">
        <v>3944</v>
      </c>
      <c r="N119" s="28" t="s">
        <v>3945</v>
      </c>
    </row>
    <row r="120" spans="1:14" x14ac:dyDescent="0.2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35" t="s">
        <v>981</v>
      </c>
      <c r="G120" s="28" t="s">
        <v>1524</v>
      </c>
      <c r="H120" s="28" t="s">
        <v>1525</v>
      </c>
      <c r="I120" s="28" t="s">
        <v>3780</v>
      </c>
      <c r="J120" s="28" t="s">
        <v>3777</v>
      </c>
      <c r="K120" s="28" t="s">
        <v>3946</v>
      </c>
      <c r="L120" s="28" t="s">
        <v>3943</v>
      </c>
      <c r="M120" s="28" t="s">
        <v>3947</v>
      </c>
      <c r="N120" s="28" t="s">
        <v>3945</v>
      </c>
    </row>
    <row r="121" spans="1:14" x14ac:dyDescent="0.2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35" t="s">
        <v>977</v>
      </c>
      <c r="G121" s="28" t="s">
        <v>1539</v>
      </c>
      <c r="H121" s="28" t="s">
        <v>1512</v>
      </c>
      <c r="I121" s="28" t="s">
        <v>3852</v>
      </c>
      <c r="J121" s="28" t="s">
        <v>3844</v>
      </c>
      <c r="K121" s="28" t="s">
        <v>3948</v>
      </c>
      <c r="L121" s="28" t="s">
        <v>3949</v>
      </c>
      <c r="M121" s="28" t="s">
        <v>3950</v>
      </c>
      <c r="N121" s="28" t="s">
        <v>3647</v>
      </c>
    </row>
    <row r="122" spans="1:14" x14ac:dyDescent="0.2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35" t="s">
        <v>978</v>
      </c>
      <c r="G122" s="28" t="s">
        <v>1514</v>
      </c>
      <c r="H122" s="28" t="s">
        <v>1515</v>
      </c>
      <c r="I122" s="28" t="s">
        <v>3855</v>
      </c>
      <c r="J122" s="28" t="s">
        <v>3783</v>
      </c>
      <c r="K122" s="28" t="s">
        <v>3920</v>
      </c>
      <c r="L122" s="28" t="s">
        <v>3921</v>
      </c>
      <c r="M122" s="28" t="s">
        <v>3922</v>
      </c>
      <c r="N122" s="28" t="s">
        <v>3923</v>
      </c>
    </row>
    <row r="123" spans="1:14" x14ac:dyDescent="0.2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35" t="s">
        <v>978</v>
      </c>
      <c r="G123" s="28" t="s">
        <v>1529</v>
      </c>
      <c r="H123" s="28" t="s">
        <v>1515</v>
      </c>
      <c r="I123" s="28" t="s">
        <v>3782</v>
      </c>
      <c r="J123" s="28" t="s">
        <v>3783</v>
      </c>
      <c r="K123" s="28" t="s">
        <v>3951</v>
      </c>
      <c r="L123" s="28" t="s">
        <v>3921</v>
      </c>
      <c r="M123" s="28" t="s">
        <v>3952</v>
      </c>
      <c r="N123" s="28" t="s">
        <v>3923</v>
      </c>
    </row>
    <row r="124" spans="1:14" x14ac:dyDescent="0.2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35" t="s">
        <v>978</v>
      </c>
      <c r="G124" s="28" t="s">
        <v>1516</v>
      </c>
      <c r="H124" s="28" t="s">
        <v>1515</v>
      </c>
      <c r="I124" s="28" t="s">
        <v>3786</v>
      </c>
      <c r="J124" s="28" t="s">
        <v>3783</v>
      </c>
      <c r="K124" s="28" t="s">
        <v>3924</v>
      </c>
      <c r="L124" s="28" t="s">
        <v>3921</v>
      </c>
      <c r="M124" s="28" t="s">
        <v>3925</v>
      </c>
      <c r="N124" s="28" t="s">
        <v>3923</v>
      </c>
    </row>
    <row r="125" spans="1:14" x14ac:dyDescent="0.2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35" t="s">
        <v>978</v>
      </c>
      <c r="G125" s="28" t="s">
        <v>1530</v>
      </c>
      <c r="H125" s="28" t="s">
        <v>1515</v>
      </c>
      <c r="I125" s="28" t="s">
        <v>3861</v>
      </c>
      <c r="J125" s="28" t="s">
        <v>3783</v>
      </c>
      <c r="K125" s="28" t="s">
        <v>3926</v>
      </c>
      <c r="L125" s="28" t="s">
        <v>3921</v>
      </c>
      <c r="M125" s="28" t="s">
        <v>3927</v>
      </c>
      <c r="N125" s="28" t="s">
        <v>3923</v>
      </c>
    </row>
    <row r="126" spans="1:14" x14ac:dyDescent="0.2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35" t="s">
        <v>978</v>
      </c>
      <c r="G126" s="28" t="s">
        <v>1531</v>
      </c>
      <c r="H126" s="28" t="s">
        <v>1515</v>
      </c>
      <c r="I126" s="28" t="s">
        <v>3789</v>
      </c>
      <c r="J126" s="28" t="s">
        <v>3783</v>
      </c>
      <c r="K126" s="28" t="s">
        <v>3953</v>
      </c>
      <c r="L126" s="28" t="s">
        <v>3921</v>
      </c>
      <c r="M126" s="28" t="s">
        <v>3954</v>
      </c>
      <c r="N126" s="28" t="s">
        <v>3923</v>
      </c>
    </row>
    <row r="127" spans="1:14" x14ac:dyDescent="0.2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35" t="s">
        <v>979</v>
      </c>
      <c r="G127" s="28" t="s">
        <v>1517</v>
      </c>
      <c r="H127" s="28" t="s">
        <v>1518</v>
      </c>
      <c r="I127" s="28" t="s">
        <v>3809</v>
      </c>
      <c r="J127" s="28" t="s">
        <v>3792</v>
      </c>
      <c r="K127" s="28" t="s">
        <v>3928</v>
      </c>
      <c r="L127" s="28" t="s">
        <v>3929</v>
      </c>
      <c r="M127" s="28" t="s">
        <v>3930</v>
      </c>
      <c r="N127" s="28" t="s">
        <v>3652</v>
      </c>
    </row>
    <row r="128" spans="1:14" x14ac:dyDescent="0.2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35" t="s">
        <v>979</v>
      </c>
      <c r="G128" s="28" t="s">
        <v>1533</v>
      </c>
      <c r="H128" s="28" t="s">
        <v>1518</v>
      </c>
      <c r="I128" s="28" t="s">
        <v>3791</v>
      </c>
      <c r="J128" s="28" t="s">
        <v>3792</v>
      </c>
      <c r="K128" s="28" t="s">
        <v>3931</v>
      </c>
      <c r="L128" s="28" t="s">
        <v>3929</v>
      </c>
      <c r="M128" s="28" t="s">
        <v>3932</v>
      </c>
      <c r="N128" s="28" t="s">
        <v>3652</v>
      </c>
    </row>
    <row r="129" spans="1:14" x14ac:dyDescent="0.2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35" t="s">
        <v>979</v>
      </c>
      <c r="G129" s="28" t="s">
        <v>1534</v>
      </c>
      <c r="H129" s="28" t="s">
        <v>1518</v>
      </c>
      <c r="I129" s="28" t="s">
        <v>3795</v>
      </c>
      <c r="J129" s="28" t="s">
        <v>3792</v>
      </c>
      <c r="K129" s="28" t="s">
        <v>3933</v>
      </c>
      <c r="L129" s="28" t="s">
        <v>3929</v>
      </c>
      <c r="M129" s="28" t="s">
        <v>3934</v>
      </c>
      <c r="N129" s="28" t="s">
        <v>3652</v>
      </c>
    </row>
    <row r="130" spans="1:14" x14ac:dyDescent="0.2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35" t="s">
        <v>979</v>
      </c>
      <c r="G130" s="28" t="s">
        <v>1526</v>
      </c>
      <c r="H130" s="28" t="s">
        <v>1518</v>
      </c>
      <c r="I130" s="28" t="s">
        <v>3798</v>
      </c>
      <c r="J130" s="28" t="s">
        <v>3792</v>
      </c>
      <c r="K130" s="28" t="s">
        <v>3935</v>
      </c>
      <c r="L130" s="28" t="s">
        <v>3929</v>
      </c>
      <c r="M130" s="28" t="s">
        <v>3651</v>
      </c>
      <c r="N130" s="28" t="s">
        <v>3652</v>
      </c>
    </row>
    <row r="131" spans="1:14" x14ac:dyDescent="0.2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35" t="s">
        <v>980</v>
      </c>
      <c r="G131" s="28" t="s">
        <v>1519</v>
      </c>
      <c r="H131" s="28" t="s">
        <v>1520</v>
      </c>
      <c r="I131" s="28" t="s">
        <v>3874</v>
      </c>
      <c r="J131" s="28" t="s">
        <v>3773</v>
      </c>
      <c r="K131" s="28" t="s">
        <v>3936</v>
      </c>
      <c r="L131" s="28" t="s">
        <v>3937</v>
      </c>
      <c r="M131" s="28" t="s">
        <v>3655</v>
      </c>
      <c r="N131" s="28" t="s">
        <v>3656</v>
      </c>
    </row>
    <row r="132" spans="1:14" x14ac:dyDescent="0.2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35" t="s">
        <v>980</v>
      </c>
      <c r="G132" s="28" t="s">
        <v>1521</v>
      </c>
      <c r="H132" s="28" t="s">
        <v>1520</v>
      </c>
      <c r="I132" s="28" t="s">
        <v>3816</v>
      </c>
      <c r="J132" s="28" t="s">
        <v>3773</v>
      </c>
      <c r="K132" s="28" t="s">
        <v>3938</v>
      </c>
      <c r="L132" s="28" t="s">
        <v>3937</v>
      </c>
      <c r="M132" s="28" t="s">
        <v>3939</v>
      </c>
      <c r="N132" s="28" t="s">
        <v>3656</v>
      </c>
    </row>
    <row r="133" spans="1:14" x14ac:dyDescent="0.2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35" t="s">
        <v>980</v>
      </c>
      <c r="G133" s="28" t="s">
        <v>1522</v>
      </c>
      <c r="H133" s="28" t="s">
        <v>1520</v>
      </c>
      <c r="I133" s="28" t="s">
        <v>3772</v>
      </c>
      <c r="J133" s="28" t="s">
        <v>3773</v>
      </c>
      <c r="K133" s="28" t="s">
        <v>3940</v>
      </c>
      <c r="L133" s="28" t="s">
        <v>3937</v>
      </c>
      <c r="M133" s="28" t="s">
        <v>3941</v>
      </c>
      <c r="N133" s="28" t="s">
        <v>3656</v>
      </c>
    </row>
    <row r="134" spans="1:14" x14ac:dyDescent="0.2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35" t="s">
        <v>981</v>
      </c>
      <c r="G134" s="28" t="s">
        <v>1528</v>
      </c>
      <c r="H134" s="28" t="s">
        <v>1525</v>
      </c>
      <c r="I134" s="28" t="s">
        <v>3776</v>
      </c>
      <c r="J134" s="28" t="s">
        <v>3777</v>
      </c>
      <c r="K134" s="28" t="s">
        <v>3942</v>
      </c>
      <c r="L134" s="28" t="s">
        <v>3943</v>
      </c>
      <c r="M134" s="28" t="s">
        <v>3944</v>
      </c>
      <c r="N134" s="28" t="s">
        <v>3945</v>
      </c>
    </row>
    <row r="135" spans="1:14" x14ac:dyDescent="0.2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35" t="s">
        <v>981</v>
      </c>
      <c r="G135" s="28" t="s">
        <v>1524</v>
      </c>
      <c r="H135" s="28" t="s">
        <v>1525</v>
      </c>
      <c r="I135" s="28" t="s">
        <v>3780</v>
      </c>
      <c r="J135" s="28" t="s">
        <v>3777</v>
      </c>
      <c r="K135" s="28" t="s">
        <v>3946</v>
      </c>
      <c r="L135" s="28" t="s">
        <v>3943</v>
      </c>
      <c r="M135" s="28" t="s">
        <v>3947</v>
      </c>
      <c r="N135" s="28" t="s">
        <v>3945</v>
      </c>
    </row>
    <row r="136" spans="1:14" x14ac:dyDescent="0.2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35" t="s">
        <v>978</v>
      </c>
      <c r="G136" s="28" t="s">
        <v>1529</v>
      </c>
      <c r="H136" s="28" t="s">
        <v>1515</v>
      </c>
      <c r="I136" s="28" t="s">
        <v>3782</v>
      </c>
      <c r="J136" s="28" t="s">
        <v>3783</v>
      </c>
      <c r="K136" s="28" t="s">
        <v>3955</v>
      </c>
      <c r="L136" s="28" t="s">
        <v>3956</v>
      </c>
      <c r="M136" s="28" t="s">
        <v>3957</v>
      </c>
      <c r="N136" s="28" t="s">
        <v>3958</v>
      </c>
    </row>
    <row r="137" spans="1:14" x14ac:dyDescent="0.2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35" t="s">
        <v>978</v>
      </c>
      <c r="G137" s="28" t="s">
        <v>1530</v>
      </c>
      <c r="H137" s="28" t="s">
        <v>1515</v>
      </c>
      <c r="I137" s="28" t="s">
        <v>3861</v>
      </c>
      <c r="J137" s="28" t="s">
        <v>3783</v>
      </c>
      <c r="K137" s="28" t="s">
        <v>3959</v>
      </c>
      <c r="L137" s="28" t="s">
        <v>3956</v>
      </c>
      <c r="M137" s="28" t="s">
        <v>3960</v>
      </c>
      <c r="N137" s="28" t="s">
        <v>3958</v>
      </c>
    </row>
    <row r="138" spans="1:14" x14ac:dyDescent="0.2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35" t="s">
        <v>978</v>
      </c>
      <c r="G138" s="28" t="s">
        <v>1531</v>
      </c>
      <c r="H138" s="28" t="s">
        <v>1515</v>
      </c>
      <c r="I138" s="28" t="s">
        <v>3789</v>
      </c>
      <c r="J138" s="28" t="s">
        <v>3783</v>
      </c>
      <c r="K138" s="28" t="s">
        <v>3961</v>
      </c>
      <c r="L138" s="28" t="s">
        <v>3956</v>
      </c>
      <c r="M138" s="28" t="s">
        <v>3962</v>
      </c>
      <c r="N138" s="28" t="s">
        <v>3958</v>
      </c>
    </row>
    <row r="139" spans="1:14" x14ac:dyDescent="0.2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35" t="s">
        <v>979</v>
      </c>
      <c r="G139" s="28" t="s">
        <v>1517</v>
      </c>
      <c r="H139" s="28" t="s">
        <v>1518</v>
      </c>
      <c r="I139" s="28" t="s">
        <v>3809</v>
      </c>
      <c r="J139" s="28" t="s">
        <v>3792</v>
      </c>
      <c r="K139" s="28" t="s">
        <v>3963</v>
      </c>
      <c r="L139" s="28" t="s">
        <v>3964</v>
      </c>
      <c r="M139" s="28" t="s">
        <v>3965</v>
      </c>
      <c r="N139" s="28" t="s">
        <v>3966</v>
      </c>
    </row>
    <row r="140" spans="1:14" x14ac:dyDescent="0.2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35" t="s">
        <v>979</v>
      </c>
      <c r="G140" s="28" t="s">
        <v>1533</v>
      </c>
      <c r="H140" s="28" t="s">
        <v>1518</v>
      </c>
      <c r="I140" s="28" t="s">
        <v>3791</v>
      </c>
      <c r="J140" s="28" t="s">
        <v>3792</v>
      </c>
      <c r="K140" s="28" t="s">
        <v>3967</v>
      </c>
      <c r="L140" s="28" t="s">
        <v>3964</v>
      </c>
      <c r="M140" s="28" t="s">
        <v>3968</v>
      </c>
      <c r="N140" s="28" t="s">
        <v>3966</v>
      </c>
    </row>
    <row r="141" spans="1:14" x14ac:dyDescent="0.2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35" t="s">
        <v>979</v>
      </c>
      <c r="G141" s="28" t="s">
        <v>1534</v>
      </c>
      <c r="H141" s="28" t="s">
        <v>1518</v>
      </c>
      <c r="I141" s="28" t="s">
        <v>3795</v>
      </c>
      <c r="J141" s="28" t="s">
        <v>3792</v>
      </c>
      <c r="K141" s="28" t="s">
        <v>3969</v>
      </c>
      <c r="L141" s="28" t="s">
        <v>3964</v>
      </c>
      <c r="M141" s="28" t="s">
        <v>3970</v>
      </c>
      <c r="N141" s="28" t="s">
        <v>3966</v>
      </c>
    </row>
    <row r="142" spans="1:14" x14ac:dyDescent="0.2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35" t="s">
        <v>979</v>
      </c>
      <c r="G142" s="28" t="s">
        <v>1526</v>
      </c>
      <c r="H142" s="28" t="s">
        <v>1518</v>
      </c>
      <c r="I142" s="28" t="s">
        <v>3798</v>
      </c>
      <c r="J142" s="28" t="s">
        <v>3792</v>
      </c>
      <c r="K142" s="28" t="s">
        <v>3971</v>
      </c>
      <c r="L142" s="28" t="s">
        <v>3964</v>
      </c>
      <c r="M142" s="28" t="s">
        <v>3972</v>
      </c>
      <c r="N142" s="28" t="s">
        <v>3966</v>
      </c>
    </row>
    <row r="143" spans="1:14" x14ac:dyDescent="0.2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35" t="s">
        <v>980</v>
      </c>
      <c r="G143" s="28" t="s">
        <v>1519</v>
      </c>
      <c r="H143" s="28" t="s">
        <v>1520</v>
      </c>
      <c r="I143" s="28" t="s">
        <v>3874</v>
      </c>
      <c r="J143" s="28" t="s">
        <v>3773</v>
      </c>
      <c r="K143" s="28" t="s">
        <v>3973</v>
      </c>
      <c r="L143" s="28" t="s">
        <v>3974</v>
      </c>
      <c r="M143" s="28" t="s">
        <v>3975</v>
      </c>
      <c r="N143" s="28" t="s">
        <v>3976</v>
      </c>
    </row>
    <row r="144" spans="1:14" x14ac:dyDescent="0.2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35" t="s">
        <v>980</v>
      </c>
      <c r="G144" s="28" t="s">
        <v>1522</v>
      </c>
      <c r="H144" s="28" t="s">
        <v>1520</v>
      </c>
      <c r="I144" s="28" t="s">
        <v>3772</v>
      </c>
      <c r="J144" s="28" t="s">
        <v>3773</v>
      </c>
      <c r="K144" s="28" t="s">
        <v>3977</v>
      </c>
      <c r="L144" s="28" t="s">
        <v>3974</v>
      </c>
      <c r="M144" s="28" t="s">
        <v>3978</v>
      </c>
      <c r="N144" s="28" t="s">
        <v>3976</v>
      </c>
    </row>
    <row r="145" spans="1:14" x14ac:dyDescent="0.2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35" t="s">
        <v>981</v>
      </c>
      <c r="G145" s="28" t="s">
        <v>1528</v>
      </c>
      <c r="H145" s="28" t="s">
        <v>1525</v>
      </c>
      <c r="I145" s="28" t="s">
        <v>3776</v>
      </c>
      <c r="J145" s="28" t="s">
        <v>3777</v>
      </c>
      <c r="K145" s="28" t="s">
        <v>3979</v>
      </c>
      <c r="L145" s="28" t="s">
        <v>3980</v>
      </c>
      <c r="M145" s="28" t="s">
        <v>3981</v>
      </c>
      <c r="N145" s="28" t="s">
        <v>3982</v>
      </c>
    </row>
    <row r="146" spans="1:14" x14ac:dyDescent="0.2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35" t="s">
        <v>981</v>
      </c>
      <c r="G146" s="28" t="s">
        <v>1524</v>
      </c>
      <c r="H146" s="28" t="s">
        <v>1525</v>
      </c>
      <c r="I146" s="28" t="s">
        <v>3780</v>
      </c>
      <c r="J146" s="28" t="s">
        <v>3777</v>
      </c>
      <c r="K146" s="28" t="s">
        <v>3983</v>
      </c>
      <c r="L146" s="28" t="s">
        <v>3980</v>
      </c>
      <c r="M146" s="28" t="s">
        <v>3984</v>
      </c>
      <c r="N146" s="28" t="s">
        <v>3982</v>
      </c>
    </row>
    <row r="147" spans="1:14" x14ac:dyDescent="0.2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35" t="s">
        <v>978</v>
      </c>
      <c r="G147" s="28" t="s">
        <v>1514</v>
      </c>
      <c r="H147" s="28" t="s">
        <v>1515</v>
      </c>
      <c r="I147" s="28" t="s">
        <v>3855</v>
      </c>
      <c r="J147" s="28" t="s">
        <v>3783</v>
      </c>
      <c r="K147" s="28" t="s">
        <v>3985</v>
      </c>
      <c r="L147" s="28" t="s">
        <v>3956</v>
      </c>
      <c r="M147" s="28" t="s">
        <v>3986</v>
      </c>
      <c r="N147" s="28" t="s">
        <v>3958</v>
      </c>
    </row>
    <row r="148" spans="1:14" x14ac:dyDescent="0.2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35" t="s">
        <v>978</v>
      </c>
      <c r="G148" s="28" t="s">
        <v>1529</v>
      </c>
      <c r="H148" s="28" t="s">
        <v>1515</v>
      </c>
      <c r="I148" s="28" t="s">
        <v>3782</v>
      </c>
      <c r="J148" s="28" t="s">
        <v>3783</v>
      </c>
      <c r="K148" s="28" t="s">
        <v>3955</v>
      </c>
      <c r="L148" s="28" t="s">
        <v>3956</v>
      </c>
      <c r="M148" s="28" t="s">
        <v>3957</v>
      </c>
      <c r="N148" s="28" t="s">
        <v>3958</v>
      </c>
    </row>
    <row r="149" spans="1:14" x14ac:dyDescent="0.2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35" t="s">
        <v>978</v>
      </c>
      <c r="G149" s="28" t="s">
        <v>1530</v>
      </c>
      <c r="H149" s="28" t="s">
        <v>1515</v>
      </c>
      <c r="I149" s="28" t="s">
        <v>3861</v>
      </c>
      <c r="J149" s="28" t="s">
        <v>3783</v>
      </c>
      <c r="K149" s="28" t="s">
        <v>3959</v>
      </c>
      <c r="L149" s="28" t="s">
        <v>3956</v>
      </c>
      <c r="M149" s="28" t="s">
        <v>3960</v>
      </c>
      <c r="N149" s="28" t="s">
        <v>3958</v>
      </c>
    </row>
    <row r="150" spans="1:14" x14ac:dyDescent="0.2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35" t="s">
        <v>978</v>
      </c>
      <c r="G150" s="28" t="s">
        <v>1531</v>
      </c>
      <c r="H150" s="28" t="s">
        <v>1515</v>
      </c>
      <c r="I150" s="28" t="s">
        <v>3789</v>
      </c>
      <c r="J150" s="28" t="s">
        <v>3783</v>
      </c>
      <c r="K150" s="28" t="s">
        <v>3961</v>
      </c>
      <c r="L150" s="28" t="s">
        <v>3956</v>
      </c>
      <c r="M150" s="28" t="s">
        <v>3962</v>
      </c>
      <c r="N150" s="28" t="s">
        <v>3958</v>
      </c>
    </row>
    <row r="151" spans="1:14" x14ac:dyDescent="0.2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35" t="s">
        <v>979</v>
      </c>
      <c r="G151" s="28" t="s">
        <v>1517</v>
      </c>
      <c r="H151" s="28" t="s">
        <v>1518</v>
      </c>
      <c r="I151" s="28" t="s">
        <v>3809</v>
      </c>
      <c r="J151" s="28" t="s">
        <v>3792</v>
      </c>
      <c r="K151" s="28" t="s">
        <v>3963</v>
      </c>
      <c r="L151" s="28" t="s">
        <v>3964</v>
      </c>
      <c r="M151" s="28" t="s">
        <v>3965</v>
      </c>
      <c r="N151" s="28" t="s">
        <v>3966</v>
      </c>
    </row>
    <row r="152" spans="1:14" x14ac:dyDescent="0.2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35" t="s">
        <v>979</v>
      </c>
      <c r="G152" s="28" t="s">
        <v>1533</v>
      </c>
      <c r="H152" s="28" t="s">
        <v>1518</v>
      </c>
      <c r="I152" s="28" t="s">
        <v>3791</v>
      </c>
      <c r="J152" s="28" t="s">
        <v>3792</v>
      </c>
      <c r="K152" s="28" t="s">
        <v>3967</v>
      </c>
      <c r="L152" s="28" t="s">
        <v>3964</v>
      </c>
      <c r="M152" s="28" t="s">
        <v>3968</v>
      </c>
      <c r="N152" s="28" t="s">
        <v>3966</v>
      </c>
    </row>
    <row r="153" spans="1:14" x14ac:dyDescent="0.2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35" t="s">
        <v>979</v>
      </c>
      <c r="G153" s="28" t="s">
        <v>1534</v>
      </c>
      <c r="H153" s="28" t="s">
        <v>1518</v>
      </c>
      <c r="I153" s="28" t="s">
        <v>3795</v>
      </c>
      <c r="J153" s="28" t="s">
        <v>3792</v>
      </c>
      <c r="K153" s="28" t="s">
        <v>3969</v>
      </c>
      <c r="L153" s="28" t="s">
        <v>3964</v>
      </c>
      <c r="M153" s="28" t="s">
        <v>3970</v>
      </c>
      <c r="N153" s="28" t="s">
        <v>3966</v>
      </c>
    </row>
    <row r="154" spans="1:14" x14ac:dyDescent="0.2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35" t="s">
        <v>979</v>
      </c>
      <c r="G154" s="28" t="s">
        <v>1526</v>
      </c>
      <c r="H154" s="28" t="s">
        <v>1518</v>
      </c>
      <c r="I154" s="28" t="s">
        <v>3798</v>
      </c>
      <c r="J154" s="28" t="s">
        <v>3792</v>
      </c>
      <c r="K154" s="28" t="s">
        <v>3971</v>
      </c>
      <c r="L154" s="28" t="s">
        <v>3964</v>
      </c>
      <c r="M154" s="28" t="s">
        <v>3972</v>
      </c>
      <c r="N154" s="28" t="s">
        <v>3966</v>
      </c>
    </row>
    <row r="155" spans="1:14" x14ac:dyDescent="0.2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35" t="s">
        <v>980</v>
      </c>
      <c r="G155" s="28" t="s">
        <v>1519</v>
      </c>
      <c r="H155" s="28" t="s">
        <v>1520</v>
      </c>
      <c r="I155" s="28" t="s">
        <v>3874</v>
      </c>
      <c r="J155" s="28" t="s">
        <v>3773</v>
      </c>
      <c r="K155" s="28" t="s">
        <v>3973</v>
      </c>
      <c r="L155" s="28" t="s">
        <v>3974</v>
      </c>
      <c r="M155" s="28" t="s">
        <v>3975</v>
      </c>
      <c r="N155" s="28" t="s">
        <v>3976</v>
      </c>
    </row>
    <row r="156" spans="1:14" x14ac:dyDescent="0.2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35" t="s">
        <v>980</v>
      </c>
      <c r="G156" s="28" t="s">
        <v>1521</v>
      </c>
      <c r="H156" s="28" t="s">
        <v>1520</v>
      </c>
      <c r="I156" s="28" t="s">
        <v>3816</v>
      </c>
      <c r="J156" s="28" t="s">
        <v>3773</v>
      </c>
      <c r="K156" s="28" t="s">
        <v>3987</v>
      </c>
      <c r="L156" s="28" t="s">
        <v>3974</v>
      </c>
      <c r="M156" s="28" t="s">
        <v>3988</v>
      </c>
      <c r="N156" s="28" t="s">
        <v>3976</v>
      </c>
    </row>
    <row r="157" spans="1:14" x14ac:dyDescent="0.2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35" t="s">
        <v>980</v>
      </c>
      <c r="G157" s="28" t="s">
        <v>1522</v>
      </c>
      <c r="H157" s="28" t="s">
        <v>1520</v>
      </c>
      <c r="I157" s="28" t="s">
        <v>3772</v>
      </c>
      <c r="J157" s="28" t="s">
        <v>3773</v>
      </c>
      <c r="K157" s="28" t="s">
        <v>3977</v>
      </c>
      <c r="L157" s="28" t="s">
        <v>3974</v>
      </c>
      <c r="M157" s="28" t="s">
        <v>3978</v>
      </c>
      <c r="N157" s="28" t="s">
        <v>3976</v>
      </c>
    </row>
    <row r="158" spans="1:14" x14ac:dyDescent="0.2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35" t="s">
        <v>981</v>
      </c>
      <c r="G158" s="28" t="s">
        <v>1528</v>
      </c>
      <c r="H158" s="28" t="s">
        <v>1525</v>
      </c>
      <c r="I158" s="28" t="s">
        <v>3776</v>
      </c>
      <c r="J158" s="28" t="s">
        <v>3777</v>
      </c>
      <c r="K158" s="28" t="s">
        <v>3979</v>
      </c>
      <c r="L158" s="28" t="s">
        <v>3980</v>
      </c>
      <c r="M158" s="28" t="s">
        <v>3981</v>
      </c>
      <c r="N158" s="28" t="s">
        <v>3982</v>
      </c>
    </row>
    <row r="159" spans="1:14" x14ac:dyDescent="0.2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35" t="s">
        <v>981</v>
      </c>
      <c r="G159" s="28" t="s">
        <v>1524</v>
      </c>
      <c r="H159" s="28" t="s">
        <v>1525</v>
      </c>
      <c r="I159" s="28" t="s">
        <v>3780</v>
      </c>
      <c r="J159" s="28" t="s">
        <v>3777</v>
      </c>
      <c r="K159" s="28" t="s">
        <v>3983</v>
      </c>
      <c r="L159" s="28" t="s">
        <v>3980</v>
      </c>
      <c r="M159" s="28" t="s">
        <v>3984</v>
      </c>
      <c r="N159" s="28" t="s">
        <v>3982</v>
      </c>
    </row>
    <row r="160" spans="1:14" x14ac:dyDescent="0.2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35" t="s">
        <v>977</v>
      </c>
      <c r="G160" s="28" t="s">
        <v>1513</v>
      </c>
      <c r="H160" s="28" t="s">
        <v>1512</v>
      </c>
      <c r="I160" s="28" t="s">
        <v>3850</v>
      </c>
      <c r="J160" s="28" t="s">
        <v>3844</v>
      </c>
      <c r="K160" s="28" t="s">
        <v>3989</v>
      </c>
      <c r="L160" s="28" t="s">
        <v>3990</v>
      </c>
      <c r="M160" s="28" t="s">
        <v>3991</v>
      </c>
      <c r="N160" s="28" t="s">
        <v>3992</v>
      </c>
    </row>
    <row r="161" spans="1:14" x14ac:dyDescent="0.2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35" t="s">
        <v>977</v>
      </c>
      <c r="G161" s="28" t="s">
        <v>1539</v>
      </c>
      <c r="H161" s="28" t="s">
        <v>1512</v>
      </c>
      <c r="I161" s="28" t="s">
        <v>3852</v>
      </c>
      <c r="J161" s="28" t="s">
        <v>3844</v>
      </c>
      <c r="K161" s="28" t="s">
        <v>3993</v>
      </c>
      <c r="L161" s="28" t="s">
        <v>3990</v>
      </c>
      <c r="M161" s="28" t="s">
        <v>3994</v>
      </c>
      <c r="N161" s="28" t="s">
        <v>3992</v>
      </c>
    </row>
    <row r="162" spans="1:14" x14ac:dyDescent="0.2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35" t="s">
        <v>978</v>
      </c>
      <c r="G162" s="28" t="s">
        <v>1514</v>
      </c>
      <c r="H162" s="28" t="s">
        <v>1515</v>
      </c>
      <c r="I162" s="28" t="s">
        <v>3855</v>
      </c>
      <c r="J162" s="28" t="s">
        <v>3783</v>
      </c>
      <c r="K162" s="28" t="s">
        <v>3995</v>
      </c>
      <c r="L162" s="28" t="s">
        <v>3996</v>
      </c>
      <c r="M162" s="28" t="s">
        <v>3997</v>
      </c>
      <c r="N162" s="28" t="s">
        <v>3998</v>
      </c>
    </row>
    <row r="163" spans="1:14" x14ac:dyDescent="0.2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35" t="s">
        <v>978</v>
      </c>
      <c r="G163" s="28" t="s">
        <v>1529</v>
      </c>
      <c r="H163" s="28" t="s">
        <v>1515</v>
      </c>
      <c r="I163" s="28" t="s">
        <v>3782</v>
      </c>
      <c r="J163" s="28" t="s">
        <v>3783</v>
      </c>
      <c r="K163" s="28" t="s">
        <v>3999</v>
      </c>
      <c r="L163" s="28" t="s">
        <v>3996</v>
      </c>
      <c r="M163" s="28" t="s">
        <v>4000</v>
      </c>
      <c r="N163" s="28" t="s">
        <v>3998</v>
      </c>
    </row>
    <row r="164" spans="1:14" x14ac:dyDescent="0.2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35" t="s">
        <v>978</v>
      </c>
      <c r="G164" s="28" t="s">
        <v>1516</v>
      </c>
      <c r="H164" s="28" t="s">
        <v>1515</v>
      </c>
      <c r="I164" s="28" t="s">
        <v>3786</v>
      </c>
      <c r="J164" s="28" t="s">
        <v>3783</v>
      </c>
      <c r="K164" s="28" t="s">
        <v>4001</v>
      </c>
      <c r="L164" s="28" t="s">
        <v>3996</v>
      </c>
      <c r="M164" s="28" t="s">
        <v>4002</v>
      </c>
      <c r="N164" s="28" t="s">
        <v>3998</v>
      </c>
    </row>
    <row r="165" spans="1:14" x14ac:dyDescent="0.2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35" t="s">
        <v>978</v>
      </c>
      <c r="G165" s="28" t="s">
        <v>1530</v>
      </c>
      <c r="H165" s="28" t="s">
        <v>1515</v>
      </c>
      <c r="I165" s="28" t="s">
        <v>3861</v>
      </c>
      <c r="J165" s="28" t="s">
        <v>3783</v>
      </c>
      <c r="K165" s="28" t="s">
        <v>4003</v>
      </c>
      <c r="L165" s="28" t="s">
        <v>3996</v>
      </c>
      <c r="M165" s="28" t="s">
        <v>4004</v>
      </c>
      <c r="N165" s="28" t="s">
        <v>3998</v>
      </c>
    </row>
    <row r="166" spans="1:14" x14ac:dyDescent="0.2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35" t="s">
        <v>978</v>
      </c>
      <c r="G166" s="28" t="s">
        <v>1531</v>
      </c>
      <c r="H166" s="28" t="s">
        <v>1515</v>
      </c>
      <c r="I166" s="28" t="s">
        <v>3789</v>
      </c>
      <c r="J166" s="28" t="s">
        <v>3783</v>
      </c>
      <c r="K166" s="28" t="s">
        <v>4005</v>
      </c>
      <c r="L166" s="28" t="s">
        <v>3996</v>
      </c>
      <c r="M166" s="28" t="s">
        <v>4006</v>
      </c>
      <c r="N166" s="28" t="s">
        <v>3998</v>
      </c>
    </row>
    <row r="167" spans="1:14" x14ac:dyDescent="0.2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35" t="s">
        <v>979</v>
      </c>
      <c r="G167" s="28" t="s">
        <v>1517</v>
      </c>
      <c r="H167" s="28" t="s">
        <v>1518</v>
      </c>
      <c r="I167" s="28" t="s">
        <v>3809</v>
      </c>
      <c r="J167" s="28" t="s">
        <v>3792</v>
      </c>
      <c r="K167" s="28" t="s">
        <v>4007</v>
      </c>
      <c r="L167" s="28" t="s">
        <v>4008</v>
      </c>
      <c r="M167" s="28" t="s">
        <v>4009</v>
      </c>
      <c r="N167" s="28" t="s">
        <v>4010</v>
      </c>
    </row>
    <row r="168" spans="1:14" x14ac:dyDescent="0.2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35" t="s">
        <v>979</v>
      </c>
      <c r="G168" s="28" t="s">
        <v>1533</v>
      </c>
      <c r="H168" s="28" t="s">
        <v>1518</v>
      </c>
      <c r="I168" s="28" t="s">
        <v>3791</v>
      </c>
      <c r="J168" s="28" t="s">
        <v>3792</v>
      </c>
      <c r="K168" s="28" t="s">
        <v>4011</v>
      </c>
      <c r="L168" s="28" t="s">
        <v>4008</v>
      </c>
      <c r="M168" s="28" t="s">
        <v>4012</v>
      </c>
      <c r="N168" s="28" t="s">
        <v>4010</v>
      </c>
    </row>
    <row r="169" spans="1:14" x14ac:dyDescent="0.2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35" t="s">
        <v>979</v>
      </c>
      <c r="G169" s="28" t="s">
        <v>1534</v>
      </c>
      <c r="H169" s="28" t="s">
        <v>1518</v>
      </c>
      <c r="I169" s="28" t="s">
        <v>3795</v>
      </c>
      <c r="J169" s="28" t="s">
        <v>3792</v>
      </c>
      <c r="K169" s="28" t="s">
        <v>4013</v>
      </c>
      <c r="L169" s="28" t="s">
        <v>4008</v>
      </c>
      <c r="M169" s="28" t="s">
        <v>4014</v>
      </c>
      <c r="N169" s="28" t="s">
        <v>4010</v>
      </c>
    </row>
    <row r="170" spans="1:14" x14ac:dyDescent="0.2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35" t="s">
        <v>979</v>
      </c>
      <c r="G170" s="28" t="s">
        <v>1526</v>
      </c>
      <c r="H170" s="28" t="s">
        <v>1518</v>
      </c>
      <c r="I170" s="28" t="s">
        <v>3798</v>
      </c>
      <c r="J170" s="28" t="s">
        <v>3792</v>
      </c>
      <c r="K170" s="28" t="s">
        <v>4015</v>
      </c>
      <c r="L170" s="28" t="s">
        <v>4008</v>
      </c>
      <c r="M170" s="28" t="s">
        <v>4016</v>
      </c>
      <c r="N170" s="28" t="s">
        <v>4010</v>
      </c>
    </row>
    <row r="171" spans="1:14" x14ac:dyDescent="0.2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35" t="s">
        <v>980</v>
      </c>
      <c r="G171" s="28" t="s">
        <v>1519</v>
      </c>
      <c r="H171" s="28" t="s">
        <v>1520</v>
      </c>
      <c r="I171" s="28" t="s">
        <v>3874</v>
      </c>
      <c r="J171" s="28" t="s">
        <v>3773</v>
      </c>
      <c r="K171" s="28" t="s">
        <v>4017</v>
      </c>
      <c r="L171" s="28" t="s">
        <v>4018</v>
      </c>
      <c r="M171" s="28" t="s">
        <v>4019</v>
      </c>
      <c r="N171" s="28" t="s">
        <v>4020</v>
      </c>
    </row>
    <row r="172" spans="1:14" x14ac:dyDescent="0.2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35" t="s">
        <v>980</v>
      </c>
      <c r="G172" s="28" t="s">
        <v>1521</v>
      </c>
      <c r="H172" s="28" t="s">
        <v>1520</v>
      </c>
      <c r="I172" s="28" t="s">
        <v>3816</v>
      </c>
      <c r="J172" s="28" t="s">
        <v>3773</v>
      </c>
      <c r="K172" s="28" t="s">
        <v>4021</v>
      </c>
      <c r="L172" s="28" t="s">
        <v>4018</v>
      </c>
      <c r="M172" s="28" t="s">
        <v>4022</v>
      </c>
      <c r="N172" s="28" t="s">
        <v>4020</v>
      </c>
    </row>
    <row r="173" spans="1:14" x14ac:dyDescent="0.2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35" t="s">
        <v>980</v>
      </c>
      <c r="G173" s="28" t="s">
        <v>1522</v>
      </c>
      <c r="H173" s="28" t="s">
        <v>1520</v>
      </c>
      <c r="I173" s="28" t="s">
        <v>3772</v>
      </c>
      <c r="J173" s="28" t="s">
        <v>3773</v>
      </c>
      <c r="K173" s="28" t="s">
        <v>4023</v>
      </c>
      <c r="L173" s="28" t="s">
        <v>4018</v>
      </c>
      <c r="M173" s="28" t="s">
        <v>4024</v>
      </c>
      <c r="N173" s="28" t="s">
        <v>4020</v>
      </c>
    </row>
    <row r="174" spans="1:14" x14ac:dyDescent="0.2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35" t="s">
        <v>981</v>
      </c>
      <c r="G174" s="28" t="s">
        <v>1528</v>
      </c>
      <c r="H174" s="28" t="s">
        <v>1525</v>
      </c>
      <c r="I174" s="28" t="s">
        <v>3776</v>
      </c>
      <c r="J174" s="28" t="s">
        <v>3777</v>
      </c>
      <c r="K174" s="28" t="s">
        <v>4025</v>
      </c>
      <c r="L174" s="28" t="s">
        <v>4026</v>
      </c>
      <c r="M174" s="28" t="s">
        <v>4027</v>
      </c>
      <c r="N174" s="28" t="s">
        <v>4028</v>
      </c>
    </row>
    <row r="175" spans="1:14" x14ac:dyDescent="0.2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35" t="s">
        <v>981</v>
      </c>
      <c r="G175" s="28" t="s">
        <v>1524</v>
      </c>
      <c r="H175" s="28" t="s">
        <v>1525</v>
      </c>
      <c r="I175" s="28" t="s">
        <v>3780</v>
      </c>
      <c r="J175" s="28" t="s">
        <v>3777</v>
      </c>
      <c r="K175" s="28" t="s">
        <v>4029</v>
      </c>
      <c r="L175" s="28" t="s">
        <v>4026</v>
      </c>
      <c r="M175" s="28" t="s">
        <v>4030</v>
      </c>
      <c r="N175" s="28" t="s">
        <v>4028</v>
      </c>
    </row>
    <row r="176" spans="1:14" x14ac:dyDescent="0.2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35" t="s">
        <v>977</v>
      </c>
      <c r="G176" s="28" t="s">
        <v>1540</v>
      </c>
      <c r="H176" s="28" t="s">
        <v>1541</v>
      </c>
      <c r="I176" s="28" t="s">
        <v>4031</v>
      </c>
      <c r="J176" s="28" t="s">
        <v>4032</v>
      </c>
      <c r="K176" s="28" t="s">
        <v>4033</v>
      </c>
      <c r="L176" s="28" t="s">
        <v>4034</v>
      </c>
      <c r="M176" s="28" t="s">
        <v>4035</v>
      </c>
      <c r="N176" s="28" t="s">
        <v>4036</v>
      </c>
    </row>
    <row r="177" spans="1:14" x14ac:dyDescent="0.2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35" t="s">
        <v>978</v>
      </c>
      <c r="G177" s="28" t="s">
        <v>1542</v>
      </c>
      <c r="H177" s="28" t="s">
        <v>1543</v>
      </c>
      <c r="I177" s="28" t="s">
        <v>4037</v>
      </c>
      <c r="J177" s="28" t="s">
        <v>4038</v>
      </c>
      <c r="K177" s="28" t="s">
        <v>4039</v>
      </c>
      <c r="L177" s="28" t="s">
        <v>4040</v>
      </c>
      <c r="M177" s="28" t="s">
        <v>4041</v>
      </c>
      <c r="N177" s="28" t="s">
        <v>4042</v>
      </c>
    </row>
    <row r="178" spans="1:14" x14ac:dyDescent="0.2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35" t="s">
        <v>978</v>
      </c>
      <c r="G178" s="28" t="s">
        <v>1544</v>
      </c>
      <c r="H178" s="28" t="s">
        <v>1543</v>
      </c>
      <c r="I178" s="28" t="s">
        <v>4043</v>
      </c>
      <c r="J178" s="28" t="s">
        <v>4038</v>
      </c>
      <c r="K178" s="28" t="s">
        <v>4044</v>
      </c>
      <c r="L178" s="28" t="s">
        <v>4040</v>
      </c>
      <c r="M178" s="28" t="s">
        <v>4045</v>
      </c>
      <c r="N178" s="28" t="s">
        <v>4042</v>
      </c>
    </row>
    <row r="179" spans="1:14" x14ac:dyDescent="0.2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35" t="s">
        <v>978</v>
      </c>
      <c r="G179" s="28" t="s">
        <v>1545</v>
      </c>
      <c r="H179" s="28" t="s">
        <v>1543</v>
      </c>
      <c r="I179" s="28" t="s">
        <v>4046</v>
      </c>
      <c r="J179" s="28" t="s">
        <v>4038</v>
      </c>
      <c r="K179" s="28" t="s">
        <v>4047</v>
      </c>
      <c r="L179" s="28" t="s">
        <v>4040</v>
      </c>
      <c r="M179" s="28" t="s">
        <v>4048</v>
      </c>
      <c r="N179" s="28" t="s">
        <v>4042</v>
      </c>
    </row>
    <row r="180" spans="1:14" x14ac:dyDescent="0.2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35" t="s">
        <v>978</v>
      </c>
      <c r="G180" s="28" t="s">
        <v>1546</v>
      </c>
      <c r="H180" s="28" t="s">
        <v>1543</v>
      </c>
      <c r="I180" s="28" t="s">
        <v>4049</v>
      </c>
      <c r="J180" s="28" t="s">
        <v>4038</v>
      </c>
      <c r="K180" s="28" t="s">
        <v>4050</v>
      </c>
      <c r="L180" s="28" t="s">
        <v>4040</v>
      </c>
      <c r="M180" s="28" t="s">
        <v>4051</v>
      </c>
      <c r="N180" s="28" t="s">
        <v>4042</v>
      </c>
    </row>
    <row r="181" spans="1:14" x14ac:dyDescent="0.2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35" t="s">
        <v>979</v>
      </c>
      <c r="G181" s="28" t="s">
        <v>1547</v>
      </c>
      <c r="H181" s="28" t="s">
        <v>1548</v>
      </c>
      <c r="I181" s="28" t="s">
        <v>4052</v>
      </c>
      <c r="J181" s="28" t="s">
        <v>4053</v>
      </c>
      <c r="K181" s="28" t="s">
        <v>4054</v>
      </c>
      <c r="L181" s="28" t="s">
        <v>4055</v>
      </c>
      <c r="M181" s="28" t="s">
        <v>4056</v>
      </c>
      <c r="N181" s="28" t="s">
        <v>4057</v>
      </c>
    </row>
    <row r="182" spans="1:14" x14ac:dyDescent="0.2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35" t="s">
        <v>979</v>
      </c>
      <c r="G182" s="28" t="s">
        <v>1549</v>
      </c>
      <c r="H182" s="28" t="s">
        <v>1548</v>
      </c>
      <c r="I182" s="28" t="s">
        <v>4058</v>
      </c>
      <c r="J182" s="28" t="s">
        <v>4053</v>
      </c>
      <c r="K182" s="28" t="s">
        <v>4059</v>
      </c>
      <c r="L182" s="28" t="s">
        <v>4055</v>
      </c>
      <c r="M182" s="28" t="s">
        <v>4060</v>
      </c>
      <c r="N182" s="28" t="s">
        <v>4057</v>
      </c>
    </row>
    <row r="183" spans="1:14" x14ac:dyDescent="0.2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35" t="s">
        <v>979</v>
      </c>
      <c r="G183" s="28" t="s">
        <v>1550</v>
      </c>
      <c r="H183" s="28" t="s">
        <v>1548</v>
      </c>
      <c r="I183" s="28" t="s">
        <v>4061</v>
      </c>
      <c r="J183" s="28" t="s">
        <v>4053</v>
      </c>
      <c r="K183" s="28" t="s">
        <v>4062</v>
      </c>
      <c r="L183" s="28" t="s">
        <v>4055</v>
      </c>
      <c r="M183" s="28" t="s">
        <v>4063</v>
      </c>
      <c r="N183" s="28" t="s">
        <v>4057</v>
      </c>
    </row>
    <row r="184" spans="1:14" x14ac:dyDescent="0.2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35" t="s">
        <v>979</v>
      </c>
      <c r="G184" s="28" t="s">
        <v>1551</v>
      </c>
      <c r="H184" s="28" t="s">
        <v>1548</v>
      </c>
      <c r="I184" s="28" t="s">
        <v>4064</v>
      </c>
      <c r="J184" s="28" t="s">
        <v>4053</v>
      </c>
      <c r="K184" s="28" t="s">
        <v>4065</v>
      </c>
      <c r="L184" s="28" t="s">
        <v>4055</v>
      </c>
      <c r="M184" s="28" t="s">
        <v>4066</v>
      </c>
      <c r="N184" s="28" t="s">
        <v>4057</v>
      </c>
    </row>
    <row r="185" spans="1:14" x14ac:dyDescent="0.2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35" t="s">
        <v>980</v>
      </c>
      <c r="G185" s="28" t="s">
        <v>1552</v>
      </c>
      <c r="H185" s="28" t="s">
        <v>1553</v>
      </c>
      <c r="I185" s="28" t="s">
        <v>4067</v>
      </c>
      <c r="J185" s="28" t="s">
        <v>4068</v>
      </c>
      <c r="K185" s="28" t="s">
        <v>4069</v>
      </c>
      <c r="L185" s="28" t="s">
        <v>4070</v>
      </c>
      <c r="M185" s="28" t="s">
        <v>4071</v>
      </c>
      <c r="N185" s="28" t="s">
        <v>4072</v>
      </c>
    </row>
    <row r="186" spans="1:14" x14ac:dyDescent="0.2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35" t="s">
        <v>980</v>
      </c>
      <c r="G186" s="28" t="s">
        <v>1554</v>
      </c>
      <c r="H186" s="28" t="s">
        <v>1553</v>
      </c>
      <c r="I186" s="28" t="s">
        <v>4073</v>
      </c>
      <c r="J186" s="28" t="s">
        <v>4068</v>
      </c>
      <c r="K186" s="28" t="s">
        <v>4074</v>
      </c>
      <c r="L186" s="28" t="s">
        <v>4070</v>
      </c>
      <c r="M186" s="28" t="s">
        <v>4075</v>
      </c>
      <c r="N186" s="28" t="s">
        <v>4072</v>
      </c>
    </row>
    <row r="187" spans="1:14" x14ac:dyDescent="0.2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35" t="s">
        <v>983</v>
      </c>
      <c r="G187" s="28" t="s">
        <v>1555</v>
      </c>
      <c r="H187" s="28" t="s">
        <v>1556</v>
      </c>
      <c r="I187" s="28" t="s">
        <v>4076</v>
      </c>
      <c r="J187" s="28" t="s">
        <v>4077</v>
      </c>
      <c r="K187" s="28" t="s">
        <v>4078</v>
      </c>
      <c r="L187" s="28" t="s">
        <v>4079</v>
      </c>
      <c r="M187" s="28" t="s">
        <v>4080</v>
      </c>
      <c r="N187" s="28" t="s">
        <v>4081</v>
      </c>
    </row>
    <row r="188" spans="1:14" x14ac:dyDescent="0.2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35" t="s">
        <v>983</v>
      </c>
      <c r="G188" s="28" t="s">
        <v>1557</v>
      </c>
      <c r="H188" s="28" t="s">
        <v>1556</v>
      </c>
      <c r="I188" s="28" t="s">
        <v>4082</v>
      </c>
      <c r="J188" s="28" t="s">
        <v>4077</v>
      </c>
      <c r="K188" s="28" t="s">
        <v>4083</v>
      </c>
      <c r="L188" s="28" t="s">
        <v>4079</v>
      </c>
      <c r="M188" s="28" t="s">
        <v>4084</v>
      </c>
      <c r="N188" s="28" t="s">
        <v>4081</v>
      </c>
    </row>
    <row r="189" spans="1:14" x14ac:dyDescent="0.2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35" t="s">
        <v>983</v>
      </c>
      <c r="G189" s="28" t="s">
        <v>1558</v>
      </c>
      <c r="H189" s="28" t="s">
        <v>1556</v>
      </c>
      <c r="I189" s="28" t="s">
        <v>4085</v>
      </c>
      <c r="J189" s="28" t="s">
        <v>4077</v>
      </c>
      <c r="K189" s="28" t="s">
        <v>4086</v>
      </c>
      <c r="L189" s="28" t="s">
        <v>4079</v>
      </c>
      <c r="M189" s="28" t="s">
        <v>4087</v>
      </c>
      <c r="N189" s="28" t="s">
        <v>4081</v>
      </c>
    </row>
    <row r="190" spans="1:14" x14ac:dyDescent="0.2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35" t="s">
        <v>982</v>
      </c>
      <c r="G190" s="28" t="s">
        <v>1559</v>
      </c>
      <c r="H190" s="28" t="s">
        <v>1560</v>
      </c>
      <c r="I190" s="28" t="s">
        <v>4088</v>
      </c>
      <c r="J190" s="28" t="s">
        <v>4089</v>
      </c>
      <c r="K190" s="28" t="s">
        <v>4090</v>
      </c>
      <c r="L190" s="28" t="s">
        <v>4091</v>
      </c>
      <c r="M190" s="28" t="s">
        <v>4092</v>
      </c>
      <c r="N190" s="28" t="s">
        <v>4093</v>
      </c>
    </row>
    <row r="191" spans="1:14" x14ac:dyDescent="0.2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35" t="s">
        <v>982</v>
      </c>
      <c r="G191" s="28" t="s">
        <v>1561</v>
      </c>
      <c r="H191" s="28" t="s">
        <v>1560</v>
      </c>
      <c r="I191" s="28" t="s">
        <v>4094</v>
      </c>
      <c r="J191" s="28" t="s">
        <v>4089</v>
      </c>
      <c r="K191" s="28" t="s">
        <v>4095</v>
      </c>
      <c r="L191" s="28" t="s">
        <v>4091</v>
      </c>
      <c r="M191" s="28" t="s">
        <v>4096</v>
      </c>
      <c r="N191" s="28" t="s">
        <v>4093</v>
      </c>
    </row>
    <row r="192" spans="1:14" x14ac:dyDescent="0.2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35" t="s">
        <v>982</v>
      </c>
      <c r="G192" s="28" t="s">
        <v>1562</v>
      </c>
      <c r="H192" s="28" t="s">
        <v>1560</v>
      </c>
      <c r="I192" s="28" t="s">
        <v>4097</v>
      </c>
      <c r="J192" s="28" t="s">
        <v>4089</v>
      </c>
      <c r="K192" s="28" t="s">
        <v>4098</v>
      </c>
      <c r="L192" s="28" t="s">
        <v>4091</v>
      </c>
      <c r="M192" s="28" t="s">
        <v>4099</v>
      </c>
      <c r="N192" s="28" t="s">
        <v>4093</v>
      </c>
    </row>
    <row r="193" spans="1:14" x14ac:dyDescent="0.2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35" t="s">
        <v>982</v>
      </c>
      <c r="G193" s="28" t="s">
        <v>1563</v>
      </c>
      <c r="H193" s="28" t="s">
        <v>1560</v>
      </c>
      <c r="I193" s="28" t="s">
        <v>4100</v>
      </c>
      <c r="J193" s="28" t="s">
        <v>4089</v>
      </c>
      <c r="K193" s="28" t="s">
        <v>4101</v>
      </c>
      <c r="L193" s="28" t="s">
        <v>4091</v>
      </c>
      <c r="M193" s="28" t="s">
        <v>4102</v>
      </c>
      <c r="N193" s="28" t="s">
        <v>4093</v>
      </c>
    </row>
    <row r="194" spans="1:14" x14ac:dyDescent="0.2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35" t="s">
        <v>976</v>
      </c>
      <c r="G194" s="28" t="s">
        <v>1564</v>
      </c>
      <c r="H194" s="28" t="s">
        <v>1565</v>
      </c>
      <c r="I194" s="28" t="s">
        <v>4103</v>
      </c>
      <c r="J194" s="28" t="s">
        <v>4104</v>
      </c>
      <c r="K194" s="28" t="s">
        <v>4105</v>
      </c>
      <c r="L194" s="28" t="s">
        <v>4106</v>
      </c>
      <c r="M194" s="28" t="s">
        <v>4107</v>
      </c>
      <c r="N194" s="28" t="s">
        <v>4108</v>
      </c>
    </row>
    <row r="195" spans="1:14" x14ac:dyDescent="0.2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35" t="s">
        <v>976</v>
      </c>
      <c r="G195" s="28" t="s">
        <v>1566</v>
      </c>
      <c r="H195" s="28" t="s">
        <v>1565</v>
      </c>
      <c r="I195" s="28" t="s">
        <v>4109</v>
      </c>
      <c r="J195" s="28" t="s">
        <v>4104</v>
      </c>
      <c r="K195" s="28" t="s">
        <v>4110</v>
      </c>
      <c r="L195" s="28" t="s">
        <v>4106</v>
      </c>
      <c r="M195" s="28" t="s">
        <v>4111</v>
      </c>
      <c r="N195" s="28" t="s">
        <v>4108</v>
      </c>
    </row>
    <row r="196" spans="1:14" x14ac:dyDescent="0.2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35" t="s">
        <v>976</v>
      </c>
      <c r="G196" s="28" t="s">
        <v>1567</v>
      </c>
      <c r="H196" s="28" t="s">
        <v>1565</v>
      </c>
      <c r="I196" s="28" t="s">
        <v>4112</v>
      </c>
      <c r="J196" s="28" t="s">
        <v>4104</v>
      </c>
      <c r="K196" s="28" t="s">
        <v>4113</v>
      </c>
      <c r="L196" s="28" t="s">
        <v>4106</v>
      </c>
      <c r="M196" s="28" t="s">
        <v>4114</v>
      </c>
      <c r="N196" s="28" t="s">
        <v>4108</v>
      </c>
    </row>
    <row r="197" spans="1:14" x14ac:dyDescent="0.2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35" t="s">
        <v>976</v>
      </c>
      <c r="G197" s="28" t="s">
        <v>1568</v>
      </c>
      <c r="H197" s="28" t="s">
        <v>1565</v>
      </c>
      <c r="I197" s="28" t="s">
        <v>4115</v>
      </c>
      <c r="J197" s="28" t="s">
        <v>4104</v>
      </c>
      <c r="K197" s="28" t="s">
        <v>4116</v>
      </c>
      <c r="L197" s="28" t="s">
        <v>4106</v>
      </c>
      <c r="M197" s="28" t="s">
        <v>4117</v>
      </c>
      <c r="N197" s="28" t="s">
        <v>4108</v>
      </c>
    </row>
    <row r="198" spans="1:14" x14ac:dyDescent="0.2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35" t="s">
        <v>976</v>
      </c>
      <c r="G198" s="28" t="s">
        <v>1569</v>
      </c>
      <c r="H198" s="28" t="s">
        <v>1565</v>
      </c>
      <c r="I198" s="28" t="s">
        <v>4118</v>
      </c>
      <c r="J198" s="28" t="s">
        <v>4104</v>
      </c>
      <c r="K198" s="28" t="s">
        <v>4119</v>
      </c>
      <c r="L198" s="28" t="s">
        <v>4106</v>
      </c>
      <c r="M198" s="28" t="s">
        <v>4120</v>
      </c>
      <c r="N198" s="28" t="s">
        <v>4108</v>
      </c>
    </row>
    <row r="199" spans="1:14" x14ac:dyDescent="0.2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35" t="s">
        <v>977</v>
      </c>
      <c r="G199" s="28" t="s">
        <v>1570</v>
      </c>
      <c r="H199" s="28" t="s">
        <v>1541</v>
      </c>
      <c r="I199" s="28" t="s">
        <v>4121</v>
      </c>
      <c r="J199" s="28" t="s">
        <v>4032</v>
      </c>
      <c r="K199" s="28" t="s">
        <v>4122</v>
      </c>
      <c r="L199" s="28" t="s">
        <v>4034</v>
      </c>
      <c r="M199" s="28" t="s">
        <v>4123</v>
      </c>
      <c r="N199" s="28" t="s">
        <v>4036</v>
      </c>
    </row>
    <row r="200" spans="1:14" x14ac:dyDescent="0.2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35" t="s">
        <v>977</v>
      </c>
      <c r="G200" s="28" t="s">
        <v>1571</v>
      </c>
      <c r="H200" s="28" t="s">
        <v>1541</v>
      </c>
      <c r="I200" s="28" t="s">
        <v>4124</v>
      </c>
      <c r="J200" s="28" t="s">
        <v>4032</v>
      </c>
      <c r="K200" s="28" t="s">
        <v>4125</v>
      </c>
      <c r="L200" s="28" t="s">
        <v>4034</v>
      </c>
      <c r="M200" s="28" t="s">
        <v>4126</v>
      </c>
      <c r="N200" s="28" t="s">
        <v>4036</v>
      </c>
    </row>
    <row r="201" spans="1:14" x14ac:dyDescent="0.2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35" t="s">
        <v>977</v>
      </c>
      <c r="G201" s="28" t="s">
        <v>1540</v>
      </c>
      <c r="H201" s="28" t="s">
        <v>1541</v>
      </c>
      <c r="I201" s="28" t="s">
        <v>4031</v>
      </c>
      <c r="J201" s="28" t="s">
        <v>4032</v>
      </c>
      <c r="K201" s="28" t="s">
        <v>4033</v>
      </c>
      <c r="L201" s="28" t="s">
        <v>4034</v>
      </c>
      <c r="M201" s="28" t="s">
        <v>4035</v>
      </c>
      <c r="N201" s="28" t="s">
        <v>4036</v>
      </c>
    </row>
    <row r="202" spans="1:14" x14ac:dyDescent="0.2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35" t="s">
        <v>977</v>
      </c>
      <c r="G202" s="28" t="s">
        <v>1572</v>
      </c>
      <c r="H202" s="28" t="s">
        <v>1541</v>
      </c>
      <c r="I202" s="28" t="s">
        <v>4127</v>
      </c>
      <c r="J202" s="28" t="s">
        <v>4032</v>
      </c>
      <c r="K202" s="28" t="s">
        <v>4128</v>
      </c>
      <c r="L202" s="28" t="s">
        <v>4034</v>
      </c>
      <c r="M202" s="28" t="s">
        <v>4129</v>
      </c>
      <c r="N202" s="28" t="s">
        <v>4036</v>
      </c>
    </row>
    <row r="203" spans="1:14" x14ac:dyDescent="0.2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35" t="s">
        <v>978</v>
      </c>
      <c r="G203" s="28" t="s">
        <v>1542</v>
      </c>
      <c r="H203" s="28" t="s">
        <v>1543</v>
      </c>
      <c r="I203" s="28" t="s">
        <v>4037</v>
      </c>
      <c r="J203" s="28" t="s">
        <v>4038</v>
      </c>
      <c r="K203" s="28" t="s">
        <v>4039</v>
      </c>
      <c r="L203" s="28" t="s">
        <v>4040</v>
      </c>
      <c r="M203" s="28" t="s">
        <v>4041</v>
      </c>
      <c r="N203" s="28" t="s">
        <v>4042</v>
      </c>
    </row>
    <row r="204" spans="1:14" x14ac:dyDescent="0.2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35" t="s">
        <v>980</v>
      </c>
      <c r="G204" s="28" t="s">
        <v>1552</v>
      </c>
      <c r="H204" s="28" t="s">
        <v>1553</v>
      </c>
      <c r="I204" s="28" t="s">
        <v>4067</v>
      </c>
      <c r="J204" s="28" t="s">
        <v>4068</v>
      </c>
      <c r="K204" s="28" t="s">
        <v>4069</v>
      </c>
      <c r="L204" s="28" t="s">
        <v>4070</v>
      </c>
      <c r="M204" s="28" t="s">
        <v>4071</v>
      </c>
      <c r="N204" s="28" t="s">
        <v>4072</v>
      </c>
    </row>
    <row r="205" spans="1:14" x14ac:dyDescent="0.2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35" t="s">
        <v>983</v>
      </c>
      <c r="G205" s="28" t="s">
        <v>1573</v>
      </c>
      <c r="H205" s="28" t="s">
        <v>1556</v>
      </c>
      <c r="I205" s="28" t="s">
        <v>4130</v>
      </c>
      <c r="J205" s="28" t="s">
        <v>4077</v>
      </c>
      <c r="K205" s="28" t="s">
        <v>4131</v>
      </c>
      <c r="L205" s="28" t="s">
        <v>4132</v>
      </c>
      <c r="M205" s="28" t="s">
        <v>4133</v>
      </c>
      <c r="N205" s="28" t="s">
        <v>4134</v>
      </c>
    </row>
    <row r="206" spans="1:14" x14ac:dyDescent="0.2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35" t="s">
        <v>983</v>
      </c>
      <c r="G206" s="28" t="s">
        <v>1555</v>
      </c>
      <c r="H206" s="28" t="s">
        <v>1556</v>
      </c>
      <c r="I206" s="28" t="s">
        <v>4076</v>
      </c>
      <c r="J206" s="28" t="s">
        <v>4077</v>
      </c>
      <c r="K206" s="28" t="s">
        <v>4135</v>
      </c>
      <c r="L206" s="28" t="s">
        <v>4132</v>
      </c>
      <c r="M206" s="28" t="s">
        <v>4136</v>
      </c>
      <c r="N206" s="28" t="s">
        <v>4134</v>
      </c>
    </row>
    <row r="207" spans="1:14" x14ac:dyDescent="0.2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35" t="s">
        <v>983</v>
      </c>
      <c r="G207" s="28" t="s">
        <v>1557</v>
      </c>
      <c r="H207" s="28" t="s">
        <v>1556</v>
      </c>
      <c r="I207" s="28" t="s">
        <v>4082</v>
      </c>
      <c r="J207" s="28" t="s">
        <v>4077</v>
      </c>
      <c r="K207" s="28" t="s">
        <v>4137</v>
      </c>
      <c r="L207" s="28" t="s">
        <v>4132</v>
      </c>
      <c r="M207" s="28" t="s">
        <v>4138</v>
      </c>
      <c r="N207" s="28" t="s">
        <v>4134</v>
      </c>
    </row>
    <row r="208" spans="1:14" x14ac:dyDescent="0.2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35" t="s">
        <v>983</v>
      </c>
      <c r="G208" s="28" t="s">
        <v>1558</v>
      </c>
      <c r="H208" s="28" t="s">
        <v>1556</v>
      </c>
      <c r="I208" s="28" t="s">
        <v>4085</v>
      </c>
      <c r="J208" s="28" t="s">
        <v>4077</v>
      </c>
      <c r="K208" s="28" t="s">
        <v>4139</v>
      </c>
      <c r="L208" s="28" t="s">
        <v>4132</v>
      </c>
      <c r="M208" s="28" t="s">
        <v>4140</v>
      </c>
      <c r="N208" s="28" t="s">
        <v>4134</v>
      </c>
    </row>
    <row r="209" spans="1:14" x14ac:dyDescent="0.2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35" t="s">
        <v>982</v>
      </c>
      <c r="G209" s="28" t="s">
        <v>1559</v>
      </c>
      <c r="H209" s="28" t="s">
        <v>1560</v>
      </c>
      <c r="I209" s="28" t="s">
        <v>4088</v>
      </c>
      <c r="J209" s="28" t="s">
        <v>4089</v>
      </c>
      <c r="K209" s="28" t="s">
        <v>4141</v>
      </c>
      <c r="L209" s="28" t="s">
        <v>4142</v>
      </c>
      <c r="M209" s="28" t="s">
        <v>4143</v>
      </c>
      <c r="N209" s="28" t="s">
        <v>4144</v>
      </c>
    </row>
    <row r="210" spans="1:14" x14ac:dyDescent="0.2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35" t="s">
        <v>982</v>
      </c>
      <c r="G210" s="28" t="s">
        <v>1561</v>
      </c>
      <c r="H210" s="28" t="s">
        <v>1560</v>
      </c>
      <c r="I210" s="28" t="s">
        <v>4094</v>
      </c>
      <c r="J210" s="28" t="s">
        <v>4089</v>
      </c>
      <c r="K210" s="28" t="s">
        <v>4145</v>
      </c>
      <c r="L210" s="28" t="s">
        <v>4142</v>
      </c>
      <c r="M210" s="28" t="s">
        <v>4146</v>
      </c>
      <c r="N210" s="28" t="s">
        <v>4144</v>
      </c>
    </row>
    <row r="211" spans="1:14" x14ac:dyDescent="0.2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35" t="s">
        <v>982</v>
      </c>
      <c r="G211" s="28" t="s">
        <v>1562</v>
      </c>
      <c r="H211" s="28" t="s">
        <v>1560</v>
      </c>
      <c r="I211" s="28" t="s">
        <v>4097</v>
      </c>
      <c r="J211" s="28" t="s">
        <v>4089</v>
      </c>
      <c r="K211" s="28" t="s">
        <v>4147</v>
      </c>
      <c r="L211" s="28" t="s">
        <v>4142</v>
      </c>
      <c r="M211" s="28" t="s">
        <v>4148</v>
      </c>
      <c r="N211" s="28" t="s">
        <v>4144</v>
      </c>
    </row>
    <row r="212" spans="1:14" x14ac:dyDescent="0.2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35" t="s">
        <v>982</v>
      </c>
      <c r="G212" s="28" t="s">
        <v>1563</v>
      </c>
      <c r="H212" s="28" t="s">
        <v>1560</v>
      </c>
      <c r="I212" s="28" t="s">
        <v>4100</v>
      </c>
      <c r="J212" s="28" t="s">
        <v>4089</v>
      </c>
      <c r="K212" s="28" t="s">
        <v>4149</v>
      </c>
      <c r="L212" s="28" t="s">
        <v>4142</v>
      </c>
      <c r="M212" s="28" t="s">
        <v>4150</v>
      </c>
      <c r="N212" s="28" t="s">
        <v>4144</v>
      </c>
    </row>
    <row r="213" spans="1:14" x14ac:dyDescent="0.2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35" t="s">
        <v>976</v>
      </c>
      <c r="G213" s="28" t="s">
        <v>1564</v>
      </c>
      <c r="H213" s="28" t="s">
        <v>1565</v>
      </c>
      <c r="I213" s="28" t="s">
        <v>4103</v>
      </c>
      <c r="J213" s="28" t="s">
        <v>4104</v>
      </c>
      <c r="K213" s="28" t="s">
        <v>4151</v>
      </c>
      <c r="L213" s="28" t="s">
        <v>4152</v>
      </c>
      <c r="M213" s="28" t="s">
        <v>4153</v>
      </c>
      <c r="N213" s="28" t="s">
        <v>4154</v>
      </c>
    </row>
    <row r="214" spans="1:14" x14ac:dyDescent="0.2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35" t="s">
        <v>976</v>
      </c>
      <c r="G214" s="28" t="s">
        <v>1566</v>
      </c>
      <c r="H214" s="28" t="s">
        <v>1565</v>
      </c>
      <c r="I214" s="28" t="s">
        <v>4109</v>
      </c>
      <c r="J214" s="28" t="s">
        <v>4104</v>
      </c>
      <c r="K214" s="28" t="s">
        <v>4155</v>
      </c>
      <c r="L214" s="28" t="s">
        <v>4152</v>
      </c>
      <c r="M214" s="28" t="s">
        <v>4156</v>
      </c>
      <c r="N214" s="28" t="s">
        <v>4154</v>
      </c>
    </row>
    <row r="215" spans="1:14" x14ac:dyDescent="0.2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35" t="s">
        <v>976</v>
      </c>
      <c r="G215" s="28" t="s">
        <v>1567</v>
      </c>
      <c r="H215" s="28" t="s">
        <v>1565</v>
      </c>
      <c r="I215" s="28" t="s">
        <v>4112</v>
      </c>
      <c r="J215" s="28" t="s">
        <v>4104</v>
      </c>
      <c r="K215" s="28" t="s">
        <v>4157</v>
      </c>
      <c r="L215" s="28" t="s">
        <v>4152</v>
      </c>
      <c r="M215" s="28" t="s">
        <v>4158</v>
      </c>
      <c r="N215" s="28" t="s">
        <v>4154</v>
      </c>
    </row>
    <row r="216" spans="1:14" x14ac:dyDescent="0.2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35" t="s">
        <v>976</v>
      </c>
      <c r="G216" s="28" t="s">
        <v>1568</v>
      </c>
      <c r="H216" s="28" t="s">
        <v>1565</v>
      </c>
      <c r="I216" s="28" t="s">
        <v>4115</v>
      </c>
      <c r="J216" s="28" t="s">
        <v>4104</v>
      </c>
      <c r="K216" s="28" t="s">
        <v>4159</v>
      </c>
      <c r="L216" s="28" t="s">
        <v>4152</v>
      </c>
      <c r="M216" s="28" t="s">
        <v>4160</v>
      </c>
      <c r="N216" s="28" t="s">
        <v>4154</v>
      </c>
    </row>
    <row r="217" spans="1:14" x14ac:dyDescent="0.2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35" t="s">
        <v>976</v>
      </c>
      <c r="G217" s="28" t="s">
        <v>1569</v>
      </c>
      <c r="H217" s="28" t="s">
        <v>1565</v>
      </c>
      <c r="I217" s="28" t="s">
        <v>4118</v>
      </c>
      <c r="J217" s="28" t="s">
        <v>4104</v>
      </c>
      <c r="K217" s="28" t="s">
        <v>4161</v>
      </c>
      <c r="L217" s="28" t="s">
        <v>4152</v>
      </c>
      <c r="M217" s="28" t="s">
        <v>4162</v>
      </c>
      <c r="N217" s="28" t="s">
        <v>4154</v>
      </c>
    </row>
    <row r="218" spans="1:14" x14ac:dyDescent="0.2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35" t="s">
        <v>977</v>
      </c>
      <c r="G218" s="28" t="s">
        <v>1570</v>
      </c>
      <c r="H218" s="28" t="s">
        <v>1541</v>
      </c>
      <c r="I218" s="28" t="s">
        <v>4121</v>
      </c>
      <c r="J218" s="28" t="s">
        <v>4032</v>
      </c>
      <c r="K218" s="28" t="s">
        <v>4163</v>
      </c>
      <c r="L218" s="28" t="s">
        <v>4164</v>
      </c>
      <c r="M218" s="28" t="s">
        <v>4165</v>
      </c>
      <c r="N218" s="28" t="s">
        <v>4166</v>
      </c>
    </row>
    <row r="219" spans="1:14" x14ac:dyDescent="0.2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35" t="s">
        <v>977</v>
      </c>
      <c r="G219" s="28" t="s">
        <v>1540</v>
      </c>
      <c r="H219" s="28" t="s">
        <v>1541</v>
      </c>
      <c r="I219" s="28" t="s">
        <v>4031</v>
      </c>
      <c r="J219" s="28" t="s">
        <v>4032</v>
      </c>
      <c r="K219" s="28" t="s">
        <v>4167</v>
      </c>
      <c r="L219" s="28" t="s">
        <v>4164</v>
      </c>
      <c r="M219" s="28" t="s">
        <v>4168</v>
      </c>
      <c r="N219" s="28" t="s">
        <v>4166</v>
      </c>
    </row>
    <row r="220" spans="1:14" x14ac:dyDescent="0.2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35" t="s">
        <v>977</v>
      </c>
      <c r="G220" s="28" t="s">
        <v>1572</v>
      </c>
      <c r="H220" s="28" t="s">
        <v>1541</v>
      </c>
      <c r="I220" s="28" t="s">
        <v>4127</v>
      </c>
      <c r="J220" s="28" t="s">
        <v>4032</v>
      </c>
      <c r="K220" s="28" t="s">
        <v>4169</v>
      </c>
      <c r="L220" s="28" t="s">
        <v>4164</v>
      </c>
      <c r="M220" s="28" t="s">
        <v>4170</v>
      </c>
      <c r="N220" s="28" t="s">
        <v>4166</v>
      </c>
    </row>
    <row r="221" spans="1:14" x14ac:dyDescent="0.2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35" t="s">
        <v>978</v>
      </c>
      <c r="G221" s="28" t="s">
        <v>1542</v>
      </c>
      <c r="H221" s="28" t="s">
        <v>1543</v>
      </c>
      <c r="I221" s="28" t="s">
        <v>4037</v>
      </c>
      <c r="J221" s="28" t="s">
        <v>4038</v>
      </c>
      <c r="K221" s="28" t="s">
        <v>4171</v>
      </c>
      <c r="L221" s="28" t="s">
        <v>4172</v>
      </c>
      <c r="M221" s="28" t="s">
        <v>4173</v>
      </c>
      <c r="N221" s="28" t="s">
        <v>4174</v>
      </c>
    </row>
    <row r="222" spans="1:14" x14ac:dyDescent="0.2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35" t="s">
        <v>978</v>
      </c>
      <c r="G222" s="28" t="s">
        <v>1544</v>
      </c>
      <c r="H222" s="28" t="s">
        <v>1543</v>
      </c>
      <c r="I222" s="28" t="s">
        <v>4043</v>
      </c>
      <c r="J222" s="28" t="s">
        <v>4038</v>
      </c>
      <c r="K222" s="28" t="s">
        <v>4175</v>
      </c>
      <c r="L222" s="28" t="s">
        <v>4172</v>
      </c>
      <c r="M222" s="28" t="s">
        <v>4176</v>
      </c>
      <c r="N222" s="28" t="s">
        <v>4174</v>
      </c>
    </row>
    <row r="223" spans="1:14" x14ac:dyDescent="0.2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35" t="s">
        <v>978</v>
      </c>
      <c r="G223" s="28" t="s">
        <v>1545</v>
      </c>
      <c r="H223" s="28" t="s">
        <v>1543</v>
      </c>
      <c r="I223" s="28" t="s">
        <v>4046</v>
      </c>
      <c r="J223" s="28" t="s">
        <v>4038</v>
      </c>
      <c r="K223" s="28" t="s">
        <v>4177</v>
      </c>
      <c r="L223" s="28" t="s">
        <v>4172</v>
      </c>
      <c r="M223" s="28" t="s">
        <v>4178</v>
      </c>
      <c r="N223" s="28" t="s">
        <v>4174</v>
      </c>
    </row>
    <row r="224" spans="1:14" x14ac:dyDescent="0.2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35" t="s">
        <v>978</v>
      </c>
      <c r="G224" s="28" t="s">
        <v>1546</v>
      </c>
      <c r="H224" s="28" t="s">
        <v>1543</v>
      </c>
      <c r="I224" s="28" t="s">
        <v>4049</v>
      </c>
      <c r="J224" s="28" t="s">
        <v>4038</v>
      </c>
      <c r="K224" s="28" t="s">
        <v>4179</v>
      </c>
      <c r="L224" s="28" t="s">
        <v>4172</v>
      </c>
      <c r="M224" s="28" t="s">
        <v>4180</v>
      </c>
      <c r="N224" s="28" t="s">
        <v>4174</v>
      </c>
    </row>
    <row r="225" spans="1:14" x14ac:dyDescent="0.2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35" t="s">
        <v>979</v>
      </c>
      <c r="G225" s="28" t="s">
        <v>1547</v>
      </c>
      <c r="H225" s="28" t="s">
        <v>1548</v>
      </c>
      <c r="I225" s="28" t="s">
        <v>4052</v>
      </c>
      <c r="J225" s="28" t="s">
        <v>4053</v>
      </c>
      <c r="K225" s="28" t="s">
        <v>4181</v>
      </c>
      <c r="L225" s="28" t="s">
        <v>4182</v>
      </c>
      <c r="M225" s="28" t="s">
        <v>4183</v>
      </c>
      <c r="N225" s="28" t="s">
        <v>4184</v>
      </c>
    </row>
    <row r="226" spans="1:14" x14ac:dyDescent="0.2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35" t="s">
        <v>979</v>
      </c>
      <c r="G226" s="28" t="s">
        <v>1549</v>
      </c>
      <c r="H226" s="28" t="s">
        <v>1548</v>
      </c>
      <c r="I226" s="28" t="s">
        <v>4058</v>
      </c>
      <c r="J226" s="28" t="s">
        <v>4053</v>
      </c>
      <c r="K226" s="28" t="s">
        <v>4185</v>
      </c>
      <c r="L226" s="28" t="s">
        <v>4182</v>
      </c>
      <c r="M226" s="28" t="s">
        <v>4186</v>
      </c>
      <c r="N226" s="28" t="s">
        <v>4184</v>
      </c>
    </row>
    <row r="227" spans="1:14" x14ac:dyDescent="0.2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35" t="s">
        <v>979</v>
      </c>
      <c r="G227" s="28" t="s">
        <v>1550</v>
      </c>
      <c r="H227" s="28" t="s">
        <v>1548</v>
      </c>
      <c r="I227" s="28" t="s">
        <v>4061</v>
      </c>
      <c r="J227" s="28" t="s">
        <v>4053</v>
      </c>
      <c r="K227" s="28" t="s">
        <v>4187</v>
      </c>
      <c r="L227" s="28" t="s">
        <v>4182</v>
      </c>
      <c r="M227" s="28" t="s">
        <v>4188</v>
      </c>
      <c r="N227" s="28" t="s">
        <v>4184</v>
      </c>
    </row>
    <row r="228" spans="1:14" x14ac:dyDescent="0.2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35" t="s">
        <v>979</v>
      </c>
      <c r="G228" s="28" t="s">
        <v>1551</v>
      </c>
      <c r="H228" s="28" t="s">
        <v>1548</v>
      </c>
      <c r="I228" s="28" t="s">
        <v>4064</v>
      </c>
      <c r="J228" s="28" t="s">
        <v>4053</v>
      </c>
      <c r="K228" s="28" t="s">
        <v>4189</v>
      </c>
      <c r="L228" s="28" t="s">
        <v>4182</v>
      </c>
      <c r="M228" s="28" t="s">
        <v>4190</v>
      </c>
      <c r="N228" s="28" t="s">
        <v>4184</v>
      </c>
    </row>
    <row r="229" spans="1:14" x14ac:dyDescent="0.2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35" t="s">
        <v>981</v>
      </c>
      <c r="G229" s="28" t="s">
        <v>1574</v>
      </c>
      <c r="H229" s="28" t="s">
        <v>1575</v>
      </c>
      <c r="I229" s="28" t="s">
        <v>4191</v>
      </c>
      <c r="J229" s="28" t="s">
        <v>4192</v>
      </c>
      <c r="K229" s="28" t="s">
        <v>4193</v>
      </c>
      <c r="L229" s="28" t="s">
        <v>4194</v>
      </c>
      <c r="M229" s="28" t="s">
        <v>4195</v>
      </c>
      <c r="N229" s="28" t="s">
        <v>4196</v>
      </c>
    </row>
    <row r="230" spans="1:14" x14ac:dyDescent="0.2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35" t="s">
        <v>983</v>
      </c>
      <c r="G230" s="28" t="s">
        <v>1573</v>
      </c>
      <c r="H230" s="28" t="s">
        <v>1556</v>
      </c>
      <c r="I230" s="28" t="s">
        <v>4130</v>
      </c>
      <c r="J230" s="28" t="s">
        <v>4077</v>
      </c>
      <c r="K230" s="28" t="s">
        <v>4197</v>
      </c>
      <c r="L230" s="28" t="s">
        <v>4198</v>
      </c>
      <c r="M230" s="28" t="s">
        <v>4199</v>
      </c>
      <c r="N230" s="28" t="s">
        <v>4200</v>
      </c>
    </row>
    <row r="231" spans="1:14" x14ac:dyDescent="0.2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35" t="s">
        <v>983</v>
      </c>
      <c r="G231" s="28" t="s">
        <v>1555</v>
      </c>
      <c r="H231" s="28" t="s">
        <v>1556</v>
      </c>
      <c r="I231" s="28" t="s">
        <v>4076</v>
      </c>
      <c r="J231" s="28" t="s">
        <v>4077</v>
      </c>
      <c r="K231" s="28" t="s">
        <v>4201</v>
      </c>
      <c r="L231" s="28" t="s">
        <v>4198</v>
      </c>
      <c r="M231" s="28" t="s">
        <v>4202</v>
      </c>
      <c r="N231" s="28" t="s">
        <v>4200</v>
      </c>
    </row>
    <row r="232" spans="1:14" x14ac:dyDescent="0.2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35" t="s">
        <v>983</v>
      </c>
      <c r="G232" s="28" t="s">
        <v>1557</v>
      </c>
      <c r="H232" s="28" t="s">
        <v>1556</v>
      </c>
      <c r="I232" s="28" t="s">
        <v>4082</v>
      </c>
      <c r="J232" s="28" t="s">
        <v>4077</v>
      </c>
      <c r="K232" s="28" t="s">
        <v>4203</v>
      </c>
      <c r="L232" s="28" t="s">
        <v>4198</v>
      </c>
      <c r="M232" s="28" t="s">
        <v>4204</v>
      </c>
      <c r="N232" s="28" t="s">
        <v>4200</v>
      </c>
    </row>
    <row r="233" spans="1:14" x14ac:dyDescent="0.2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35" t="s">
        <v>976</v>
      </c>
      <c r="G233" s="28" t="s">
        <v>1566</v>
      </c>
      <c r="H233" s="28" t="s">
        <v>1565</v>
      </c>
      <c r="I233" s="28" t="s">
        <v>4109</v>
      </c>
      <c r="J233" s="28" t="s">
        <v>4104</v>
      </c>
      <c r="K233" s="28" t="s">
        <v>4205</v>
      </c>
      <c r="L233" s="28" t="s">
        <v>4206</v>
      </c>
      <c r="M233" s="28" t="s">
        <v>4207</v>
      </c>
      <c r="N233" s="28" t="s">
        <v>4208</v>
      </c>
    </row>
    <row r="234" spans="1:14" x14ac:dyDescent="0.2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35" t="s">
        <v>976</v>
      </c>
      <c r="G234" s="28" t="s">
        <v>1567</v>
      </c>
      <c r="H234" s="28" t="s">
        <v>1565</v>
      </c>
      <c r="I234" s="28" t="s">
        <v>4112</v>
      </c>
      <c r="J234" s="28" t="s">
        <v>4104</v>
      </c>
      <c r="K234" s="28" t="s">
        <v>4209</v>
      </c>
      <c r="L234" s="28" t="s">
        <v>4206</v>
      </c>
      <c r="M234" s="28" t="s">
        <v>4210</v>
      </c>
      <c r="N234" s="28" t="s">
        <v>4208</v>
      </c>
    </row>
    <row r="235" spans="1:14" x14ac:dyDescent="0.2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35" t="s">
        <v>976</v>
      </c>
      <c r="G235" s="28" t="s">
        <v>1568</v>
      </c>
      <c r="H235" s="28" t="s">
        <v>1565</v>
      </c>
      <c r="I235" s="28" t="s">
        <v>4115</v>
      </c>
      <c r="J235" s="28" t="s">
        <v>4104</v>
      </c>
      <c r="K235" s="28" t="s">
        <v>4211</v>
      </c>
      <c r="L235" s="28" t="s">
        <v>4206</v>
      </c>
      <c r="M235" s="28" t="s">
        <v>4212</v>
      </c>
      <c r="N235" s="28" t="s">
        <v>4208</v>
      </c>
    </row>
    <row r="236" spans="1:14" x14ac:dyDescent="0.2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35" t="s">
        <v>976</v>
      </c>
      <c r="G236" s="28" t="s">
        <v>1569</v>
      </c>
      <c r="H236" s="28" t="s">
        <v>1565</v>
      </c>
      <c r="I236" s="28" t="s">
        <v>4118</v>
      </c>
      <c r="J236" s="28" t="s">
        <v>4104</v>
      </c>
      <c r="K236" s="28" t="s">
        <v>4213</v>
      </c>
      <c r="L236" s="28" t="s">
        <v>4206</v>
      </c>
      <c r="M236" s="28" t="s">
        <v>4214</v>
      </c>
      <c r="N236" s="28" t="s">
        <v>4208</v>
      </c>
    </row>
    <row r="237" spans="1:14" x14ac:dyDescent="0.2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35" t="s">
        <v>977</v>
      </c>
      <c r="G237" s="28" t="s">
        <v>1570</v>
      </c>
      <c r="H237" s="28" t="s">
        <v>1541</v>
      </c>
      <c r="I237" s="28" t="s">
        <v>4121</v>
      </c>
      <c r="J237" s="28" t="s">
        <v>4032</v>
      </c>
      <c r="K237" s="28" t="s">
        <v>4215</v>
      </c>
      <c r="L237" s="28" t="s">
        <v>4216</v>
      </c>
      <c r="M237" s="28" t="s">
        <v>4217</v>
      </c>
      <c r="N237" s="28" t="s">
        <v>4218</v>
      </c>
    </row>
    <row r="238" spans="1:14" x14ac:dyDescent="0.2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35" t="s">
        <v>978</v>
      </c>
      <c r="G238" s="28" t="s">
        <v>1544</v>
      </c>
      <c r="H238" s="28" t="s">
        <v>1543</v>
      </c>
      <c r="I238" s="28" t="s">
        <v>4043</v>
      </c>
      <c r="J238" s="28" t="s">
        <v>4038</v>
      </c>
      <c r="K238" s="28" t="s">
        <v>4219</v>
      </c>
      <c r="L238" s="28" t="s">
        <v>4220</v>
      </c>
      <c r="M238" s="28" t="s">
        <v>4221</v>
      </c>
      <c r="N238" s="28" t="s">
        <v>4222</v>
      </c>
    </row>
    <row r="239" spans="1:14" x14ac:dyDescent="0.2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35" t="s">
        <v>983</v>
      </c>
      <c r="G239" s="28" t="s">
        <v>1555</v>
      </c>
      <c r="H239" s="28" t="s">
        <v>1556</v>
      </c>
      <c r="I239" s="28" t="s">
        <v>4076</v>
      </c>
      <c r="J239" s="28" t="s">
        <v>4077</v>
      </c>
      <c r="K239" s="28" t="s">
        <v>4223</v>
      </c>
      <c r="L239" s="28" t="s">
        <v>4224</v>
      </c>
      <c r="M239" s="28" t="s">
        <v>4225</v>
      </c>
      <c r="N239" s="28" t="s">
        <v>4226</v>
      </c>
    </row>
    <row r="240" spans="1:14" x14ac:dyDescent="0.2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35" t="s">
        <v>983</v>
      </c>
      <c r="G240" s="28" t="s">
        <v>1557</v>
      </c>
      <c r="H240" s="28" t="s">
        <v>1556</v>
      </c>
      <c r="I240" s="28" t="s">
        <v>4082</v>
      </c>
      <c r="J240" s="28" t="s">
        <v>4077</v>
      </c>
      <c r="K240" s="28" t="s">
        <v>4227</v>
      </c>
      <c r="L240" s="28" t="s">
        <v>4224</v>
      </c>
      <c r="M240" s="28" t="s">
        <v>4228</v>
      </c>
      <c r="N240" s="28" t="s">
        <v>4226</v>
      </c>
    </row>
    <row r="241" spans="1:14" x14ac:dyDescent="0.2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35" t="s">
        <v>982</v>
      </c>
      <c r="G241" s="28" t="s">
        <v>1561</v>
      </c>
      <c r="H241" s="28" t="s">
        <v>1560</v>
      </c>
      <c r="I241" s="28" t="s">
        <v>4094</v>
      </c>
      <c r="J241" s="28" t="s">
        <v>4089</v>
      </c>
      <c r="K241" s="28" t="s">
        <v>4229</v>
      </c>
      <c r="L241" s="28" t="s">
        <v>4230</v>
      </c>
      <c r="M241" s="28" t="s">
        <v>4231</v>
      </c>
      <c r="N241" s="28" t="s">
        <v>4232</v>
      </c>
    </row>
    <row r="242" spans="1:14" x14ac:dyDescent="0.2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35" t="s">
        <v>982</v>
      </c>
      <c r="G242" s="28" t="s">
        <v>1562</v>
      </c>
      <c r="H242" s="28" t="s">
        <v>1560</v>
      </c>
      <c r="I242" s="28" t="s">
        <v>4097</v>
      </c>
      <c r="J242" s="28" t="s">
        <v>4089</v>
      </c>
      <c r="K242" s="28" t="s">
        <v>4233</v>
      </c>
      <c r="L242" s="28" t="s">
        <v>4230</v>
      </c>
      <c r="M242" s="28" t="s">
        <v>4234</v>
      </c>
      <c r="N242" s="28" t="s">
        <v>4232</v>
      </c>
    </row>
    <row r="243" spans="1:14" x14ac:dyDescent="0.2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35" t="s">
        <v>976</v>
      </c>
      <c r="G243" s="28" t="s">
        <v>1566</v>
      </c>
      <c r="H243" s="28" t="s">
        <v>1565</v>
      </c>
      <c r="I243" s="28" t="s">
        <v>4109</v>
      </c>
      <c r="J243" s="28" t="s">
        <v>4104</v>
      </c>
      <c r="K243" s="28" t="s">
        <v>4235</v>
      </c>
      <c r="L243" s="28" t="s">
        <v>4236</v>
      </c>
      <c r="M243" s="28" t="s">
        <v>4237</v>
      </c>
      <c r="N243" s="28" t="s">
        <v>4238</v>
      </c>
    </row>
    <row r="244" spans="1:14" x14ac:dyDescent="0.2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35" t="s">
        <v>977</v>
      </c>
      <c r="G244" s="28" t="s">
        <v>1570</v>
      </c>
      <c r="H244" s="28" t="s">
        <v>1541</v>
      </c>
      <c r="I244" s="28" t="s">
        <v>4121</v>
      </c>
      <c r="J244" s="28" t="s">
        <v>4032</v>
      </c>
      <c r="K244" s="28" t="s">
        <v>4239</v>
      </c>
      <c r="L244" s="28" t="s">
        <v>4240</v>
      </c>
      <c r="M244" s="28" t="s">
        <v>4241</v>
      </c>
      <c r="N244" s="28" t="s">
        <v>4242</v>
      </c>
    </row>
    <row r="245" spans="1:14" x14ac:dyDescent="0.2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35" t="s">
        <v>977</v>
      </c>
      <c r="G245" s="28" t="s">
        <v>1571</v>
      </c>
      <c r="H245" s="28" t="s">
        <v>1541</v>
      </c>
      <c r="I245" s="28" t="s">
        <v>4124</v>
      </c>
      <c r="J245" s="28" t="s">
        <v>4032</v>
      </c>
      <c r="K245" s="28" t="s">
        <v>4243</v>
      </c>
      <c r="L245" s="28" t="s">
        <v>4240</v>
      </c>
      <c r="M245" s="28" t="s">
        <v>4244</v>
      </c>
      <c r="N245" s="28" t="s">
        <v>4242</v>
      </c>
    </row>
    <row r="246" spans="1:14" x14ac:dyDescent="0.2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35" t="s">
        <v>983</v>
      </c>
      <c r="G246" s="28" t="s">
        <v>1573</v>
      </c>
      <c r="H246" s="28" t="s">
        <v>1556</v>
      </c>
      <c r="I246" s="28" t="s">
        <v>4130</v>
      </c>
      <c r="J246" s="28" t="s">
        <v>4077</v>
      </c>
      <c r="K246" s="28" t="s">
        <v>4245</v>
      </c>
      <c r="L246" s="28" t="s">
        <v>4246</v>
      </c>
      <c r="M246" s="28" t="s">
        <v>4247</v>
      </c>
      <c r="N246" s="28" t="s">
        <v>4248</v>
      </c>
    </row>
    <row r="247" spans="1:14" x14ac:dyDescent="0.2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35" t="s">
        <v>983</v>
      </c>
      <c r="G247" s="28" t="s">
        <v>1555</v>
      </c>
      <c r="H247" s="28" t="s">
        <v>1556</v>
      </c>
      <c r="I247" s="28" t="s">
        <v>4076</v>
      </c>
      <c r="J247" s="28" t="s">
        <v>4077</v>
      </c>
      <c r="K247" s="28" t="s">
        <v>4249</v>
      </c>
      <c r="L247" s="28" t="s">
        <v>4246</v>
      </c>
      <c r="M247" s="28" t="s">
        <v>4250</v>
      </c>
      <c r="N247" s="28" t="s">
        <v>4248</v>
      </c>
    </row>
    <row r="248" spans="1:14" x14ac:dyDescent="0.2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35" t="s">
        <v>983</v>
      </c>
      <c r="G248" s="28" t="s">
        <v>1557</v>
      </c>
      <c r="H248" s="28" t="s">
        <v>1556</v>
      </c>
      <c r="I248" s="28" t="s">
        <v>4082</v>
      </c>
      <c r="J248" s="28" t="s">
        <v>4077</v>
      </c>
      <c r="K248" s="28" t="s">
        <v>4251</v>
      </c>
      <c r="L248" s="28" t="s">
        <v>4246</v>
      </c>
      <c r="M248" s="28" t="s">
        <v>4252</v>
      </c>
      <c r="N248" s="28" t="s">
        <v>4248</v>
      </c>
    </row>
    <row r="249" spans="1:14" x14ac:dyDescent="0.2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35" t="s">
        <v>983</v>
      </c>
      <c r="G249" s="28" t="s">
        <v>1558</v>
      </c>
      <c r="H249" s="28" t="s">
        <v>1556</v>
      </c>
      <c r="I249" s="28" t="s">
        <v>4085</v>
      </c>
      <c r="J249" s="28" t="s">
        <v>4077</v>
      </c>
      <c r="K249" s="28" t="s">
        <v>4253</v>
      </c>
      <c r="L249" s="28" t="s">
        <v>4246</v>
      </c>
      <c r="M249" s="28" t="s">
        <v>4254</v>
      </c>
      <c r="N249" s="28" t="s">
        <v>4248</v>
      </c>
    </row>
    <row r="250" spans="1:14" x14ac:dyDescent="0.2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35" t="s">
        <v>982</v>
      </c>
      <c r="G250" s="28" t="s">
        <v>1559</v>
      </c>
      <c r="H250" s="28" t="s">
        <v>1560</v>
      </c>
      <c r="I250" s="28" t="s">
        <v>4088</v>
      </c>
      <c r="J250" s="28" t="s">
        <v>4089</v>
      </c>
      <c r="K250" s="28" t="s">
        <v>4255</v>
      </c>
      <c r="L250" s="28" t="s">
        <v>4256</v>
      </c>
      <c r="M250" s="28" t="s">
        <v>4257</v>
      </c>
      <c r="N250" s="28" t="s">
        <v>4258</v>
      </c>
    </row>
    <row r="251" spans="1:14" x14ac:dyDescent="0.2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35" t="s">
        <v>982</v>
      </c>
      <c r="G251" s="28" t="s">
        <v>1561</v>
      </c>
      <c r="H251" s="28" t="s">
        <v>1560</v>
      </c>
      <c r="I251" s="28" t="s">
        <v>4094</v>
      </c>
      <c r="J251" s="28" t="s">
        <v>4089</v>
      </c>
      <c r="K251" s="28" t="s">
        <v>4259</v>
      </c>
      <c r="L251" s="28" t="s">
        <v>4256</v>
      </c>
      <c r="M251" s="28" t="s">
        <v>4260</v>
      </c>
      <c r="N251" s="28" t="s">
        <v>4258</v>
      </c>
    </row>
    <row r="252" spans="1:14" x14ac:dyDescent="0.2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35" t="s">
        <v>982</v>
      </c>
      <c r="G252" s="28" t="s">
        <v>1562</v>
      </c>
      <c r="H252" s="28" t="s">
        <v>1560</v>
      </c>
      <c r="I252" s="28" t="s">
        <v>4097</v>
      </c>
      <c r="J252" s="28" t="s">
        <v>4089</v>
      </c>
      <c r="K252" s="28" t="s">
        <v>4261</v>
      </c>
      <c r="L252" s="28" t="s">
        <v>4256</v>
      </c>
      <c r="M252" s="28" t="s">
        <v>4262</v>
      </c>
      <c r="N252" s="28" t="s">
        <v>4258</v>
      </c>
    </row>
    <row r="253" spans="1:14" x14ac:dyDescent="0.2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35" t="s">
        <v>982</v>
      </c>
      <c r="G253" s="28" t="s">
        <v>1563</v>
      </c>
      <c r="H253" s="28" t="s">
        <v>1560</v>
      </c>
      <c r="I253" s="28" t="s">
        <v>4100</v>
      </c>
      <c r="J253" s="28" t="s">
        <v>4089</v>
      </c>
      <c r="K253" s="28" t="s">
        <v>4263</v>
      </c>
      <c r="L253" s="28" t="s">
        <v>4256</v>
      </c>
      <c r="M253" s="28" t="s">
        <v>4264</v>
      </c>
      <c r="N253" s="28" t="s">
        <v>4258</v>
      </c>
    </row>
    <row r="254" spans="1:14" x14ac:dyDescent="0.2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35" t="s">
        <v>983</v>
      </c>
      <c r="G254" s="28" t="s">
        <v>1573</v>
      </c>
      <c r="H254" s="28" t="s">
        <v>1556</v>
      </c>
      <c r="I254" s="28" t="s">
        <v>4130</v>
      </c>
      <c r="J254" s="28" t="s">
        <v>4077</v>
      </c>
      <c r="K254" s="28" t="s">
        <v>4265</v>
      </c>
      <c r="L254" s="28" t="s">
        <v>4266</v>
      </c>
      <c r="M254" s="28" t="s">
        <v>4267</v>
      </c>
      <c r="N254" s="28" t="s">
        <v>4268</v>
      </c>
    </row>
    <row r="255" spans="1:14" x14ac:dyDescent="0.2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35" t="s">
        <v>983</v>
      </c>
      <c r="G255" s="28" t="s">
        <v>1555</v>
      </c>
      <c r="H255" s="28" t="s">
        <v>1556</v>
      </c>
      <c r="I255" s="28" t="s">
        <v>4076</v>
      </c>
      <c r="J255" s="28" t="s">
        <v>4077</v>
      </c>
      <c r="K255" s="28" t="s">
        <v>4269</v>
      </c>
      <c r="L255" s="28" t="s">
        <v>4266</v>
      </c>
      <c r="M255" s="28" t="s">
        <v>4270</v>
      </c>
      <c r="N255" s="28" t="s">
        <v>4268</v>
      </c>
    </row>
    <row r="256" spans="1:14" x14ac:dyDescent="0.2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35" t="s">
        <v>983</v>
      </c>
      <c r="G256" s="28" t="s">
        <v>1557</v>
      </c>
      <c r="H256" s="28" t="s">
        <v>1556</v>
      </c>
      <c r="I256" s="28" t="s">
        <v>4082</v>
      </c>
      <c r="J256" s="28" t="s">
        <v>4077</v>
      </c>
      <c r="K256" s="28" t="s">
        <v>4271</v>
      </c>
      <c r="L256" s="28" t="s">
        <v>4266</v>
      </c>
      <c r="M256" s="28" t="s">
        <v>4272</v>
      </c>
      <c r="N256" s="28" t="s">
        <v>4268</v>
      </c>
    </row>
    <row r="257" spans="1:14" x14ac:dyDescent="0.2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35" t="s">
        <v>983</v>
      </c>
      <c r="G257" s="28" t="s">
        <v>1558</v>
      </c>
      <c r="H257" s="28" t="s">
        <v>1556</v>
      </c>
      <c r="I257" s="28" t="s">
        <v>4085</v>
      </c>
      <c r="J257" s="28" t="s">
        <v>4077</v>
      </c>
      <c r="K257" s="28" t="s">
        <v>4273</v>
      </c>
      <c r="L257" s="28" t="s">
        <v>4266</v>
      </c>
      <c r="M257" s="28" t="s">
        <v>4274</v>
      </c>
      <c r="N257" s="28" t="s">
        <v>4268</v>
      </c>
    </row>
    <row r="258" spans="1:14" x14ac:dyDescent="0.2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35" t="s">
        <v>982</v>
      </c>
      <c r="G258" s="28" t="s">
        <v>1559</v>
      </c>
      <c r="H258" s="28" t="s">
        <v>1560</v>
      </c>
      <c r="I258" s="28" t="s">
        <v>4088</v>
      </c>
      <c r="J258" s="28" t="s">
        <v>4089</v>
      </c>
      <c r="K258" s="28" t="s">
        <v>4275</v>
      </c>
      <c r="L258" s="28" t="s">
        <v>4276</v>
      </c>
      <c r="M258" s="28" t="s">
        <v>4277</v>
      </c>
      <c r="N258" s="28" t="s">
        <v>4278</v>
      </c>
    </row>
    <row r="259" spans="1:14" x14ac:dyDescent="0.2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35" t="s">
        <v>982</v>
      </c>
      <c r="G259" s="28" t="s">
        <v>1561</v>
      </c>
      <c r="H259" s="28" t="s">
        <v>1560</v>
      </c>
      <c r="I259" s="28" t="s">
        <v>4094</v>
      </c>
      <c r="J259" s="28" t="s">
        <v>4089</v>
      </c>
      <c r="K259" s="28" t="s">
        <v>4279</v>
      </c>
      <c r="L259" s="28" t="s">
        <v>4276</v>
      </c>
      <c r="M259" s="28" t="s">
        <v>4280</v>
      </c>
      <c r="N259" s="28" t="s">
        <v>4278</v>
      </c>
    </row>
    <row r="260" spans="1:14" x14ac:dyDescent="0.2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35" t="s">
        <v>982</v>
      </c>
      <c r="G260" s="28" t="s">
        <v>1562</v>
      </c>
      <c r="H260" s="28" t="s">
        <v>1560</v>
      </c>
      <c r="I260" s="28" t="s">
        <v>4097</v>
      </c>
      <c r="J260" s="28" t="s">
        <v>4089</v>
      </c>
      <c r="K260" s="28" t="s">
        <v>4281</v>
      </c>
      <c r="L260" s="28" t="s">
        <v>4276</v>
      </c>
      <c r="M260" s="28" t="s">
        <v>4282</v>
      </c>
      <c r="N260" s="28" t="s">
        <v>4278</v>
      </c>
    </row>
    <row r="261" spans="1:14" x14ac:dyDescent="0.2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35" t="s">
        <v>982</v>
      </c>
      <c r="G261" s="28" t="s">
        <v>1563</v>
      </c>
      <c r="H261" s="28" t="s">
        <v>1560</v>
      </c>
      <c r="I261" s="28" t="s">
        <v>4100</v>
      </c>
      <c r="J261" s="28" t="s">
        <v>4089</v>
      </c>
      <c r="K261" s="28" t="s">
        <v>4283</v>
      </c>
      <c r="L261" s="28" t="s">
        <v>4276</v>
      </c>
      <c r="M261" s="28" t="s">
        <v>4284</v>
      </c>
      <c r="N261" s="28" t="s">
        <v>4278</v>
      </c>
    </row>
    <row r="262" spans="1:14" x14ac:dyDescent="0.2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35" t="s">
        <v>983</v>
      </c>
      <c r="G262" s="28" t="s">
        <v>1573</v>
      </c>
      <c r="H262" s="28" t="s">
        <v>1556</v>
      </c>
      <c r="I262" s="28" t="s">
        <v>4130</v>
      </c>
      <c r="J262" s="28" t="s">
        <v>4077</v>
      </c>
      <c r="K262" s="28" t="s">
        <v>4285</v>
      </c>
      <c r="L262" s="28" t="s">
        <v>4286</v>
      </c>
      <c r="M262" s="28" t="s">
        <v>4287</v>
      </c>
      <c r="N262" s="28" t="s">
        <v>4288</v>
      </c>
    </row>
    <row r="263" spans="1:14" x14ac:dyDescent="0.2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35" t="s">
        <v>983</v>
      </c>
      <c r="G263" s="28" t="s">
        <v>1555</v>
      </c>
      <c r="H263" s="28" t="s">
        <v>1556</v>
      </c>
      <c r="I263" s="28" t="s">
        <v>4076</v>
      </c>
      <c r="J263" s="28" t="s">
        <v>4077</v>
      </c>
      <c r="K263" s="28" t="s">
        <v>4289</v>
      </c>
      <c r="L263" s="28" t="s">
        <v>4286</v>
      </c>
      <c r="M263" s="28" t="s">
        <v>4290</v>
      </c>
      <c r="N263" s="28" t="s">
        <v>4288</v>
      </c>
    </row>
    <row r="264" spans="1:14" x14ac:dyDescent="0.2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35" t="s">
        <v>983</v>
      </c>
      <c r="G264" s="28" t="s">
        <v>1557</v>
      </c>
      <c r="H264" s="28" t="s">
        <v>1556</v>
      </c>
      <c r="I264" s="28" t="s">
        <v>4082</v>
      </c>
      <c r="J264" s="28" t="s">
        <v>4077</v>
      </c>
      <c r="K264" s="28" t="s">
        <v>4291</v>
      </c>
      <c r="L264" s="28" t="s">
        <v>4286</v>
      </c>
      <c r="M264" s="28" t="s">
        <v>4292</v>
      </c>
      <c r="N264" s="28" t="s">
        <v>4288</v>
      </c>
    </row>
    <row r="265" spans="1:14" x14ac:dyDescent="0.2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35" t="s">
        <v>982</v>
      </c>
      <c r="G265" s="28" t="s">
        <v>1559</v>
      </c>
      <c r="H265" s="28" t="s">
        <v>1560</v>
      </c>
      <c r="I265" s="28" t="s">
        <v>4088</v>
      </c>
      <c r="J265" s="28" t="s">
        <v>4089</v>
      </c>
      <c r="K265" s="28" t="s">
        <v>4293</v>
      </c>
      <c r="L265" s="28" t="s">
        <v>4294</v>
      </c>
      <c r="M265" s="28" t="s">
        <v>4295</v>
      </c>
      <c r="N265" s="28" t="s">
        <v>4296</v>
      </c>
    </row>
    <row r="266" spans="1:14" x14ac:dyDescent="0.2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35" t="s">
        <v>982</v>
      </c>
      <c r="G266" s="28" t="s">
        <v>1561</v>
      </c>
      <c r="H266" s="28" t="s">
        <v>1560</v>
      </c>
      <c r="I266" s="28" t="s">
        <v>4094</v>
      </c>
      <c r="J266" s="28" t="s">
        <v>4089</v>
      </c>
      <c r="K266" s="28" t="s">
        <v>4297</v>
      </c>
      <c r="L266" s="28" t="s">
        <v>4294</v>
      </c>
      <c r="M266" s="28" t="s">
        <v>4298</v>
      </c>
      <c r="N266" s="28" t="s">
        <v>4296</v>
      </c>
    </row>
    <row r="267" spans="1:14" x14ac:dyDescent="0.2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35" t="s">
        <v>982</v>
      </c>
      <c r="G267" s="28" t="s">
        <v>1562</v>
      </c>
      <c r="H267" s="28" t="s">
        <v>1560</v>
      </c>
      <c r="I267" s="28" t="s">
        <v>4097</v>
      </c>
      <c r="J267" s="28" t="s">
        <v>4089</v>
      </c>
      <c r="K267" s="28" t="s">
        <v>4299</v>
      </c>
      <c r="L267" s="28" t="s">
        <v>4294</v>
      </c>
      <c r="M267" s="28" t="s">
        <v>4300</v>
      </c>
      <c r="N267" s="28" t="s">
        <v>4296</v>
      </c>
    </row>
    <row r="268" spans="1:14" x14ac:dyDescent="0.2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35" t="s">
        <v>983</v>
      </c>
      <c r="G268" s="28" t="s">
        <v>1573</v>
      </c>
      <c r="H268" s="28" t="s">
        <v>1556</v>
      </c>
      <c r="I268" s="28" t="s">
        <v>4130</v>
      </c>
      <c r="J268" s="28" t="s">
        <v>4077</v>
      </c>
      <c r="K268" s="28" t="s">
        <v>4301</v>
      </c>
      <c r="L268" s="28" t="s">
        <v>4302</v>
      </c>
      <c r="M268" s="28" t="s">
        <v>4303</v>
      </c>
      <c r="N268" s="28" t="s">
        <v>4304</v>
      </c>
    </row>
    <row r="269" spans="1:14" x14ac:dyDescent="0.2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35" t="s">
        <v>983</v>
      </c>
      <c r="G269" s="28" t="s">
        <v>1555</v>
      </c>
      <c r="H269" s="28" t="s">
        <v>1556</v>
      </c>
      <c r="I269" s="28" t="s">
        <v>4076</v>
      </c>
      <c r="J269" s="28" t="s">
        <v>4077</v>
      </c>
      <c r="K269" s="28" t="s">
        <v>4305</v>
      </c>
      <c r="L269" s="28" t="s">
        <v>4302</v>
      </c>
      <c r="M269" s="28" t="s">
        <v>4306</v>
      </c>
      <c r="N269" s="28" t="s">
        <v>4304</v>
      </c>
    </row>
    <row r="270" spans="1:14" x14ac:dyDescent="0.2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35" t="s">
        <v>982</v>
      </c>
      <c r="G270" s="28" t="s">
        <v>1559</v>
      </c>
      <c r="H270" s="28" t="s">
        <v>1560</v>
      </c>
      <c r="I270" s="28" t="s">
        <v>4088</v>
      </c>
      <c r="J270" s="28" t="s">
        <v>4089</v>
      </c>
      <c r="K270" s="28" t="s">
        <v>4307</v>
      </c>
      <c r="L270" s="28" t="s">
        <v>4308</v>
      </c>
      <c r="M270" s="28" t="s">
        <v>4309</v>
      </c>
      <c r="N270" s="28" t="s">
        <v>4310</v>
      </c>
    </row>
    <row r="271" spans="1:14" x14ac:dyDescent="0.2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35" t="s">
        <v>982</v>
      </c>
      <c r="G271" s="28" t="s">
        <v>1561</v>
      </c>
      <c r="H271" s="28" t="s">
        <v>1560</v>
      </c>
      <c r="I271" s="28" t="s">
        <v>4094</v>
      </c>
      <c r="J271" s="28" t="s">
        <v>4089</v>
      </c>
      <c r="K271" s="28" t="s">
        <v>4311</v>
      </c>
      <c r="L271" s="28" t="s">
        <v>4308</v>
      </c>
      <c r="M271" s="28" t="s">
        <v>4312</v>
      </c>
      <c r="N271" s="28" t="s">
        <v>4310</v>
      </c>
    </row>
    <row r="272" spans="1:14" x14ac:dyDescent="0.2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35" t="s">
        <v>983</v>
      </c>
      <c r="G272" s="28" t="s">
        <v>1573</v>
      </c>
      <c r="H272" s="28" t="s">
        <v>1556</v>
      </c>
      <c r="I272" s="28" t="s">
        <v>4130</v>
      </c>
      <c r="J272" s="28" t="s">
        <v>4077</v>
      </c>
      <c r="K272" s="28" t="s">
        <v>4301</v>
      </c>
      <c r="L272" s="28" t="s">
        <v>4302</v>
      </c>
      <c r="M272" s="28" t="s">
        <v>4303</v>
      </c>
      <c r="N272" s="28" t="s">
        <v>4304</v>
      </c>
    </row>
    <row r="273" spans="1:14" x14ac:dyDescent="0.2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35" t="s">
        <v>983</v>
      </c>
      <c r="G273" s="28" t="s">
        <v>1555</v>
      </c>
      <c r="H273" s="28" t="s">
        <v>1556</v>
      </c>
      <c r="I273" s="28" t="s">
        <v>4076</v>
      </c>
      <c r="J273" s="28" t="s">
        <v>4077</v>
      </c>
      <c r="K273" s="28" t="s">
        <v>4305</v>
      </c>
      <c r="L273" s="28" t="s">
        <v>4302</v>
      </c>
      <c r="M273" s="28" t="s">
        <v>4306</v>
      </c>
      <c r="N273" s="28" t="s">
        <v>4304</v>
      </c>
    </row>
    <row r="274" spans="1:14" x14ac:dyDescent="0.2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35" t="s">
        <v>983</v>
      </c>
      <c r="G274" s="28" t="s">
        <v>1557</v>
      </c>
      <c r="H274" s="28" t="s">
        <v>1556</v>
      </c>
      <c r="I274" s="28" t="s">
        <v>4082</v>
      </c>
      <c r="J274" s="28" t="s">
        <v>4077</v>
      </c>
      <c r="K274" s="28" t="s">
        <v>4313</v>
      </c>
      <c r="L274" s="28" t="s">
        <v>4302</v>
      </c>
      <c r="M274" s="28" t="s">
        <v>4314</v>
      </c>
      <c r="N274" s="28" t="s">
        <v>4304</v>
      </c>
    </row>
    <row r="275" spans="1:14" x14ac:dyDescent="0.2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35" t="s">
        <v>983</v>
      </c>
      <c r="G275" s="28" t="s">
        <v>1558</v>
      </c>
      <c r="H275" s="28" t="s">
        <v>1556</v>
      </c>
      <c r="I275" s="28" t="s">
        <v>4085</v>
      </c>
      <c r="J275" s="28" t="s">
        <v>4077</v>
      </c>
      <c r="K275" s="28" t="s">
        <v>4315</v>
      </c>
      <c r="L275" s="28" t="s">
        <v>4302</v>
      </c>
      <c r="M275" s="28" t="s">
        <v>4316</v>
      </c>
      <c r="N275" s="28" t="s">
        <v>4304</v>
      </c>
    </row>
    <row r="276" spans="1:14" x14ac:dyDescent="0.2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35" t="s">
        <v>982</v>
      </c>
      <c r="G276" s="28" t="s">
        <v>1559</v>
      </c>
      <c r="H276" s="28" t="s">
        <v>1560</v>
      </c>
      <c r="I276" s="28" t="s">
        <v>4088</v>
      </c>
      <c r="J276" s="28" t="s">
        <v>4089</v>
      </c>
      <c r="K276" s="28" t="s">
        <v>4307</v>
      </c>
      <c r="L276" s="28" t="s">
        <v>4308</v>
      </c>
      <c r="M276" s="28" t="s">
        <v>4309</v>
      </c>
      <c r="N276" s="28" t="s">
        <v>4310</v>
      </c>
    </row>
    <row r="277" spans="1:14" x14ac:dyDescent="0.2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35" t="s">
        <v>982</v>
      </c>
      <c r="G277" s="28" t="s">
        <v>1561</v>
      </c>
      <c r="H277" s="28" t="s">
        <v>1560</v>
      </c>
      <c r="I277" s="28" t="s">
        <v>4094</v>
      </c>
      <c r="J277" s="28" t="s">
        <v>4089</v>
      </c>
      <c r="K277" s="28" t="s">
        <v>4311</v>
      </c>
      <c r="L277" s="28" t="s">
        <v>4308</v>
      </c>
      <c r="M277" s="28" t="s">
        <v>4312</v>
      </c>
      <c r="N277" s="28" t="s">
        <v>4310</v>
      </c>
    </row>
    <row r="278" spans="1:14" x14ac:dyDescent="0.2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35" t="s">
        <v>982</v>
      </c>
      <c r="G278" s="28" t="s">
        <v>1562</v>
      </c>
      <c r="H278" s="28" t="s">
        <v>1560</v>
      </c>
      <c r="I278" s="28" t="s">
        <v>4097</v>
      </c>
      <c r="J278" s="28" t="s">
        <v>4089</v>
      </c>
      <c r="K278" s="28" t="s">
        <v>4317</v>
      </c>
      <c r="L278" s="28" t="s">
        <v>4308</v>
      </c>
      <c r="M278" s="28" t="s">
        <v>4318</v>
      </c>
      <c r="N278" s="28" t="s">
        <v>4310</v>
      </c>
    </row>
    <row r="279" spans="1:14" x14ac:dyDescent="0.2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35" t="s">
        <v>982</v>
      </c>
      <c r="G279" s="28" t="s">
        <v>1563</v>
      </c>
      <c r="H279" s="28" t="s">
        <v>1560</v>
      </c>
      <c r="I279" s="28" t="s">
        <v>4100</v>
      </c>
      <c r="J279" s="28" t="s">
        <v>4089</v>
      </c>
      <c r="K279" s="28" t="s">
        <v>4319</v>
      </c>
      <c r="L279" s="28" t="s">
        <v>4308</v>
      </c>
      <c r="M279" s="28" t="s">
        <v>4320</v>
      </c>
      <c r="N279" s="28" t="s">
        <v>4310</v>
      </c>
    </row>
    <row r="280" spans="1:14" x14ac:dyDescent="0.2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35" t="s">
        <v>976</v>
      </c>
      <c r="G280" s="28" t="s">
        <v>1564</v>
      </c>
      <c r="H280" s="28" t="s">
        <v>1565</v>
      </c>
      <c r="I280" s="28" t="s">
        <v>4103</v>
      </c>
      <c r="J280" s="28" t="s">
        <v>4104</v>
      </c>
      <c r="K280" s="28" t="s">
        <v>4321</v>
      </c>
      <c r="L280" s="28" t="s">
        <v>4322</v>
      </c>
      <c r="M280" s="28" t="s">
        <v>4323</v>
      </c>
      <c r="N280" s="28" t="s">
        <v>4324</v>
      </c>
    </row>
    <row r="281" spans="1:14" x14ac:dyDescent="0.2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35" t="s">
        <v>976</v>
      </c>
      <c r="G281" s="28" t="s">
        <v>1566</v>
      </c>
      <c r="H281" s="28" t="s">
        <v>1565</v>
      </c>
      <c r="I281" s="28" t="s">
        <v>4109</v>
      </c>
      <c r="J281" s="28" t="s">
        <v>4104</v>
      </c>
      <c r="K281" s="28" t="s">
        <v>4325</v>
      </c>
      <c r="L281" s="28" t="s">
        <v>4322</v>
      </c>
      <c r="M281" s="28" t="s">
        <v>4326</v>
      </c>
      <c r="N281" s="28" t="s">
        <v>4324</v>
      </c>
    </row>
    <row r="282" spans="1:14" x14ac:dyDescent="0.2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35" t="s">
        <v>976</v>
      </c>
      <c r="G282" s="28" t="s">
        <v>1567</v>
      </c>
      <c r="H282" s="28" t="s">
        <v>1565</v>
      </c>
      <c r="I282" s="28" t="s">
        <v>4112</v>
      </c>
      <c r="J282" s="28" t="s">
        <v>4104</v>
      </c>
      <c r="K282" s="28" t="s">
        <v>4327</v>
      </c>
      <c r="L282" s="28" t="s">
        <v>4322</v>
      </c>
      <c r="M282" s="28" t="s">
        <v>4328</v>
      </c>
      <c r="N282" s="28" t="s">
        <v>4324</v>
      </c>
    </row>
    <row r="283" spans="1:14" x14ac:dyDescent="0.2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35" t="s">
        <v>976</v>
      </c>
      <c r="G283" s="28" t="s">
        <v>1568</v>
      </c>
      <c r="H283" s="28" t="s">
        <v>1565</v>
      </c>
      <c r="I283" s="28" t="s">
        <v>4115</v>
      </c>
      <c r="J283" s="28" t="s">
        <v>4104</v>
      </c>
      <c r="K283" s="28" t="s">
        <v>4329</v>
      </c>
      <c r="L283" s="28" t="s">
        <v>4322</v>
      </c>
      <c r="M283" s="28" t="s">
        <v>4330</v>
      </c>
      <c r="N283" s="28" t="s">
        <v>4324</v>
      </c>
    </row>
    <row r="284" spans="1:14" x14ac:dyDescent="0.2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35" t="s">
        <v>976</v>
      </c>
      <c r="G284" s="28" t="s">
        <v>1569</v>
      </c>
      <c r="H284" s="28" t="s">
        <v>1565</v>
      </c>
      <c r="I284" s="28" t="s">
        <v>4118</v>
      </c>
      <c r="J284" s="28" t="s">
        <v>4104</v>
      </c>
      <c r="K284" s="28" t="s">
        <v>4331</v>
      </c>
      <c r="L284" s="28" t="s">
        <v>4322</v>
      </c>
      <c r="M284" s="28" t="s">
        <v>4332</v>
      </c>
      <c r="N284" s="28" t="s">
        <v>4324</v>
      </c>
    </row>
    <row r="285" spans="1:14" x14ac:dyDescent="0.2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35" t="s">
        <v>977</v>
      </c>
      <c r="G285" s="28" t="s">
        <v>1570</v>
      </c>
      <c r="H285" s="28" t="s">
        <v>1541</v>
      </c>
      <c r="I285" s="28" t="s">
        <v>4121</v>
      </c>
      <c r="J285" s="28" t="s">
        <v>4032</v>
      </c>
      <c r="K285" s="28" t="s">
        <v>4333</v>
      </c>
      <c r="L285" s="28" t="s">
        <v>4334</v>
      </c>
      <c r="M285" s="28" t="s">
        <v>4335</v>
      </c>
      <c r="N285" s="28" t="s">
        <v>4336</v>
      </c>
    </row>
    <row r="286" spans="1:14" x14ac:dyDescent="0.2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35" t="s">
        <v>977</v>
      </c>
      <c r="G286" s="28" t="s">
        <v>1571</v>
      </c>
      <c r="H286" s="28" t="s">
        <v>1541</v>
      </c>
      <c r="I286" s="28" t="s">
        <v>4124</v>
      </c>
      <c r="J286" s="28" t="s">
        <v>4032</v>
      </c>
      <c r="K286" s="28" t="s">
        <v>4337</v>
      </c>
      <c r="L286" s="28" t="s">
        <v>4334</v>
      </c>
      <c r="M286" s="28" t="s">
        <v>4338</v>
      </c>
      <c r="N286" s="28" t="s">
        <v>4336</v>
      </c>
    </row>
    <row r="287" spans="1:14" x14ac:dyDescent="0.2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35" t="s">
        <v>977</v>
      </c>
      <c r="G287" s="28" t="s">
        <v>1540</v>
      </c>
      <c r="H287" s="28" t="s">
        <v>1541</v>
      </c>
      <c r="I287" s="28" t="s">
        <v>4031</v>
      </c>
      <c r="J287" s="28" t="s">
        <v>4032</v>
      </c>
      <c r="K287" s="28" t="s">
        <v>4339</v>
      </c>
      <c r="L287" s="28" t="s">
        <v>4334</v>
      </c>
      <c r="M287" s="28" t="s">
        <v>4340</v>
      </c>
      <c r="N287" s="28" t="s">
        <v>4336</v>
      </c>
    </row>
    <row r="288" spans="1:14" x14ac:dyDescent="0.2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35" t="s">
        <v>977</v>
      </c>
      <c r="G288" s="28" t="s">
        <v>1572</v>
      </c>
      <c r="H288" s="28" t="s">
        <v>1541</v>
      </c>
      <c r="I288" s="28" t="s">
        <v>4127</v>
      </c>
      <c r="J288" s="28" t="s">
        <v>4032</v>
      </c>
      <c r="K288" s="28" t="s">
        <v>4341</v>
      </c>
      <c r="L288" s="28" t="s">
        <v>4334</v>
      </c>
      <c r="M288" s="28" t="s">
        <v>4342</v>
      </c>
      <c r="N288" s="28" t="s">
        <v>4336</v>
      </c>
    </row>
    <row r="289" spans="1:14" x14ac:dyDescent="0.2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35" t="s">
        <v>978</v>
      </c>
      <c r="G289" s="28" t="s">
        <v>1542</v>
      </c>
      <c r="H289" s="28" t="s">
        <v>1543</v>
      </c>
      <c r="I289" s="28" t="s">
        <v>4037</v>
      </c>
      <c r="J289" s="28" t="s">
        <v>4038</v>
      </c>
      <c r="K289" s="28" t="s">
        <v>4343</v>
      </c>
      <c r="L289" s="28" t="s">
        <v>4344</v>
      </c>
      <c r="M289" s="28" t="s">
        <v>4345</v>
      </c>
      <c r="N289" s="28" t="s">
        <v>4346</v>
      </c>
    </row>
    <row r="290" spans="1:14" x14ac:dyDescent="0.2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35" t="s">
        <v>978</v>
      </c>
      <c r="G290" s="28" t="s">
        <v>1544</v>
      </c>
      <c r="H290" s="28" t="s">
        <v>1543</v>
      </c>
      <c r="I290" s="28" t="s">
        <v>4043</v>
      </c>
      <c r="J290" s="28" t="s">
        <v>4038</v>
      </c>
      <c r="K290" s="28" t="s">
        <v>4347</v>
      </c>
      <c r="L290" s="28" t="s">
        <v>4344</v>
      </c>
      <c r="M290" s="28" t="s">
        <v>4348</v>
      </c>
      <c r="N290" s="28" t="s">
        <v>4346</v>
      </c>
    </row>
    <row r="291" spans="1:14" x14ac:dyDescent="0.2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35" t="s">
        <v>978</v>
      </c>
      <c r="G291" s="28" t="s">
        <v>1576</v>
      </c>
      <c r="H291" s="28" t="s">
        <v>1543</v>
      </c>
      <c r="I291" s="28" t="s">
        <v>4349</v>
      </c>
      <c r="J291" s="28" t="s">
        <v>4038</v>
      </c>
      <c r="K291" s="28" t="s">
        <v>4350</v>
      </c>
      <c r="L291" s="28" t="s">
        <v>4344</v>
      </c>
      <c r="M291" s="28" t="s">
        <v>4351</v>
      </c>
      <c r="N291" s="28" t="s">
        <v>4346</v>
      </c>
    </row>
    <row r="292" spans="1:14" x14ac:dyDescent="0.2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35" t="s">
        <v>978</v>
      </c>
      <c r="G292" s="28" t="s">
        <v>1545</v>
      </c>
      <c r="H292" s="28" t="s">
        <v>1543</v>
      </c>
      <c r="I292" s="28" t="s">
        <v>4046</v>
      </c>
      <c r="J292" s="28" t="s">
        <v>4038</v>
      </c>
      <c r="K292" s="28" t="s">
        <v>4352</v>
      </c>
      <c r="L292" s="28" t="s">
        <v>4344</v>
      </c>
      <c r="M292" s="28" t="s">
        <v>4353</v>
      </c>
      <c r="N292" s="28" t="s">
        <v>4346</v>
      </c>
    </row>
    <row r="293" spans="1:14" x14ac:dyDescent="0.2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35" t="s">
        <v>978</v>
      </c>
      <c r="G293" s="28" t="s">
        <v>1546</v>
      </c>
      <c r="H293" s="28" t="s">
        <v>1543</v>
      </c>
      <c r="I293" s="28" t="s">
        <v>4049</v>
      </c>
      <c r="J293" s="28" t="s">
        <v>4038</v>
      </c>
      <c r="K293" s="28" t="s">
        <v>4354</v>
      </c>
      <c r="L293" s="28" t="s">
        <v>4344</v>
      </c>
      <c r="M293" s="28" t="s">
        <v>4355</v>
      </c>
      <c r="N293" s="28" t="s">
        <v>4346</v>
      </c>
    </row>
    <row r="294" spans="1:14" x14ac:dyDescent="0.2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35" t="s">
        <v>979</v>
      </c>
      <c r="G294" s="28" t="s">
        <v>1547</v>
      </c>
      <c r="H294" s="28" t="s">
        <v>1548</v>
      </c>
      <c r="I294" s="28" t="s">
        <v>4052</v>
      </c>
      <c r="J294" s="28" t="s">
        <v>4053</v>
      </c>
      <c r="K294" s="28" t="s">
        <v>4356</v>
      </c>
      <c r="L294" s="28" t="s">
        <v>4357</v>
      </c>
      <c r="M294" s="28" t="s">
        <v>4358</v>
      </c>
      <c r="N294" s="28" t="s">
        <v>4359</v>
      </c>
    </row>
    <row r="295" spans="1:14" x14ac:dyDescent="0.2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35" t="s">
        <v>979</v>
      </c>
      <c r="G295" s="28" t="s">
        <v>1549</v>
      </c>
      <c r="H295" s="28" t="s">
        <v>1548</v>
      </c>
      <c r="I295" s="28" t="s">
        <v>4058</v>
      </c>
      <c r="J295" s="28" t="s">
        <v>4053</v>
      </c>
      <c r="K295" s="28" t="s">
        <v>4360</v>
      </c>
      <c r="L295" s="28" t="s">
        <v>4357</v>
      </c>
      <c r="M295" s="28" t="s">
        <v>4361</v>
      </c>
      <c r="N295" s="28" t="s">
        <v>4359</v>
      </c>
    </row>
    <row r="296" spans="1:14" x14ac:dyDescent="0.2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35" t="s">
        <v>979</v>
      </c>
      <c r="G296" s="28" t="s">
        <v>1550</v>
      </c>
      <c r="H296" s="28" t="s">
        <v>1548</v>
      </c>
      <c r="I296" s="28" t="s">
        <v>4061</v>
      </c>
      <c r="J296" s="28" t="s">
        <v>4053</v>
      </c>
      <c r="K296" s="28" t="s">
        <v>4362</v>
      </c>
      <c r="L296" s="28" t="s">
        <v>4357</v>
      </c>
      <c r="M296" s="28" t="s">
        <v>4363</v>
      </c>
      <c r="N296" s="28" t="s">
        <v>4359</v>
      </c>
    </row>
    <row r="297" spans="1:14" x14ac:dyDescent="0.2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35" t="s">
        <v>980</v>
      </c>
      <c r="G297" s="28" t="s">
        <v>1577</v>
      </c>
      <c r="H297" s="28" t="s">
        <v>1553</v>
      </c>
      <c r="I297" s="28" t="s">
        <v>4364</v>
      </c>
      <c r="J297" s="28" t="s">
        <v>4068</v>
      </c>
      <c r="K297" s="28" t="s">
        <v>4365</v>
      </c>
      <c r="L297" s="28" t="s">
        <v>4366</v>
      </c>
      <c r="M297" s="28" t="s">
        <v>4367</v>
      </c>
      <c r="N297" s="28" t="s">
        <v>4368</v>
      </c>
    </row>
    <row r="298" spans="1:14" x14ac:dyDescent="0.2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35" t="s">
        <v>980</v>
      </c>
      <c r="G298" s="28" t="s">
        <v>1552</v>
      </c>
      <c r="H298" s="28" t="s">
        <v>1553</v>
      </c>
      <c r="I298" s="28" t="s">
        <v>4067</v>
      </c>
      <c r="J298" s="28" t="s">
        <v>4068</v>
      </c>
      <c r="K298" s="28" t="s">
        <v>4369</v>
      </c>
      <c r="L298" s="28" t="s">
        <v>4366</v>
      </c>
      <c r="M298" s="28" t="s">
        <v>4370</v>
      </c>
      <c r="N298" s="28" t="s">
        <v>4368</v>
      </c>
    </row>
    <row r="299" spans="1:14" x14ac:dyDescent="0.2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35" t="s">
        <v>980</v>
      </c>
      <c r="G299" s="28" t="s">
        <v>1554</v>
      </c>
      <c r="H299" s="28" t="s">
        <v>1553</v>
      </c>
      <c r="I299" s="28" t="s">
        <v>4073</v>
      </c>
      <c r="J299" s="28" t="s">
        <v>4068</v>
      </c>
      <c r="K299" s="28" t="s">
        <v>4371</v>
      </c>
      <c r="L299" s="28" t="s">
        <v>4366</v>
      </c>
      <c r="M299" s="28" t="s">
        <v>4372</v>
      </c>
      <c r="N299" s="28" t="s">
        <v>4368</v>
      </c>
    </row>
    <row r="300" spans="1:14" x14ac:dyDescent="0.2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35" t="s">
        <v>981</v>
      </c>
      <c r="G300" s="28" t="s">
        <v>1574</v>
      </c>
      <c r="H300" s="28" t="s">
        <v>1575</v>
      </c>
      <c r="I300" s="28" t="s">
        <v>4191</v>
      </c>
      <c r="J300" s="28" t="s">
        <v>4192</v>
      </c>
      <c r="K300" s="28" t="s">
        <v>4373</v>
      </c>
      <c r="L300" s="28" t="s">
        <v>4374</v>
      </c>
      <c r="M300" s="28" t="s">
        <v>4375</v>
      </c>
      <c r="N300" s="28" t="s">
        <v>4376</v>
      </c>
    </row>
    <row r="301" spans="1:14" x14ac:dyDescent="0.2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35" t="s">
        <v>983</v>
      </c>
      <c r="G301" s="28" t="s">
        <v>1573</v>
      </c>
      <c r="H301" s="28" t="s">
        <v>1556</v>
      </c>
      <c r="I301" s="28" t="s">
        <v>4130</v>
      </c>
      <c r="J301" s="28" t="s">
        <v>4077</v>
      </c>
      <c r="K301" s="28" t="s">
        <v>4377</v>
      </c>
      <c r="L301" s="28" t="s">
        <v>4378</v>
      </c>
      <c r="M301" s="28" t="s">
        <v>4379</v>
      </c>
      <c r="N301" s="28" t="s">
        <v>4380</v>
      </c>
    </row>
    <row r="302" spans="1:14" x14ac:dyDescent="0.2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35" t="s">
        <v>983</v>
      </c>
      <c r="G302" s="28" t="s">
        <v>1555</v>
      </c>
      <c r="H302" s="28" t="s">
        <v>1556</v>
      </c>
      <c r="I302" s="28" t="s">
        <v>4076</v>
      </c>
      <c r="J302" s="28" t="s">
        <v>4077</v>
      </c>
      <c r="K302" s="28" t="s">
        <v>4381</v>
      </c>
      <c r="L302" s="28" t="s">
        <v>4378</v>
      </c>
      <c r="M302" s="28" t="s">
        <v>4382</v>
      </c>
      <c r="N302" s="28" t="s">
        <v>4380</v>
      </c>
    </row>
    <row r="303" spans="1:14" x14ac:dyDescent="0.2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35" t="s">
        <v>983</v>
      </c>
      <c r="G303" s="28" t="s">
        <v>1557</v>
      </c>
      <c r="H303" s="28" t="s">
        <v>1556</v>
      </c>
      <c r="I303" s="28" t="s">
        <v>4082</v>
      </c>
      <c r="J303" s="28" t="s">
        <v>4077</v>
      </c>
      <c r="K303" s="28" t="s">
        <v>4383</v>
      </c>
      <c r="L303" s="28" t="s">
        <v>4378</v>
      </c>
      <c r="M303" s="28" t="s">
        <v>4384</v>
      </c>
      <c r="N303" s="28" t="s">
        <v>4380</v>
      </c>
    </row>
    <row r="304" spans="1:14" x14ac:dyDescent="0.2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35" t="s">
        <v>982</v>
      </c>
      <c r="G304" s="28" t="s">
        <v>1559</v>
      </c>
      <c r="H304" s="28" t="s">
        <v>1560</v>
      </c>
      <c r="I304" s="28" t="s">
        <v>4088</v>
      </c>
      <c r="J304" s="28" t="s">
        <v>4089</v>
      </c>
      <c r="K304" s="28" t="s">
        <v>4385</v>
      </c>
      <c r="L304" s="28" t="s">
        <v>4386</v>
      </c>
      <c r="M304" s="28" t="s">
        <v>4387</v>
      </c>
      <c r="N304" s="28" t="s">
        <v>4388</v>
      </c>
    </row>
    <row r="305" spans="1:14" x14ac:dyDescent="0.2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35" t="s">
        <v>982</v>
      </c>
      <c r="G305" s="28" t="s">
        <v>1561</v>
      </c>
      <c r="H305" s="28" t="s">
        <v>1560</v>
      </c>
      <c r="I305" s="28" t="s">
        <v>4094</v>
      </c>
      <c r="J305" s="28" t="s">
        <v>4089</v>
      </c>
      <c r="K305" s="28" t="s">
        <v>4389</v>
      </c>
      <c r="L305" s="28" t="s">
        <v>4386</v>
      </c>
      <c r="M305" s="28" t="s">
        <v>4390</v>
      </c>
      <c r="N305" s="28" t="s">
        <v>4388</v>
      </c>
    </row>
    <row r="306" spans="1:14" x14ac:dyDescent="0.2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35" t="s">
        <v>982</v>
      </c>
      <c r="G306" s="28" t="s">
        <v>1562</v>
      </c>
      <c r="H306" s="28" t="s">
        <v>1560</v>
      </c>
      <c r="I306" s="28" t="s">
        <v>4097</v>
      </c>
      <c r="J306" s="28" t="s">
        <v>4089</v>
      </c>
      <c r="K306" s="28" t="s">
        <v>4391</v>
      </c>
      <c r="L306" s="28" t="s">
        <v>4386</v>
      </c>
      <c r="M306" s="28" t="s">
        <v>4392</v>
      </c>
      <c r="N306" s="28" t="s">
        <v>4388</v>
      </c>
    </row>
    <row r="307" spans="1:14" x14ac:dyDescent="0.2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35" t="s">
        <v>982</v>
      </c>
      <c r="G307" s="28" t="s">
        <v>1563</v>
      </c>
      <c r="H307" s="28" t="s">
        <v>1560</v>
      </c>
      <c r="I307" s="28" t="s">
        <v>4100</v>
      </c>
      <c r="J307" s="28" t="s">
        <v>4089</v>
      </c>
      <c r="K307" s="28" t="s">
        <v>4393</v>
      </c>
      <c r="L307" s="28" t="s">
        <v>4386</v>
      </c>
      <c r="M307" s="28" t="s">
        <v>4394</v>
      </c>
      <c r="N307" s="28" t="s">
        <v>4388</v>
      </c>
    </row>
    <row r="308" spans="1:14" x14ac:dyDescent="0.2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35" t="s">
        <v>976</v>
      </c>
      <c r="G308" s="28" t="s">
        <v>1564</v>
      </c>
      <c r="H308" s="28" t="s">
        <v>1565</v>
      </c>
      <c r="I308" s="28" t="s">
        <v>4103</v>
      </c>
      <c r="J308" s="28" t="s">
        <v>4104</v>
      </c>
      <c r="K308" s="28" t="s">
        <v>4395</v>
      </c>
      <c r="L308" s="28" t="s">
        <v>4396</v>
      </c>
      <c r="M308" s="28" t="s">
        <v>4397</v>
      </c>
      <c r="N308" s="28" t="s">
        <v>4398</v>
      </c>
    </row>
    <row r="309" spans="1:14" x14ac:dyDescent="0.2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35" t="s">
        <v>976</v>
      </c>
      <c r="G309" s="28" t="s">
        <v>1566</v>
      </c>
      <c r="H309" s="28" t="s">
        <v>1565</v>
      </c>
      <c r="I309" s="28" t="s">
        <v>4109</v>
      </c>
      <c r="J309" s="28" t="s">
        <v>4104</v>
      </c>
      <c r="K309" s="28" t="s">
        <v>4399</v>
      </c>
      <c r="L309" s="28" t="s">
        <v>4396</v>
      </c>
      <c r="M309" s="28" t="s">
        <v>4400</v>
      </c>
      <c r="N309" s="28" t="s">
        <v>4398</v>
      </c>
    </row>
    <row r="310" spans="1:14" x14ac:dyDescent="0.2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35" t="s">
        <v>976</v>
      </c>
      <c r="G310" s="28" t="s">
        <v>1567</v>
      </c>
      <c r="H310" s="28" t="s">
        <v>1565</v>
      </c>
      <c r="I310" s="28" t="s">
        <v>4112</v>
      </c>
      <c r="J310" s="28" t="s">
        <v>4104</v>
      </c>
      <c r="K310" s="28" t="s">
        <v>4401</v>
      </c>
      <c r="L310" s="28" t="s">
        <v>4396</v>
      </c>
      <c r="M310" s="28" t="s">
        <v>4402</v>
      </c>
      <c r="N310" s="28" t="s">
        <v>4398</v>
      </c>
    </row>
    <row r="311" spans="1:14" x14ac:dyDescent="0.2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35" t="s">
        <v>976</v>
      </c>
      <c r="G311" s="28" t="s">
        <v>1568</v>
      </c>
      <c r="H311" s="28" t="s">
        <v>1565</v>
      </c>
      <c r="I311" s="28" t="s">
        <v>4115</v>
      </c>
      <c r="J311" s="28" t="s">
        <v>4104</v>
      </c>
      <c r="K311" s="28" t="s">
        <v>4403</v>
      </c>
      <c r="L311" s="28" t="s">
        <v>4396</v>
      </c>
      <c r="M311" s="28" t="s">
        <v>4404</v>
      </c>
      <c r="N311" s="28" t="s">
        <v>4398</v>
      </c>
    </row>
    <row r="312" spans="1:14" x14ac:dyDescent="0.2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35" t="s">
        <v>976</v>
      </c>
      <c r="G312" s="28" t="s">
        <v>1569</v>
      </c>
      <c r="H312" s="28" t="s">
        <v>1565</v>
      </c>
      <c r="I312" s="28" t="s">
        <v>4118</v>
      </c>
      <c r="J312" s="28" t="s">
        <v>4104</v>
      </c>
      <c r="K312" s="28" t="s">
        <v>4405</v>
      </c>
      <c r="L312" s="28" t="s">
        <v>4396</v>
      </c>
      <c r="M312" s="28" t="s">
        <v>4406</v>
      </c>
      <c r="N312" s="28" t="s">
        <v>4398</v>
      </c>
    </row>
    <row r="313" spans="1:14" x14ac:dyDescent="0.2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35" t="s">
        <v>977</v>
      </c>
      <c r="G313" s="28" t="s">
        <v>1570</v>
      </c>
      <c r="H313" s="28" t="s">
        <v>1541</v>
      </c>
      <c r="I313" s="28" t="s">
        <v>4121</v>
      </c>
      <c r="J313" s="28" t="s">
        <v>4032</v>
      </c>
      <c r="K313" s="28" t="s">
        <v>4407</v>
      </c>
      <c r="L313" s="28" t="s">
        <v>4408</v>
      </c>
      <c r="M313" s="28" t="s">
        <v>4409</v>
      </c>
      <c r="N313" s="28" t="s">
        <v>4410</v>
      </c>
    </row>
    <row r="314" spans="1:14" x14ac:dyDescent="0.2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35" t="s">
        <v>977</v>
      </c>
      <c r="G314" s="28" t="s">
        <v>1571</v>
      </c>
      <c r="H314" s="28" t="s">
        <v>1541</v>
      </c>
      <c r="I314" s="28" t="s">
        <v>4124</v>
      </c>
      <c r="J314" s="28" t="s">
        <v>4032</v>
      </c>
      <c r="K314" s="28" t="s">
        <v>4411</v>
      </c>
      <c r="L314" s="28" t="s">
        <v>4408</v>
      </c>
      <c r="M314" s="28" t="s">
        <v>4412</v>
      </c>
      <c r="N314" s="28" t="s">
        <v>4410</v>
      </c>
    </row>
    <row r="315" spans="1:14" x14ac:dyDescent="0.2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35" t="s">
        <v>977</v>
      </c>
      <c r="G315" s="28" t="s">
        <v>1540</v>
      </c>
      <c r="H315" s="28" t="s">
        <v>1541</v>
      </c>
      <c r="I315" s="28" t="s">
        <v>4031</v>
      </c>
      <c r="J315" s="28" t="s">
        <v>4032</v>
      </c>
      <c r="K315" s="28" t="s">
        <v>4413</v>
      </c>
      <c r="L315" s="28" t="s">
        <v>4408</v>
      </c>
      <c r="M315" s="28" t="s">
        <v>4414</v>
      </c>
      <c r="N315" s="28" t="s">
        <v>4410</v>
      </c>
    </row>
    <row r="316" spans="1:14" x14ac:dyDescent="0.2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35" t="s">
        <v>977</v>
      </c>
      <c r="G316" s="28" t="s">
        <v>1572</v>
      </c>
      <c r="H316" s="28" t="s">
        <v>1541</v>
      </c>
      <c r="I316" s="28" t="s">
        <v>4127</v>
      </c>
      <c r="J316" s="28" t="s">
        <v>4032</v>
      </c>
      <c r="K316" s="28" t="s">
        <v>4415</v>
      </c>
      <c r="L316" s="28" t="s">
        <v>4408</v>
      </c>
      <c r="M316" s="28" t="s">
        <v>4416</v>
      </c>
      <c r="N316" s="28" t="s">
        <v>4410</v>
      </c>
    </row>
    <row r="317" spans="1:14" x14ac:dyDescent="0.2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35" t="s">
        <v>978</v>
      </c>
      <c r="G317" s="28" t="s">
        <v>1542</v>
      </c>
      <c r="H317" s="28" t="s">
        <v>1543</v>
      </c>
      <c r="I317" s="28" t="s">
        <v>4037</v>
      </c>
      <c r="J317" s="28" t="s">
        <v>4038</v>
      </c>
      <c r="K317" s="28" t="s">
        <v>4417</v>
      </c>
      <c r="L317" s="28" t="s">
        <v>4418</v>
      </c>
      <c r="M317" s="28" t="s">
        <v>4419</v>
      </c>
      <c r="N317" s="28" t="s">
        <v>4420</v>
      </c>
    </row>
    <row r="318" spans="1:14" x14ac:dyDescent="0.2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35" t="s">
        <v>978</v>
      </c>
      <c r="G318" s="28" t="s">
        <v>1544</v>
      </c>
      <c r="H318" s="28" t="s">
        <v>1543</v>
      </c>
      <c r="I318" s="28" t="s">
        <v>4043</v>
      </c>
      <c r="J318" s="28" t="s">
        <v>4038</v>
      </c>
      <c r="K318" s="28" t="s">
        <v>4421</v>
      </c>
      <c r="L318" s="28" t="s">
        <v>4418</v>
      </c>
      <c r="M318" s="28" t="s">
        <v>4422</v>
      </c>
      <c r="N318" s="28" t="s">
        <v>4420</v>
      </c>
    </row>
    <row r="319" spans="1:14" x14ac:dyDescent="0.2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35" t="s">
        <v>978</v>
      </c>
      <c r="G319" s="28" t="s">
        <v>1576</v>
      </c>
      <c r="H319" s="28" t="s">
        <v>1543</v>
      </c>
      <c r="I319" s="28" t="s">
        <v>4349</v>
      </c>
      <c r="J319" s="28" t="s">
        <v>4038</v>
      </c>
      <c r="K319" s="28" t="s">
        <v>4423</v>
      </c>
      <c r="L319" s="28" t="s">
        <v>4418</v>
      </c>
      <c r="M319" s="28" t="s">
        <v>4424</v>
      </c>
      <c r="N319" s="28" t="s">
        <v>4420</v>
      </c>
    </row>
    <row r="320" spans="1:14" x14ac:dyDescent="0.2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35" t="s">
        <v>978</v>
      </c>
      <c r="G320" s="28" t="s">
        <v>1545</v>
      </c>
      <c r="H320" s="28" t="s">
        <v>1543</v>
      </c>
      <c r="I320" s="28" t="s">
        <v>4046</v>
      </c>
      <c r="J320" s="28" t="s">
        <v>4038</v>
      </c>
      <c r="K320" s="28" t="s">
        <v>4425</v>
      </c>
      <c r="L320" s="28" t="s">
        <v>4418</v>
      </c>
      <c r="M320" s="28" t="s">
        <v>4426</v>
      </c>
      <c r="N320" s="28" t="s">
        <v>4420</v>
      </c>
    </row>
    <row r="321" spans="1:14" x14ac:dyDescent="0.2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35" t="s">
        <v>978</v>
      </c>
      <c r="G321" s="28" t="s">
        <v>1546</v>
      </c>
      <c r="H321" s="28" t="s">
        <v>1543</v>
      </c>
      <c r="I321" s="28" t="s">
        <v>4049</v>
      </c>
      <c r="J321" s="28" t="s">
        <v>4038</v>
      </c>
      <c r="K321" s="28" t="s">
        <v>4427</v>
      </c>
      <c r="L321" s="28" t="s">
        <v>4418</v>
      </c>
      <c r="M321" s="28" t="s">
        <v>4428</v>
      </c>
      <c r="N321" s="28" t="s">
        <v>4420</v>
      </c>
    </row>
    <row r="322" spans="1:14" x14ac:dyDescent="0.2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35" t="s">
        <v>979</v>
      </c>
      <c r="G322" s="28" t="s">
        <v>1547</v>
      </c>
      <c r="H322" s="28" t="s">
        <v>1548</v>
      </c>
      <c r="I322" s="28" t="s">
        <v>4052</v>
      </c>
      <c r="J322" s="28" t="s">
        <v>4053</v>
      </c>
      <c r="K322" s="28" t="s">
        <v>4429</v>
      </c>
      <c r="L322" s="28" t="s">
        <v>4430</v>
      </c>
      <c r="M322" s="28" t="s">
        <v>4431</v>
      </c>
      <c r="N322" s="28" t="s">
        <v>4432</v>
      </c>
    </row>
    <row r="323" spans="1:14" x14ac:dyDescent="0.2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35" t="s">
        <v>979</v>
      </c>
      <c r="G323" s="28" t="s">
        <v>1550</v>
      </c>
      <c r="H323" s="28" t="s">
        <v>1548</v>
      </c>
      <c r="I323" s="28" t="s">
        <v>4061</v>
      </c>
      <c r="J323" s="28" t="s">
        <v>4053</v>
      </c>
      <c r="K323" s="28" t="s">
        <v>4433</v>
      </c>
      <c r="L323" s="28" t="s">
        <v>4430</v>
      </c>
      <c r="M323" s="28" t="s">
        <v>4434</v>
      </c>
      <c r="N323" s="28" t="s">
        <v>4432</v>
      </c>
    </row>
    <row r="324" spans="1:14" x14ac:dyDescent="0.2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35" t="s">
        <v>979</v>
      </c>
      <c r="G324" s="28" t="s">
        <v>1551</v>
      </c>
      <c r="H324" s="28" t="s">
        <v>1548</v>
      </c>
      <c r="I324" s="28" t="s">
        <v>4064</v>
      </c>
      <c r="J324" s="28" t="s">
        <v>4053</v>
      </c>
      <c r="K324" s="28" t="s">
        <v>4435</v>
      </c>
      <c r="L324" s="28" t="s">
        <v>4430</v>
      </c>
      <c r="M324" s="28" t="s">
        <v>4436</v>
      </c>
      <c r="N324" s="28" t="s">
        <v>4432</v>
      </c>
    </row>
    <row r="325" spans="1:14" x14ac:dyDescent="0.2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35" t="s">
        <v>980</v>
      </c>
      <c r="G325" s="28" t="s">
        <v>1577</v>
      </c>
      <c r="H325" s="28" t="s">
        <v>1553</v>
      </c>
      <c r="I325" s="28" t="s">
        <v>4364</v>
      </c>
      <c r="J325" s="28" t="s">
        <v>4068</v>
      </c>
      <c r="K325" s="28" t="s">
        <v>4437</v>
      </c>
      <c r="L325" s="28" t="s">
        <v>4438</v>
      </c>
      <c r="M325" s="28" t="s">
        <v>4439</v>
      </c>
      <c r="N325" s="28" t="s">
        <v>4440</v>
      </c>
    </row>
    <row r="326" spans="1:14" x14ac:dyDescent="0.2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35" t="s">
        <v>980</v>
      </c>
      <c r="G326" s="28" t="s">
        <v>1552</v>
      </c>
      <c r="H326" s="28" t="s">
        <v>1553</v>
      </c>
      <c r="I326" s="28" t="s">
        <v>4067</v>
      </c>
      <c r="J326" s="28" t="s">
        <v>4068</v>
      </c>
      <c r="K326" s="28" t="s">
        <v>4441</v>
      </c>
      <c r="L326" s="28" t="s">
        <v>4438</v>
      </c>
      <c r="M326" s="28" t="s">
        <v>4442</v>
      </c>
      <c r="N326" s="28" t="s">
        <v>4440</v>
      </c>
    </row>
    <row r="327" spans="1:14" x14ac:dyDescent="0.2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35" t="s">
        <v>980</v>
      </c>
      <c r="G327" s="28" t="s">
        <v>1554</v>
      </c>
      <c r="H327" s="28" t="s">
        <v>1553</v>
      </c>
      <c r="I327" s="28" t="s">
        <v>4073</v>
      </c>
      <c r="J327" s="28" t="s">
        <v>4068</v>
      </c>
      <c r="K327" s="28" t="s">
        <v>4443</v>
      </c>
      <c r="L327" s="28" t="s">
        <v>4438</v>
      </c>
      <c r="M327" s="28" t="s">
        <v>4444</v>
      </c>
      <c r="N327" s="28" t="s">
        <v>4440</v>
      </c>
    </row>
    <row r="328" spans="1:14" x14ac:dyDescent="0.2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35" t="s">
        <v>981</v>
      </c>
      <c r="G328" s="28" t="s">
        <v>1578</v>
      </c>
      <c r="H328" s="28" t="s">
        <v>1575</v>
      </c>
      <c r="I328" s="28" t="s">
        <v>4445</v>
      </c>
      <c r="J328" s="28" t="s">
        <v>4192</v>
      </c>
      <c r="K328" s="28" t="s">
        <v>4446</v>
      </c>
      <c r="L328" s="28" t="s">
        <v>4447</v>
      </c>
      <c r="M328" s="28" t="s">
        <v>4448</v>
      </c>
      <c r="N328" s="28" t="s">
        <v>4449</v>
      </c>
    </row>
    <row r="329" spans="1:14" x14ac:dyDescent="0.2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35" t="s">
        <v>981</v>
      </c>
      <c r="G329" s="28" t="s">
        <v>1574</v>
      </c>
      <c r="H329" s="28" t="s">
        <v>1575</v>
      </c>
      <c r="I329" s="28" t="s">
        <v>4191</v>
      </c>
      <c r="J329" s="28" t="s">
        <v>4192</v>
      </c>
      <c r="K329" s="28" t="s">
        <v>4450</v>
      </c>
      <c r="L329" s="28" t="s">
        <v>4447</v>
      </c>
      <c r="M329" s="28" t="s">
        <v>4451</v>
      </c>
      <c r="N329" s="28" t="s">
        <v>4449</v>
      </c>
    </row>
    <row r="330" spans="1:14" x14ac:dyDescent="0.2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35" t="s">
        <v>983</v>
      </c>
      <c r="G330" s="28" t="s">
        <v>1573</v>
      </c>
      <c r="H330" s="28" t="s">
        <v>1556</v>
      </c>
      <c r="I330" s="28" t="s">
        <v>4130</v>
      </c>
      <c r="J330" s="28" t="s">
        <v>4077</v>
      </c>
      <c r="K330" s="28" t="s">
        <v>4452</v>
      </c>
      <c r="L330" s="28" t="s">
        <v>4453</v>
      </c>
      <c r="M330" s="28" t="s">
        <v>4454</v>
      </c>
      <c r="N330" s="28" t="s">
        <v>4455</v>
      </c>
    </row>
    <row r="331" spans="1:14" x14ac:dyDescent="0.2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35" t="s">
        <v>982</v>
      </c>
      <c r="G331" s="28" t="s">
        <v>1562</v>
      </c>
      <c r="H331" s="28" t="s">
        <v>1560</v>
      </c>
      <c r="I331" s="28" t="s">
        <v>4097</v>
      </c>
      <c r="J331" s="28" t="s">
        <v>4089</v>
      </c>
      <c r="K331" s="28" t="s">
        <v>4456</v>
      </c>
      <c r="L331" s="28" t="s">
        <v>4457</v>
      </c>
      <c r="M331" s="28" t="s">
        <v>4458</v>
      </c>
      <c r="N331" s="28" t="s">
        <v>4459</v>
      </c>
    </row>
    <row r="332" spans="1:14" x14ac:dyDescent="0.2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35" t="s">
        <v>982</v>
      </c>
      <c r="G332" s="28" t="s">
        <v>1563</v>
      </c>
      <c r="H332" s="28" t="s">
        <v>1560</v>
      </c>
      <c r="I332" s="28" t="s">
        <v>4100</v>
      </c>
      <c r="J332" s="28" t="s">
        <v>4089</v>
      </c>
      <c r="K332" s="28" t="s">
        <v>4460</v>
      </c>
      <c r="L332" s="28" t="s">
        <v>4457</v>
      </c>
      <c r="M332" s="28" t="s">
        <v>4461</v>
      </c>
      <c r="N332" s="28" t="s">
        <v>4459</v>
      </c>
    </row>
    <row r="333" spans="1:14" x14ac:dyDescent="0.2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35" t="s">
        <v>976</v>
      </c>
      <c r="G333" s="28" t="s">
        <v>1566</v>
      </c>
      <c r="H333" s="28" t="s">
        <v>1565</v>
      </c>
      <c r="I333" s="28" t="s">
        <v>4109</v>
      </c>
      <c r="J333" s="28" t="s">
        <v>4104</v>
      </c>
      <c r="K333" s="28" t="s">
        <v>4462</v>
      </c>
      <c r="L333" s="28" t="s">
        <v>4463</v>
      </c>
      <c r="M333" s="28" t="s">
        <v>4464</v>
      </c>
      <c r="N333" s="28" t="s">
        <v>4465</v>
      </c>
    </row>
    <row r="334" spans="1:14" x14ac:dyDescent="0.2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35" t="s">
        <v>976</v>
      </c>
      <c r="G334" s="28" t="s">
        <v>1568</v>
      </c>
      <c r="H334" s="28" t="s">
        <v>1565</v>
      </c>
      <c r="I334" s="28" t="s">
        <v>4115</v>
      </c>
      <c r="J334" s="28" t="s">
        <v>4104</v>
      </c>
      <c r="K334" s="28" t="s">
        <v>4466</v>
      </c>
      <c r="L334" s="28" t="s">
        <v>4463</v>
      </c>
      <c r="M334" s="28" t="s">
        <v>4467</v>
      </c>
      <c r="N334" s="28" t="s">
        <v>4465</v>
      </c>
    </row>
    <row r="335" spans="1:14" x14ac:dyDescent="0.2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35" t="s">
        <v>977</v>
      </c>
      <c r="G335" s="28" t="s">
        <v>1570</v>
      </c>
      <c r="H335" s="28" t="s">
        <v>1541</v>
      </c>
      <c r="I335" s="28" t="s">
        <v>4121</v>
      </c>
      <c r="J335" s="28" t="s">
        <v>4032</v>
      </c>
      <c r="K335" s="28" t="s">
        <v>4468</v>
      </c>
      <c r="L335" s="28" t="s">
        <v>4469</v>
      </c>
      <c r="M335" s="28" t="s">
        <v>4470</v>
      </c>
      <c r="N335" s="28" t="s">
        <v>4471</v>
      </c>
    </row>
    <row r="336" spans="1:14" x14ac:dyDescent="0.2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35" t="s">
        <v>977</v>
      </c>
      <c r="G336" s="28" t="s">
        <v>1572</v>
      </c>
      <c r="H336" s="28" t="s">
        <v>1541</v>
      </c>
      <c r="I336" s="28" t="s">
        <v>4127</v>
      </c>
      <c r="J336" s="28" t="s">
        <v>4032</v>
      </c>
      <c r="K336" s="28" t="s">
        <v>4472</v>
      </c>
      <c r="L336" s="28" t="s">
        <v>4469</v>
      </c>
      <c r="M336" s="28" t="s">
        <v>4473</v>
      </c>
      <c r="N336" s="28" t="s">
        <v>4471</v>
      </c>
    </row>
    <row r="337" spans="1:14" x14ac:dyDescent="0.2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35" t="s">
        <v>979</v>
      </c>
      <c r="G337" s="28" t="s">
        <v>1549</v>
      </c>
      <c r="H337" s="28" t="s">
        <v>1548</v>
      </c>
      <c r="I337" s="28" t="s">
        <v>4058</v>
      </c>
      <c r="J337" s="28" t="s">
        <v>4053</v>
      </c>
      <c r="K337" s="28" t="s">
        <v>4474</v>
      </c>
      <c r="L337" s="28" t="s">
        <v>4475</v>
      </c>
      <c r="M337" s="28" t="s">
        <v>4476</v>
      </c>
      <c r="N337" s="28" t="s">
        <v>4477</v>
      </c>
    </row>
    <row r="338" spans="1:14" x14ac:dyDescent="0.2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35" t="s">
        <v>979</v>
      </c>
      <c r="G338" s="28" t="s">
        <v>1550</v>
      </c>
      <c r="H338" s="28" t="s">
        <v>1548</v>
      </c>
      <c r="I338" s="28" t="s">
        <v>4061</v>
      </c>
      <c r="J338" s="28" t="s">
        <v>4053</v>
      </c>
      <c r="K338" s="28" t="s">
        <v>4478</v>
      </c>
      <c r="L338" s="28" t="s">
        <v>4475</v>
      </c>
      <c r="M338" s="28" t="s">
        <v>4479</v>
      </c>
      <c r="N338" s="28" t="s">
        <v>4477</v>
      </c>
    </row>
    <row r="339" spans="1:14" x14ac:dyDescent="0.2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35" t="s">
        <v>980</v>
      </c>
      <c r="G339" s="28" t="s">
        <v>1577</v>
      </c>
      <c r="H339" s="28" t="s">
        <v>1553</v>
      </c>
      <c r="I339" s="28" t="s">
        <v>4364</v>
      </c>
      <c r="J339" s="28" t="s">
        <v>4068</v>
      </c>
      <c r="K339" s="28" t="s">
        <v>4480</v>
      </c>
      <c r="L339" s="28" t="s">
        <v>4481</v>
      </c>
      <c r="M339" s="28" t="s">
        <v>4482</v>
      </c>
      <c r="N339" s="28" t="s">
        <v>4483</v>
      </c>
    </row>
    <row r="340" spans="1:14" x14ac:dyDescent="0.2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35" t="s">
        <v>980</v>
      </c>
      <c r="G340" s="28" t="s">
        <v>1552</v>
      </c>
      <c r="H340" s="28" t="s">
        <v>1553</v>
      </c>
      <c r="I340" s="28" t="s">
        <v>4067</v>
      </c>
      <c r="J340" s="28" t="s">
        <v>4068</v>
      </c>
      <c r="K340" s="28" t="s">
        <v>4484</v>
      </c>
      <c r="L340" s="28" t="s">
        <v>4481</v>
      </c>
      <c r="M340" s="28" t="s">
        <v>4485</v>
      </c>
      <c r="N340" s="28" t="s">
        <v>4483</v>
      </c>
    </row>
    <row r="341" spans="1:14" x14ac:dyDescent="0.2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35" t="s">
        <v>980</v>
      </c>
      <c r="G341" s="28" t="s">
        <v>1554</v>
      </c>
      <c r="H341" s="28" t="s">
        <v>1553</v>
      </c>
      <c r="I341" s="28" t="s">
        <v>4073</v>
      </c>
      <c r="J341" s="28" t="s">
        <v>4068</v>
      </c>
      <c r="K341" s="28" t="s">
        <v>4486</v>
      </c>
      <c r="L341" s="28" t="s">
        <v>4481</v>
      </c>
      <c r="M341" s="28" t="s">
        <v>4487</v>
      </c>
      <c r="N341" s="28" t="s">
        <v>4483</v>
      </c>
    </row>
    <row r="342" spans="1:14" x14ac:dyDescent="0.2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35" t="s">
        <v>981</v>
      </c>
      <c r="G342" s="28" t="s">
        <v>1574</v>
      </c>
      <c r="H342" s="28" t="s">
        <v>1575</v>
      </c>
      <c r="I342" s="28" t="s">
        <v>4191</v>
      </c>
      <c r="J342" s="28" t="s">
        <v>4192</v>
      </c>
      <c r="K342" s="28" t="s">
        <v>4488</v>
      </c>
      <c r="L342" s="28" t="s">
        <v>4489</v>
      </c>
      <c r="M342" s="28" t="s">
        <v>4490</v>
      </c>
      <c r="N342" s="28" t="s">
        <v>4491</v>
      </c>
    </row>
    <row r="343" spans="1:14" x14ac:dyDescent="0.2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35" t="s">
        <v>983</v>
      </c>
      <c r="G343" s="28" t="s">
        <v>1555</v>
      </c>
      <c r="H343" s="28" t="s">
        <v>1556</v>
      </c>
      <c r="I343" s="28" t="s">
        <v>4076</v>
      </c>
      <c r="J343" s="28" t="s">
        <v>4077</v>
      </c>
      <c r="K343" s="28" t="s">
        <v>4492</v>
      </c>
      <c r="L343" s="28" t="s">
        <v>4493</v>
      </c>
      <c r="M343" s="28" t="s">
        <v>4494</v>
      </c>
      <c r="N343" s="28" t="s">
        <v>4495</v>
      </c>
    </row>
    <row r="344" spans="1:14" x14ac:dyDescent="0.2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35" t="s">
        <v>983</v>
      </c>
      <c r="G344" s="28" t="s">
        <v>1557</v>
      </c>
      <c r="H344" s="28" t="s">
        <v>1556</v>
      </c>
      <c r="I344" s="28" t="s">
        <v>4082</v>
      </c>
      <c r="J344" s="28" t="s">
        <v>4077</v>
      </c>
      <c r="K344" s="28" t="s">
        <v>4496</v>
      </c>
      <c r="L344" s="28" t="s">
        <v>4493</v>
      </c>
      <c r="M344" s="28" t="s">
        <v>4497</v>
      </c>
      <c r="N344" s="28" t="s">
        <v>4495</v>
      </c>
    </row>
    <row r="345" spans="1:14" x14ac:dyDescent="0.2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35" t="s">
        <v>982</v>
      </c>
      <c r="G345" s="28" t="s">
        <v>1562</v>
      </c>
      <c r="H345" s="28" t="s">
        <v>1560</v>
      </c>
      <c r="I345" s="28" t="s">
        <v>4097</v>
      </c>
      <c r="J345" s="28" t="s">
        <v>4089</v>
      </c>
      <c r="K345" s="28" t="s">
        <v>4498</v>
      </c>
      <c r="L345" s="28" t="s">
        <v>4499</v>
      </c>
      <c r="M345" s="28" t="s">
        <v>4500</v>
      </c>
      <c r="N345" s="28" t="s">
        <v>4501</v>
      </c>
    </row>
    <row r="346" spans="1:14" x14ac:dyDescent="0.2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35" t="s">
        <v>976</v>
      </c>
      <c r="G346" s="28" t="s">
        <v>1564</v>
      </c>
      <c r="H346" s="28" t="s">
        <v>1565</v>
      </c>
      <c r="I346" s="28" t="s">
        <v>4103</v>
      </c>
      <c r="J346" s="28" t="s">
        <v>4104</v>
      </c>
      <c r="K346" s="28" t="s">
        <v>4502</v>
      </c>
      <c r="L346" s="28" t="s">
        <v>4503</v>
      </c>
      <c r="M346" s="28" t="s">
        <v>4504</v>
      </c>
      <c r="N346" s="28" t="s">
        <v>4505</v>
      </c>
    </row>
    <row r="347" spans="1:14" x14ac:dyDescent="0.2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35" t="s">
        <v>976</v>
      </c>
      <c r="G347" s="28" t="s">
        <v>1566</v>
      </c>
      <c r="H347" s="28" t="s">
        <v>1565</v>
      </c>
      <c r="I347" s="28" t="s">
        <v>4109</v>
      </c>
      <c r="J347" s="28" t="s">
        <v>4104</v>
      </c>
      <c r="K347" s="28" t="s">
        <v>4506</v>
      </c>
      <c r="L347" s="28" t="s">
        <v>4503</v>
      </c>
      <c r="M347" s="28" t="s">
        <v>4507</v>
      </c>
      <c r="N347" s="28" t="s">
        <v>4505</v>
      </c>
    </row>
    <row r="348" spans="1:14" x14ac:dyDescent="0.2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35" t="s">
        <v>976</v>
      </c>
      <c r="G348" s="28" t="s">
        <v>1567</v>
      </c>
      <c r="H348" s="28" t="s">
        <v>1565</v>
      </c>
      <c r="I348" s="28" t="s">
        <v>4112</v>
      </c>
      <c r="J348" s="28" t="s">
        <v>4104</v>
      </c>
      <c r="K348" s="28" t="s">
        <v>4508</v>
      </c>
      <c r="L348" s="28" t="s">
        <v>4503</v>
      </c>
      <c r="M348" s="28" t="s">
        <v>4509</v>
      </c>
      <c r="N348" s="28" t="s">
        <v>4505</v>
      </c>
    </row>
    <row r="349" spans="1:14" x14ac:dyDescent="0.2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35" t="s">
        <v>976</v>
      </c>
      <c r="G349" s="28" t="s">
        <v>1569</v>
      </c>
      <c r="H349" s="28" t="s">
        <v>1565</v>
      </c>
      <c r="I349" s="28" t="s">
        <v>4118</v>
      </c>
      <c r="J349" s="28" t="s">
        <v>4104</v>
      </c>
      <c r="K349" s="28" t="s">
        <v>4510</v>
      </c>
      <c r="L349" s="28" t="s">
        <v>4503</v>
      </c>
      <c r="M349" s="28" t="s">
        <v>4511</v>
      </c>
      <c r="N349" s="28" t="s">
        <v>4505</v>
      </c>
    </row>
    <row r="350" spans="1:14" x14ac:dyDescent="0.2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35" t="s">
        <v>977</v>
      </c>
      <c r="G350" s="28" t="s">
        <v>1570</v>
      </c>
      <c r="H350" s="28" t="s">
        <v>1541</v>
      </c>
      <c r="I350" s="28" t="s">
        <v>4121</v>
      </c>
      <c r="J350" s="28" t="s">
        <v>4032</v>
      </c>
      <c r="K350" s="28" t="s">
        <v>4512</v>
      </c>
      <c r="L350" s="28" t="s">
        <v>4513</v>
      </c>
      <c r="M350" s="28" t="s">
        <v>4514</v>
      </c>
      <c r="N350" s="28" t="s">
        <v>4515</v>
      </c>
    </row>
    <row r="351" spans="1:14" x14ac:dyDescent="0.2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35" t="s">
        <v>977</v>
      </c>
      <c r="G351" s="28" t="s">
        <v>1540</v>
      </c>
      <c r="H351" s="28" t="s">
        <v>1541</v>
      </c>
      <c r="I351" s="28" t="s">
        <v>4031</v>
      </c>
      <c r="J351" s="28" t="s">
        <v>4032</v>
      </c>
      <c r="K351" s="28" t="s">
        <v>4516</v>
      </c>
      <c r="L351" s="28" t="s">
        <v>4513</v>
      </c>
      <c r="M351" s="28" t="s">
        <v>4517</v>
      </c>
      <c r="N351" s="28" t="s">
        <v>4515</v>
      </c>
    </row>
    <row r="352" spans="1:14" x14ac:dyDescent="0.2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35" t="s">
        <v>977</v>
      </c>
      <c r="G352" s="28" t="s">
        <v>1572</v>
      </c>
      <c r="H352" s="28" t="s">
        <v>1541</v>
      </c>
      <c r="I352" s="28" t="s">
        <v>4127</v>
      </c>
      <c r="J352" s="28" t="s">
        <v>4032</v>
      </c>
      <c r="K352" s="28" t="s">
        <v>4518</v>
      </c>
      <c r="L352" s="28" t="s">
        <v>4513</v>
      </c>
      <c r="M352" s="28" t="s">
        <v>4519</v>
      </c>
      <c r="N352" s="28" t="s">
        <v>4515</v>
      </c>
    </row>
    <row r="353" spans="1:14" x14ac:dyDescent="0.2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35" t="s">
        <v>978</v>
      </c>
      <c r="G353" s="28" t="s">
        <v>1542</v>
      </c>
      <c r="H353" s="28" t="s">
        <v>1543</v>
      </c>
      <c r="I353" s="28" t="s">
        <v>4037</v>
      </c>
      <c r="J353" s="28" t="s">
        <v>4038</v>
      </c>
      <c r="K353" s="28" t="s">
        <v>4520</v>
      </c>
      <c r="L353" s="28" t="s">
        <v>4521</v>
      </c>
      <c r="M353" s="28" t="s">
        <v>4522</v>
      </c>
      <c r="N353" s="28" t="s">
        <v>4523</v>
      </c>
    </row>
    <row r="354" spans="1:14" x14ac:dyDescent="0.2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35" t="s">
        <v>978</v>
      </c>
      <c r="G354" s="28" t="s">
        <v>1546</v>
      </c>
      <c r="H354" s="28" t="s">
        <v>1543</v>
      </c>
      <c r="I354" s="28" t="s">
        <v>4049</v>
      </c>
      <c r="J354" s="28" t="s">
        <v>4038</v>
      </c>
      <c r="K354" s="28" t="s">
        <v>4524</v>
      </c>
      <c r="L354" s="28" t="s">
        <v>4521</v>
      </c>
      <c r="M354" s="28" t="s">
        <v>4525</v>
      </c>
      <c r="N354" s="28" t="s">
        <v>4523</v>
      </c>
    </row>
    <row r="355" spans="1:14" x14ac:dyDescent="0.2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35" t="s">
        <v>979</v>
      </c>
      <c r="G355" s="28" t="s">
        <v>1547</v>
      </c>
      <c r="H355" s="28" t="s">
        <v>1548</v>
      </c>
      <c r="I355" s="28" t="s">
        <v>4052</v>
      </c>
      <c r="J355" s="28" t="s">
        <v>4053</v>
      </c>
      <c r="K355" s="28" t="s">
        <v>4526</v>
      </c>
      <c r="L355" s="28" t="s">
        <v>4527</v>
      </c>
      <c r="M355" s="28" t="s">
        <v>4528</v>
      </c>
      <c r="N355" s="28" t="s">
        <v>4529</v>
      </c>
    </row>
    <row r="356" spans="1:14" x14ac:dyDescent="0.2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35" t="s">
        <v>979</v>
      </c>
      <c r="G356" s="28" t="s">
        <v>1550</v>
      </c>
      <c r="H356" s="28" t="s">
        <v>1548</v>
      </c>
      <c r="I356" s="28" t="s">
        <v>4061</v>
      </c>
      <c r="J356" s="28" t="s">
        <v>4053</v>
      </c>
      <c r="K356" s="28" t="s">
        <v>4530</v>
      </c>
      <c r="L356" s="28" t="s">
        <v>4527</v>
      </c>
      <c r="M356" s="28" t="s">
        <v>4531</v>
      </c>
      <c r="N356" s="28" t="s">
        <v>4529</v>
      </c>
    </row>
    <row r="357" spans="1:14" x14ac:dyDescent="0.2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35" t="s">
        <v>980</v>
      </c>
      <c r="G357" s="28" t="s">
        <v>1577</v>
      </c>
      <c r="H357" s="28" t="s">
        <v>1553</v>
      </c>
      <c r="I357" s="28" t="s">
        <v>4364</v>
      </c>
      <c r="J357" s="28" t="s">
        <v>4068</v>
      </c>
      <c r="K357" s="28" t="s">
        <v>4532</v>
      </c>
      <c r="L357" s="28" t="s">
        <v>4533</v>
      </c>
      <c r="M357" s="28" t="s">
        <v>4534</v>
      </c>
      <c r="N357" s="28" t="s">
        <v>4535</v>
      </c>
    </row>
    <row r="358" spans="1:14" x14ac:dyDescent="0.2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35" t="s">
        <v>980</v>
      </c>
      <c r="G358" s="28" t="s">
        <v>1552</v>
      </c>
      <c r="H358" s="28" t="s">
        <v>1553</v>
      </c>
      <c r="I358" s="28" t="s">
        <v>4067</v>
      </c>
      <c r="J358" s="28" t="s">
        <v>4068</v>
      </c>
      <c r="K358" s="28" t="s">
        <v>4536</v>
      </c>
      <c r="L358" s="28" t="s">
        <v>4533</v>
      </c>
      <c r="M358" s="28" t="s">
        <v>4537</v>
      </c>
      <c r="N358" s="28" t="s">
        <v>4535</v>
      </c>
    </row>
    <row r="359" spans="1:14" x14ac:dyDescent="0.2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35" t="s">
        <v>980</v>
      </c>
      <c r="G359" s="28" t="s">
        <v>1554</v>
      </c>
      <c r="H359" s="28" t="s">
        <v>1553</v>
      </c>
      <c r="I359" s="28" t="s">
        <v>4073</v>
      </c>
      <c r="J359" s="28" t="s">
        <v>4068</v>
      </c>
      <c r="K359" s="28" t="s">
        <v>4538</v>
      </c>
      <c r="L359" s="28" t="s">
        <v>4533</v>
      </c>
      <c r="M359" s="28" t="s">
        <v>4539</v>
      </c>
      <c r="N359" s="28" t="s">
        <v>4535</v>
      </c>
    </row>
    <row r="360" spans="1:14" x14ac:dyDescent="0.2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35" t="s">
        <v>981</v>
      </c>
      <c r="G360" s="28" t="s">
        <v>1574</v>
      </c>
      <c r="H360" s="28" t="s">
        <v>1575</v>
      </c>
      <c r="I360" s="28" t="s">
        <v>4191</v>
      </c>
      <c r="J360" s="28" t="s">
        <v>4192</v>
      </c>
      <c r="K360" s="28" t="s">
        <v>4540</v>
      </c>
      <c r="L360" s="28" t="s">
        <v>4541</v>
      </c>
      <c r="M360" s="28" t="s">
        <v>4542</v>
      </c>
      <c r="N360" s="28" t="s">
        <v>4543</v>
      </c>
    </row>
    <row r="361" spans="1:14" x14ac:dyDescent="0.2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35" t="s">
        <v>983</v>
      </c>
      <c r="G361" s="28" t="s">
        <v>1579</v>
      </c>
      <c r="H361" s="28" t="s">
        <v>1580</v>
      </c>
      <c r="I361" s="28" t="s">
        <v>4544</v>
      </c>
      <c r="J361" s="28" t="s">
        <v>4545</v>
      </c>
      <c r="K361" s="28" t="s">
        <v>4546</v>
      </c>
      <c r="L361" s="28" t="s">
        <v>4547</v>
      </c>
      <c r="M361" s="28" t="s">
        <v>4548</v>
      </c>
      <c r="N361" s="28" t="s">
        <v>4549</v>
      </c>
    </row>
    <row r="362" spans="1:14" x14ac:dyDescent="0.2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35" t="s">
        <v>983</v>
      </c>
      <c r="G362" s="28" t="s">
        <v>1581</v>
      </c>
      <c r="H362" s="28" t="s">
        <v>1580</v>
      </c>
      <c r="I362" s="28" t="s">
        <v>4550</v>
      </c>
      <c r="J362" s="28" t="s">
        <v>4545</v>
      </c>
      <c r="K362" s="28" t="s">
        <v>4551</v>
      </c>
      <c r="L362" s="28" t="s">
        <v>4547</v>
      </c>
      <c r="M362" s="28" t="s">
        <v>4552</v>
      </c>
      <c r="N362" s="28" t="s">
        <v>4549</v>
      </c>
    </row>
    <row r="363" spans="1:14" x14ac:dyDescent="0.2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35" t="s">
        <v>983</v>
      </c>
      <c r="G363" s="28" t="s">
        <v>1582</v>
      </c>
      <c r="H363" s="28" t="s">
        <v>1580</v>
      </c>
      <c r="I363" s="28" t="s">
        <v>4553</v>
      </c>
      <c r="J363" s="28" t="s">
        <v>4545</v>
      </c>
      <c r="K363" s="28" t="s">
        <v>4554</v>
      </c>
      <c r="L363" s="28" t="s">
        <v>4547</v>
      </c>
      <c r="M363" s="28" t="s">
        <v>4555</v>
      </c>
      <c r="N363" s="28" t="s">
        <v>4549</v>
      </c>
    </row>
    <row r="364" spans="1:14" x14ac:dyDescent="0.2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35" t="s">
        <v>982</v>
      </c>
      <c r="G364" s="28" t="s">
        <v>1583</v>
      </c>
      <c r="H364" s="28" t="s">
        <v>1584</v>
      </c>
      <c r="I364" s="28" t="s">
        <v>4556</v>
      </c>
      <c r="J364" s="28" t="s">
        <v>4557</v>
      </c>
      <c r="K364" s="28" t="s">
        <v>4558</v>
      </c>
      <c r="L364" s="28" t="s">
        <v>4559</v>
      </c>
      <c r="M364" s="28" t="s">
        <v>4560</v>
      </c>
      <c r="N364" s="28" t="s">
        <v>4561</v>
      </c>
    </row>
    <row r="365" spans="1:14" x14ac:dyDescent="0.2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35" t="s">
        <v>982</v>
      </c>
      <c r="G365" s="28" t="s">
        <v>1585</v>
      </c>
      <c r="H365" s="28" t="s">
        <v>1584</v>
      </c>
      <c r="I365" s="28" t="s">
        <v>4562</v>
      </c>
      <c r="J365" s="28" t="s">
        <v>4557</v>
      </c>
      <c r="K365" s="28" t="s">
        <v>4563</v>
      </c>
      <c r="L365" s="28" t="s">
        <v>4559</v>
      </c>
      <c r="M365" s="28" t="s">
        <v>4564</v>
      </c>
      <c r="N365" s="28" t="s">
        <v>4561</v>
      </c>
    </row>
    <row r="366" spans="1:14" x14ac:dyDescent="0.2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35" t="s">
        <v>982</v>
      </c>
      <c r="G366" s="28" t="s">
        <v>1586</v>
      </c>
      <c r="H366" s="28" t="s">
        <v>1584</v>
      </c>
      <c r="I366" s="28" t="s">
        <v>4565</v>
      </c>
      <c r="J366" s="28" t="s">
        <v>4557</v>
      </c>
      <c r="K366" s="28" t="s">
        <v>4566</v>
      </c>
      <c r="L366" s="28" t="s">
        <v>4559</v>
      </c>
      <c r="M366" s="28" t="s">
        <v>4567</v>
      </c>
      <c r="N366" s="28" t="s">
        <v>4561</v>
      </c>
    </row>
    <row r="367" spans="1:14" x14ac:dyDescent="0.2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35" t="s">
        <v>982</v>
      </c>
      <c r="G367" s="28" t="s">
        <v>1587</v>
      </c>
      <c r="H367" s="28" t="s">
        <v>1584</v>
      </c>
      <c r="I367" s="28" t="s">
        <v>4568</v>
      </c>
      <c r="J367" s="28" t="s">
        <v>4557</v>
      </c>
      <c r="K367" s="28" t="s">
        <v>4569</v>
      </c>
      <c r="L367" s="28" t="s">
        <v>4559</v>
      </c>
      <c r="M367" s="28" t="s">
        <v>4570</v>
      </c>
      <c r="N367" s="28" t="s">
        <v>4561</v>
      </c>
    </row>
    <row r="368" spans="1:14" x14ac:dyDescent="0.2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35" t="s">
        <v>983</v>
      </c>
      <c r="G368" s="28" t="s">
        <v>1588</v>
      </c>
      <c r="H368" s="28" t="s">
        <v>1580</v>
      </c>
      <c r="I368" s="28" t="s">
        <v>4571</v>
      </c>
      <c r="J368" s="28" t="s">
        <v>4545</v>
      </c>
      <c r="K368" s="28" t="s">
        <v>4572</v>
      </c>
      <c r="L368" s="28" t="s">
        <v>4573</v>
      </c>
      <c r="M368" s="28" t="s">
        <v>4574</v>
      </c>
      <c r="N368" s="28" t="s">
        <v>4575</v>
      </c>
    </row>
    <row r="369" spans="1:14" x14ac:dyDescent="0.2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35" t="s">
        <v>983</v>
      </c>
      <c r="G369" s="28" t="s">
        <v>1579</v>
      </c>
      <c r="H369" s="28" t="s">
        <v>1580</v>
      </c>
      <c r="I369" s="28" t="s">
        <v>4544</v>
      </c>
      <c r="J369" s="28" t="s">
        <v>4545</v>
      </c>
      <c r="K369" s="28" t="s">
        <v>4576</v>
      </c>
      <c r="L369" s="28" t="s">
        <v>4573</v>
      </c>
      <c r="M369" s="28" t="s">
        <v>4577</v>
      </c>
      <c r="N369" s="28" t="s">
        <v>4575</v>
      </c>
    </row>
    <row r="370" spans="1:14" x14ac:dyDescent="0.2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35" t="s">
        <v>983</v>
      </c>
      <c r="G370" s="28" t="s">
        <v>1581</v>
      </c>
      <c r="H370" s="28" t="s">
        <v>1580</v>
      </c>
      <c r="I370" s="28" t="s">
        <v>4550</v>
      </c>
      <c r="J370" s="28" t="s">
        <v>4545</v>
      </c>
      <c r="K370" s="28" t="s">
        <v>4578</v>
      </c>
      <c r="L370" s="28" t="s">
        <v>4573</v>
      </c>
      <c r="M370" s="28" t="s">
        <v>4579</v>
      </c>
      <c r="N370" s="28" t="s">
        <v>4575</v>
      </c>
    </row>
    <row r="371" spans="1:14" x14ac:dyDescent="0.2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35" t="s">
        <v>983</v>
      </c>
      <c r="G371" s="28" t="s">
        <v>1582</v>
      </c>
      <c r="H371" s="28" t="s">
        <v>1580</v>
      </c>
      <c r="I371" s="28" t="s">
        <v>4553</v>
      </c>
      <c r="J371" s="28" t="s">
        <v>4545</v>
      </c>
      <c r="K371" s="28" t="s">
        <v>4580</v>
      </c>
      <c r="L371" s="28" t="s">
        <v>4573</v>
      </c>
      <c r="M371" s="28" t="s">
        <v>4581</v>
      </c>
      <c r="N371" s="28" t="s">
        <v>4575</v>
      </c>
    </row>
    <row r="372" spans="1:14" x14ac:dyDescent="0.2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35" t="s">
        <v>982</v>
      </c>
      <c r="G372" s="28" t="s">
        <v>1583</v>
      </c>
      <c r="H372" s="28" t="s">
        <v>1584</v>
      </c>
      <c r="I372" s="28" t="s">
        <v>4556</v>
      </c>
      <c r="J372" s="28" t="s">
        <v>4557</v>
      </c>
      <c r="K372" s="28" t="s">
        <v>4582</v>
      </c>
      <c r="L372" s="28" t="s">
        <v>4583</v>
      </c>
      <c r="M372" s="28" t="s">
        <v>4584</v>
      </c>
      <c r="N372" s="28" t="s">
        <v>4585</v>
      </c>
    </row>
    <row r="373" spans="1:14" x14ac:dyDescent="0.2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35" t="s">
        <v>982</v>
      </c>
      <c r="G373" s="28" t="s">
        <v>1585</v>
      </c>
      <c r="H373" s="28" t="s">
        <v>1584</v>
      </c>
      <c r="I373" s="28" t="s">
        <v>4562</v>
      </c>
      <c r="J373" s="28" t="s">
        <v>4557</v>
      </c>
      <c r="K373" s="28" t="s">
        <v>4586</v>
      </c>
      <c r="L373" s="28" t="s">
        <v>4583</v>
      </c>
      <c r="M373" s="28" t="s">
        <v>4587</v>
      </c>
      <c r="N373" s="28" t="s">
        <v>4585</v>
      </c>
    </row>
    <row r="374" spans="1:14" x14ac:dyDescent="0.2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35" t="s">
        <v>982</v>
      </c>
      <c r="G374" s="28" t="s">
        <v>1586</v>
      </c>
      <c r="H374" s="28" t="s">
        <v>1584</v>
      </c>
      <c r="I374" s="28" t="s">
        <v>4565</v>
      </c>
      <c r="J374" s="28" t="s">
        <v>4557</v>
      </c>
      <c r="K374" s="28" t="s">
        <v>4588</v>
      </c>
      <c r="L374" s="28" t="s">
        <v>4583</v>
      </c>
      <c r="M374" s="28" t="s">
        <v>4589</v>
      </c>
      <c r="N374" s="28" t="s">
        <v>4585</v>
      </c>
    </row>
    <row r="375" spans="1:14" x14ac:dyDescent="0.2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35" t="s">
        <v>982</v>
      </c>
      <c r="G375" s="28" t="s">
        <v>1587</v>
      </c>
      <c r="H375" s="28" t="s">
        <v>1584</v>
      </c>
      <c r="I375" s="28" t="s">
        <v>4568</v>
      </c>
      <c r="J375" s="28" t="s">
        <v>4557</v>
      </c>
      <c r="K375" s="28" t="s">
        <v>4590</v>
      </c>
      <c r="L375" s="28" t="s">
        <v>4583</v>
      </c>
      <c r="M375" s="28" t="s">
        <v>4591</v>
      </c>
      <c r="N375" s="28" t="s">
        <v>4585</v>
      </c>
    </row>
    <row r="376" spans="1:14" x14ac:dyDescent="0.2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35" t="s">
        <v>984</v>
      </c>
      <c r="G376" s="28" t="s">
        <v>1589</v>
      </c>
      <c r="H376" s="28" t="s">
        <v>1590</v>
      </c>
      <c r="I376" s="28" t="s">
        <v>4592</v>
      </c>
      <c r="J376" s="28" t="s">
        <v>4593</v>
      </c>
      <c r="K376" s="28" t="s">
        <v>4594</v>
      </c>
      <c r="L376" s="28" t="s">
        <v>4595</v>
      </c>
      <c r="M376" s="28" t="s">
        <v>4596</v>
      </c>
      <c r="N376" s="28" t="s">
        <v>4597</v>
      </c>
    </row>
    <row r="377" spans="1:14" x14ac:dyDescent="0.2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35" t="s">
        <v>985</v>
      </c>
      <c r="G377" s="28" t="s">
        <v>1591</v>
      </c>
      <c r="H377" s="28" t="s">
        <v>1592</v>
      </c>
      <c r="I377" s="28" t="s">
        <v>4598</v>
      </c>
      <c r="J377" s="28" t="s">
        <v>4599</v>
      </c>
      <c r="K377" s="28" t="s">
        <v>4600</v>
      </c>
      <c r="L377" s="28" t="s">
        <v>4601</v>
      </c>
      <c r="M377" s="28" t="s">
        <v>4602</v>
      </c>
      <c r="N377" s="28" t="s">
        <v>4603</v>
      </c>
    </row>
    <row r="378" spans="1:14" x14ac:dyDescent="0.2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35" t="s">
        <v>986</v>
      </c>
      <c r="G378" s="28" t="s">
        <v>1593</v>
      </c>
      <c r="H378" s="28" t="s">
        <v>1594</v>
      </c>
      <c r="I378" s="28" t="s">
        <v>4604</v>
      </c>
      <c r="J378" s="28" t="s">
        <v>4605</v>
      </c>
      <c r="K378" s="28" t="s">
        <v>4606</v>
      </c>
      <c r="L378" s="28" t="s">
        <v>4607</v>
      </c>
      <c r="M378" s="28" t="s">
        <v>4608</v>
      </c>
      <c r="N378" s="28" t="s">
        <v>4609</v>
      </c>
    </row>
    <row r="379" spans="1:14" x14ac:dyDescent="0.2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35" t="s">
        <v>986</v>
      </c>
      <c r="G379" s="28" t="s">
        <v>1595</v>
      </c>
      <c r="H379" s="28" t="s">
        <v>1594</v>
      </c>
      <c r="I379" s="28" t="s">
        <v>4610</v>
      </c>
      <c r="J379" s="28" t="s">
        <v>4605</v>
      </c>
      <c r="K379" s="28" t="s">
        <v>4611</v>
      </c>
      <c r="L379" s="28" t="s">
        <v>4607</v>
      </c>
      <c r="M379" s="28" t="s">
        <v>4612</v>
      </c>
      <c r="N379" s="28" t="s">
        <v>4609</v>
      </c>
    </row>
    <row r="380" spans="1:14" x14ac:dyDescent="0.2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35" t="s">
        <v>986</v>
      </c>
      <c r="G380" s="28" t="s">
        <v>1596</v>
      </c>
      <c r="H380" s="28" t="s">
        <v>1594</v>
      </c>
      <c r="I380" s="28" t="s">
        <v>4613</v>
      </c>
      <c r="J380" s="28" t="s">
        <v>4605</v>
      </c>
      <c r="K380" s="28" t="s">
        <v>4614</v>
      </c>
      <c r="L380" s="28" t="s">
        <v>4607</v>
      </c>
      <c r="M380" s="28" t="s">
        <v>4615</v>
      </c>
      <c r="N380" s="28" t="s">
        <v>4609</v>
      </c>
    </row>
    <row r="381" spans="1:14" x14ac:dyDescent="0.2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35" t="s">
        <v>986</v>
      </c>
      <c r="G381" s="28" t="s">
        <v>1597</v>
      </c>
      <c r="H381" s="28" t="s">
        <v>1594</v>
      </c>
      <c r="I381" s="28" t="s">
        <v>4616</v>
      </c>
      <c r="J381" s="28" t="s">
        <v>4605</v>
      </c>
      <c r="K381" s="28" t="s">
        <v>4617</v>
      </c>
      <c r="L381" s="28" t="s">
        <v>4607</v>
      </c>
      <c r="M381" s="28" t="s">
        <v>4618</v>
      </c>
      <c r="N381" s="28" t="s">
        <v>4609</v>
      </c>
    </row>
    <row r="382" spans="1:14" x14ac:dyDescent="0.2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35" t="s">
        <v>987</v>
      </c>
      <c r="G382" s="28" t="s">
        <v>1598</v>
      </c>
      <c r="H382" s="28" t="s">
        <v>1599</v>
      </c>
      <c r="I382" s="28" t="s">
        <v>4619</v>
      </c>
      <c r="J382" s="28" t="s">
        <v>4620</v>
      </c>
      <c r="K382" s="28" t="s">
        <v>4621</v>
      </c>
      <c r="L382" s="28" t="s">
        <v>4622</v>
      </c>
      <c r="M382" s="28" t="s">
        <v>4623</v>
      </c>
      <c r="N382" s="28" t="s">
        <v>4624</v>
      </c>
    </row>
    <row r="383" spans="1:14" x14ac:dyDescent="0.2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35" t="s">
        <v>987</v>
      </c>
      <c r="G383" s="28" t="s">
        <v>1600</v>
      </c>
      <c r="H383" s="28" t="s">
        <v>1599</v>
      </c>
      <c r="I383" s="28" t="s">
        <v>4625</v>
      </c>
      <c r="J383" s="28" t="s">
        <v>4620</v>
      </c>
      <c r="K383" s="28" t="s">
        <v>4626</v>
      </c>
      <c r="L383" s="28" t="s">
        <v>4622</v>
      </c>
      <c r="M383" s="28" t="s">
        <v>4627</v>
      </c>
      <c r="N383" s="28" t="s">
        <v>4624</v>
      </c>
    </row>
    <row r="384" spans="1:14" x14ac:dyDescent="0.2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35" t="s">
        <v>987</v>
      </c>
      <c r="G384" s="28" t="s">
        <v>1601</v>
      </c>
      <c r="H384" s="28" t="s">
        <v>1599</v>
      </c>
      <c r="I384" s="28" t="s">
        <v>4628</v>
      </c>
      <c r="J384" s="28" t="s">
        <v>4620</v>
      </c>
      <c r="K384" s="28" t="s">
        <v>4629</v>
      </c>
      <c r="L384" s="28" t="s">
        <v>4622</v>
      </c>
      <c r="M384" s="28" t="s">
        <v>4630</v>
      </c>
      <c r="N384" s="28" t="s">
        <v>4624</v>
      </c>
    </row>
    <row r="385" spans="1:14" x14ac:dyDescent="0.2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35" t="s">
        <v>988</v>
      </c>
      <c r="G385" s="28" t="s">
        <v>1602</v>
      </c>
      <c r="H385" s="28" t="s">
        <v>1603</v>
      </c>
      <c r="I385" s="28" t="s">
        <v>4631</v>
      </c>
      <c r="J385" s="28" t="s">
        <v>4632</v>
      </c>
      <c r="K385" s="28" t="s">
        <v>4633</v>
      </c>
      <c r="L385" s="28" t="s">
        <v>4634</v>
      </c>
      <c r="M385" s="28" t="s">
        <v>4635</v>
      </c>
      <c r="N385" s="28" t="s">
        <v>4636</v>
      </c>
    </row>
    <row r="386" spans="1:14" x14ac:dyDescent="0.2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35" t="s">
        <v>988</v>
      </c>
      <c r="G386" s="28" t="s">
        <v>1604</v>
      </c>
      <c r="H386" s="28" t="s">
        <v>1603</v>
      </c>
      <c r="I386" s="28" t="s">
        <v>4637</v>
      </c>
      <c r="J386" s="28" t="s">
        <v>4632</v>
      </c>
      <c r="K386" s="28" t="s">
        <v>4638</v>
      </c>
      <c r="L386" s="28" t="s">
        <v>4634</v>
      </c>
      <c r="M386" s="28" t="s">
        <v>4639</v>
      </c>
      <c r="N386" s="28" t="s">
        <v>4636</v>
      </c>
    </row>
    <row r="387" spans="1:14" x14ac:dyDescent="0.2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35" t="s">
        <v>989</v>
      </c>
      <c r="G387" s="28" t="s">
        <v>1605</v>
      </c>
      <c r="H387" s="28" t="s">
        <v>1606</v>
      </c>
      <c r="I387" s="28" t="s">
        <v>4640</v>
      </c>
      <c r="J387" s="28" t="s">
        <v>4641</v>
      </c>
      <c r="K387" s="28" t="s">
        <v>4642</v>
      </c>
      <c r="L387" s="28" t="s">
        <v>4643</v>
      </c>
      <c r="M387" s="28" t="s">
        <v>4644</v>
      </c>
      <c r="N387" s="28" t="s">
        <v>4645</v>
      </c>
    </row>
    <row r="388" spans="1:14" x14ac:dyDescent="0.2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35" t="s">
        <v>990</v>
      </c>
      <c r="G388" s="28" t="s">
        <v>1607</v>
      </c>
      <c r="H388" s="28" t="s">
        <v>1608</v>
      </c>
      <c r="I388" s="28" t="s">
        <v>4646</v>
      </c>
      <c r="J388" s="28" t="s">
        <v>4647</v>
      </c>
      <c r="K388" s="28" t="s">
        <v>4648</v>
      </c>
      <c r="L388" s="28" t="s">
        <v>4649</v>
      </c>
      <c r="M388" s="28" t="s">
        <v>4650</v>
      </c>
      <c r="N388" s="28" t="s">
        <v>4651</v>
      </c>
    </row>
    <row r="389" spans="1:14" x14ac:dyDescent="0.2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35" t="s">
        <v>990</v>
      </c>
      <c r="G389" s="28" t="s">
        <v>1609</v>
      </c>
      <c r="H389" s="28" t="s">
        <v>1608</v>
      </c>
      <c r="I389" s="28" t="s">
        <v>4652</v>
      </c>
      <c r="J389" s="28" t="s">
        <v>4647</v>
      </c>
      <c r="K389" s="28" t="s">
        <v>4653</v>
      </c>
      <c r="L389" s="28" t="s">
        <v>4649</v>
      </c>
      <c r="M389" s="28" t="s">
        <v>4654</v>
      </c>
      <c r="N389" s="28" t="s">
        <v>4651</v>
      </c>
    </row>
    <row r="390" spans="1:14" x14ac:dyDescent="0.2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35" t="s">
        <v>991</v>
      </c>
      <c r="G390" s="28" t="s">
        <v>1610</v>
      </c>
      <c r="H390" s="28" t="s">
        <v>1611</v>
      </c>
      <c r="I390" s="28" t="s">
        <v>4655</v>
      </c>
      <c r="J390" s="28" t="s">
        <v>4656</v>
      </c>
      <c r="K390" s="28" t="s">
        <v>4657</v>
      </c>
      <c r="L390" s="28" t="s">
        <v>4658</v>
      </c>
      <c r="M390" s="28" t="s">
        <v>4659</v>
      </c>
      <c r="N390" s="28" t="s">
        <v>4660</v>
      </c>
    </row>
    <row r="391" spans="1:14" x14ac:dyDescent="0.2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35" t="s">
        <v>991</v>
      </c>
      <c r="G391" s="28" t="s">
        <v>1612</v>
      </c>
      <c r="H391" s="28" t="s">
        <v>1611</v>
      </c>
      <c r="I391" s="28" t="s">
        <v>4661</v>
      </c>
      <c r="J391" s="28" t="s">
        <v>4656</v>
      </c>
      <c r="K391" s="28" t="s">
        <v>4662</v>
      </c>
      <c r="L391" s="28" t="s">
        <v>4658</v>
      </c>
      <c r="M391" s="28" t="s">
        <v>4663</v>
      </c>
      <c r="N391" s="28" t="s">
        <v>4660</v>
      </c>
    </row>
    <row r="392" spans="1:14" x14ac:dyDescent="0.2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35" t="s">
        <v>991</v>
      </c>
      <c r="G392" s="28" t="s">
        <v>1613</v>
      </c>
      <c r="H392" s="28" t="s">
        <v>1611</v>
      </c>
      <c r="I392" s="28" t="s">
        <v>4664</v>
      </c>
      <c r="J392" s="28" t="s">
        <v>4656</v>
      </c>
      <c r="K392" s="28" t="s">
        <v>4665</v>
      </c>
      <c r="L392" s="28" t="s">
        <v>4658</v>
      </c>
      <c r="M392" s="28" t="s">
        <v>4666</v>
      </c>
      <c r="N392" s="28" t="s">
        <v>4660</v>
      </c>
    </row>
    <row r="393" spans="1:14" x14ac:dyDescent="0.2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35" t="s">
        <v>992</v>
      </c>
      <c r="G393" s="28" t="s">
        <v>1614</v>
      </c>
      <c r="H393" s="28" t="s">
        <v>1615</v>
      </c>
      <c r="I393" s="28" t="s">
        <v>4667</v>
      </c>
      <c r="J393" s="28" t="s">
        <v>4668</v>
      </c>
      <c r="K393" s="28" t="s">
        <v>4669</v>
      </c>
      <c r="L393" s="28" t="s">
        <v>4670</v>
      </c>
      <c r="M393" s="28" t="s">
        <v>4671</v>
      </c>
      <c r="N393" s="28" t="s">
        <v>4672</v>
      </c>
    </row>
    <row r="394" spans="1:14" x14ac:dyDescent="0.2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35" t="s">
        <v>992</v>
      </c>
      <c r="G394" s="28" t="s">
        <v>1616</v>
      </c>
      <c r="H394" s="28" t="s">
        <v>1615</v>
      </c>
      <c r="I394" s="28" t="s">
        <v>4673</v>
      </c>
      <c r="J394" s="28" t="s">
        <v>4668</v>
      </c>
      <c r="K394" s="28" t="s">
        <v>4674</v>
      </c>
      <c r="L394" s="28" t="s">
        <v>4670</v>
      </c>
      <c r="M394" s="28" t="s">
        <v>4675</v>
      </c>
      <c r="N394" s="28" t="s">
        <v>4672</v>
      </c>
    </row>
    <row r="395" spans="1:14" x14ac:dyDescent="0.2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35" t="s">
        <v>992</v>
      </c>
      <c r="G395" s="28" t="s">
        <v>1617</v>
      </c>
      <c r="H395" s="28" t="s">
        <v>1615</v>
      </c>
      <c r="I395" s="28" t="s">
        <v>4676</v>
      </c>
      <c r="J395" s="28" t="s">
        <v>4668</v>
      </c>
      <c r="K395" s="28" t="s">
        <v>4677</v>
      </c>
      <c r="L395" s="28" t="s">
        <v>4670</v>
      </c>
      <c r="M395" s="28" t="s">
        <v>4678</v>
      </c>
      <c r="N395" s="28" t="s">
        <v>4672</v>
      </c>
    </row>
    <row r="396" spans="1:14" x14ac:dyDescent="0.2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35" t="s">
        <v>983</v>
      </c>
      <c r="G396" s="28" t="s">
        <v>1557</v>
      </c>
      <c r="H396" s="28" t="s">
        <v>1556</v>
      </c>
      <c r="I396" s="28" t="s">
        <v>4679</v>
      </c>
      <c r="J396" s="28" t="s">
        <v>4680</v>
      </c>
      <c r="K396" s="28" t="s">
        <v>4681</v>
      </c>
      <c r="L396" s="28" t="s">
        <v>4682</v>
      </c>
      <c r="M396" s="28" t="s">
        <v>4204</v>
      </c>
      <c r="N396" s="28" t="s">
        <v>4200</v>
      </c>
    </row>
    <row r="397" spans="1:14" x14ac:dyDescent="0.2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35" t="s">
        <v>982</v>
      </c>
      <c r="G397" s="28" t="s">
        <v>1559</v>
      </c>
      <c r="H397" s="28" t="s">
        <v>1560</v>
      </c>
      <c r="I397" s="28" t="s">
        <v>4683</v>
      </c>
      <c r="J397" s="28" t="s">
        <v>4684</v>
      </c>
      <c r="K397" s="28" t="s">
        <v>4685</v>
      </c>
      <c r="L397" s="28" t="s">
        <v>4686</v>
      </c>
      <c r="M397" s="28" t="s">
        <v>4687</v>
      </c>
      <c r="N397" s="28" t="s">
        <v>4688</v>
      </c>
    </row>
    <row r="398" spans="1:14" x14ac:dyDescent="0.2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35" t="s">
        <v>982</v>
      </c>
      <c r="G398" s="28" t="s">
        <v>1562</v>
      </c>
      <c r="H398" s="28" t="s">
        <v>1560</v>
      </c>
      <c r="I398" s="28" t="s">
        <v>4689</v>
      </c>
      <c r="J398" s="28" t="s">
        <v>4684</v>
      </c>
      <c r="K398" s="28" t="s">
        <v>4690</v>
      </c>
      <c r="L398" s="28" t="s">
        <v>4686</v>
      </c>
      <c r="M398" s="28" t="s">
        <v>4691</v>
      </c>
      <c r="N398" s="28" t="s">
        <v>4688</v>
      </c>
    </row>
    <row r="399" spans="1:14" x14ac:dyDescent="0.2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35" t="s">
        <v>976</v>
      </c>
      <c r="G399" s="28" t="s">
        <v>1568</v>
      </c>
      <c r="H399" s="28" t="s">
        <v>1565</v>
      </c>
      <c r="I399" s="28" t="s">
        <v>4692</v>
      </c>
      <c r="J399" s="28" t="s">
        <v>4693</v>
      </c>
      <c r="K399" s="28" t="s">
        <v>4694</v>
      </c>
      <c r="L399" s="28" t="s">
        <v>4695</v>
      </c>
      <c r="M399" s="28" t="s">
        <v>4212</v>
      </c>
      <c r="N399" s="28" t="s">
        <v>4208</v>
      </c>
    </row>
    <row r="400" spans="1:14" x14ac:dyDescent="0.2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35" t="s">
        <v>977</v>
      </c>
      <c r="G400" s="28" t="s">
        <v>1571</v>
      </c>
      <c r="H400" s="28" t="s">
        <v>1541</v>
      </c>
      <c r="I400" s="28" t="s">
        <v>4696</v>
      </c>
      <c r="J400" s="28" t="s">
        <v>4697</v>
      </c>
      <c r="K400" s="28" t="s">
        <v>4698</v>
      </c>
      <c r="L400" s="28" t="s">
        <v>4699</v>
      </c>
      <c r="M400" s="28" t="s">
        <v>4700</v>
      </c>
      <c r="N400" s="28" t="s">
        <v>4218</v>
      </c>
    </row>
    <row r="401" spans="1:14" x14ac:dyDescent="0.2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35" t="s">
        <v>978</v>
      </c>
      <c r="G401" s="28" t="s">
        <v>1544</v>
      </c>
      <c r="H401" s="28" t="s">
        <v>1543</v>
      </c>
      <c r="I401" s="28" t="s">
        <v>4701</v>
      </c>
      <c r="J401" s="28" t="s">
        <v>4702</v>
      </c>
      <c r="K401" s="28" t="s">
        <v>4703</v>
      </c>
      <c r="L401" s="28" t="s">
        <v>4704</v>
      </c>
      <c r="M401" s="28" t="s">
        <v>4221</v>
      </c>
      <c r="N401" s="28" t="s">
        <v>4222</v>
      </c>
    </row>
    <row r="402" spans="1:14" x14ac:dyDescent="0.2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35" t="s">
        <v>978</v>
      </c>
      <c r="G402" s="28" t="s">
        <v>1576</v>
      </c>
      <c r="H402" s="28" t="s">
        <v>1543</v>
      </c>
      <c r="I402" s="28" t="s">
        <v>4705</v>
      </c>
      <c r="J402" s="28" t="s">
        <v>4702</v>
      </c>
      <c r="K402" s="28" t="s">
        <v>4706</v>
      </c>
      <c r="L402" s="28" t="s">
        <v>4704</v>
      </c>
      <c r="M402" s="28" t="s">
        <v>4707</v>
      </c>
      <c r="N402" s="28" t="s">
        <v>4222</v>
      </c>
    </row>
    <row r="403" spans="1:14" x14ac:dyDescent="0.2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35" t="s">
        <v>978</v>
      </c>
      <c r="G403" s="28" t="s">
        <v>1546</v>
      </c>
      <c r="H403" s="28" t="s">
        <v>1543</v>
      </c>
      <c r="I403" s="28" t="s">
        <v>4708</v>
      </c>
      <c r="J403" s="28" t="s">
        <v>4702</v>
      </c>
      <c r="K403" s="28" t="s">
        <v>4709</v>
      </c>
      <c r="L403" s="28" t="s">
        <v>4704</v>
      </c>
      <c r="M403" s="28" t="s">
        <v>4710</v>
      </c>
      <c r="N403" s="28" t="s">
        <v>4222</v>
      </c>
    </row>
    <row r="404" spans="1:14" x14ac:dyDescent="0.2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35" t="s">
        <v>980</v>
      </c>
      <c r="G404" s="28" t="s">
        <v>1554</v>
      </c>
      <c r="H404" s="28" t="s">
        <v>1553</v>
      </c>
      <c r="I404" s="28" t="s">
        <v>4711</v>
      </c>
      <c r="J404" s="28" t="s">
        <v>4712</v>
      </c>
      <c r="K404" s="28" t="s">
        <v>4713</v>
      </c>
      <c r="L404" s="28" t="s">
        <v>4714</v>
      </c>
      <c r="M404" s="28" t="s">
        <v>4715</v>
      </c>
      <c r="N404" s="28" t="s">
        <v>4716</v>
      </c>
    </row>
    <row r="405" spans="1:14" x14ac:dyDescent="0.2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35" t="s">
        <v>984</v>
      </c>
      <c r="G405" s="28" t="s">
        <v>1589</v>
      </c>
      <c r="H405" s="28" t="s">
        <v>1590</v>
      </c>
      <c r="I405" s="28" t="s">
        <v>4592</v>
      </c>
      <c r="J405" s="28" t="s">
        <v>4593</v>
      </c>
      <c r="K405" s="28" t="s">
        <v>4717</v>
      </c>
      <c r="L405" s="28" t="s">
        <v>4718</v>
      </c>
      <c r="M405" s="28" t="s">
        <v>4719</v>
      </c>
      <c r="N405" s="28" t="s">
        <v>4720</v>
      </c>
    </row>
    <row r="406" spans="1:14" x14ac:dyDescent="0.2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35" t="s">
        <v>984</v>
      </c>
      <c r="G406" s="28" t="s">
        <v>1618</v>
      </c>
      <c r="H406" s="28" t="s">
        <v>1590</v>
      </c>
      <c r="I406" s="28" t="s">
        <v>4721</v>
      </c>
      <c r="J406" s="28" t="s">
        <v>4593</v>
      </c>
      <c r="K406" s="28" t="s">
        <v>4722</v>
      </c>
      <c r="L406" s="28" t="s">
        <v>4718</v>
      </c>
      <c r="M406" s="28" t="s">
        <v>4723</v>
      </c>
      <c r="N406" s="28" t="s">
        <v>4720</v>
      </c>
    </row>
    <row r="407" spans="1:14" x14ac:dyDescent="0.2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35" t="s">
        <v>985</v>
      </c>
      <c r="G407" s="28" t="s">
        <v>1619</v>
      </c>
      <c r="H407" s="28" t="s">
        <v>1592</v>
      </c>
      <c r="I407" s="28" t="s">
        <v>4724</v>
      </c>
      <c r="J407" s="28" t="s">
        <v>4599</v>
      </c>
      <c r="K407" s="28" t="s">
        <v>4725</v>
      </c>
      <c r="L407" s="28" t="s">
        <v>4726</v>
      </c>
      <c r="M407" s="28" t="s">
        <v>4727</v>
      </c>
      <c r="N407" s="28" t="s">
        <v>4728</v>
      </c>
    </row>
    <row r="408" spans="1:14" x14ac:dyDescent="0.2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35" t="s">
        <v>985</v>
      </c>
      <c r="G408" s="28" t="s">
        <v>1591</v>
      </c>
      <c r="H408" s="28" t="s">
        <v>1592</v>
      </c>
      <c r="I408" s="28" t="s">
        <v>4598</v>
      </c>
      <c r="J408" s="28" t="s">
        <v>4599</v>
      </c>
      <c r="K408" s="28" t="s">
        <v>4729</v>
      </c>
      <c r="L408" s="28" t="s">
        <v>4726</v>
      </c>
      <c r="M408" s="28" t="s">
        <v>4730</v>
      </c>
      <c r="N408" s="28" t="s">
        <v>4728</v>
      </c>
    </row>
    <row r="409" spans="1:14" x14ac:dyDescent="0.2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35" t="s">
        <v>985</v>
      </c>
      <c r="G409" s="28" t="s">
        <v>1620</v>
      </c>
      <c r="H409" s="28" t="s">
        <v>1592</v>
      </c>
      <c r="I409" s="28" t="s">
        <v>4731</v>
      </c>
      <c r="J409" s="28" t="s">
        <v>4599</v>
      </c>
      <c r="K409" s="28" t="s">
        <v>4732</v>
      </c>
      <c r="L409" s="28" t="s">
        <v>4726</v>
      </c>
      <c r="M409" s="28" t="s">
        <v>4733</v>
      </c>
      <c r="N409" s="28" t="s">
        <v>4728</v>
      </c>
    </row>
    <row r="410" spans="1:14" x14ac:dyDescent="0.2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35" t="s">
        <v>986</v>
      </c>
      <c r="G410" s="28" t="s">
        <v>1593</v>
      </c>
      <c r="H410" s="28" t="s">
        <v>1594</v>
      </c>
      <c r="I410" s="28" t="s">
        <v>4604</v>
      </c>
      <c r="J410" s="28" t="s">
        <v>4605</v>
      </c>
      <c r="K410" s="28" t="s">
        <v>4734</v>
      </c>
      <c r="L410" s="28" t="s">
        <v>4735</v>
      </c>
      <c r="M410" s="28" t="s">
        <v>4736</v>
      </c>
      <c r="N410" s="28" t="s">
        <v>4737</v>
      </c>
    </row>
    <row r="411" spans="1:14" x14ac:dyDescent="0.2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35" t="s">
        <v>986</v>
      </c>
      <c r="G411" s="28" t="s">
        <v>1595</v>
      </c>
      <c r="H411" s="28" t="s">
        <v>1594</v>
      </c>
      <c r="I411" s="28" t="s">
        <v>4610</v>
      </c>
      <c r="J411" s="28" t="s">
        <v>4605</v>
      </c>
      <c r="K411" s="28" t="s">
        <v>4738</v>
      </c>
      <c r="L411" s="28" t="s">
        <v>4735</v>
      </c>
      <c r="M411" s="28" t="s">
        <v>4739</v>
      </c>
      <c r="N411" s="28" t="s">
        <v>4737</v>
      </c>
    </row>
    <row r="412" spans="1:14" x14ac:dyDescent="0.2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35" t="s">
        <v>986</v>
      </c>
      <c r="G412" s="28" t="s">
        <v>1596</v>
      </c>
      <c r="H412" s="28" t="s">
        <v>1594</v>
      </c>
      <c r="I412" s="28" t="s">
        <v>4613</v>
      </c>
      <c r="J412" s="28" t="s">
        <v>4605</v>
      </c>
      <c r="K412" s="28" t="s">
        <v>4740</v>
      </c>
      <c r="L412" s="28" t="s">
        <v>4735</v>
      </c>
      <c r="M412" s="28" t="s">
        <v>4741</v>
      </c>
      <c r="N412" s="28" t="s">
        <v>4737</v>
      </c>
    </row>
    <row r="413" spans="1:14" x14ac:dyDescent="0.2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35" t="s">
        <v>986</v>
      </c>
      <c r="G413" s="28" t="s">
        <v>1597</v>
      </c>
      <c r="H413" s="28" t="s">
        <v>1594</v>
      </c>
      <c r="I413" s="28" t="s">
        <v>4616</v>
      </c>
      <c r="J413" s="28" t="s">
        <v>4605</v>
      </c>
      <c r="K413" s="28" t="s">
        <v>4742</v>
      </c>
      <c r="L413" s="28" t="s">
        <v>4735</v>
      </c>
      <c r="M413" s="28" t="s">
        <v>4743</v>
      </c>
      <c r="N413" s="28" t="s">
        <v>4737</v>
      </c>
    </row>
    <row r="414" spans="1:14" x14ac:dyDescent="0.2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35" t="s">
        <v>986</v>
      </c>
      <c r="G414" s="28" t="s">
        <v>1621</v>
      </c>
      <c r="H414" s="28" t="s">
        <v>1594</v>
      </c>
      <c r="I414" s="28" t="s">
        <v>4744</v>
      </c>
      <c r="J414" s="28" t="s">
        <v>4605</v>
      </c>
      <c r="K414" s="28" t="s">
        <v>4745</v>
      </c>
      <c r="L414" s="28" t="s">
        <v>4735</v>
      </c>
      <c r="M414" s="28" t="s">
        <v>4746</v>
      </c>
      <c r="N414" s="28" t="s">
        <v>4737</v>
      </c>
    </row>
    <row r="415" spans="1:14" x14ac:dyDescent="0.2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35" t="s">
        <v>987</v>
      </c>
      <c r="G415" s="28" t="s">
        <v>1601</v>
      </c>
      <c r="H415" s="28" t="s">
        <v>1599</v>
      </c>
      <c r="I415" s="28" t="s">
        <v>4628</v>
      </c>
      <c r="J415" s="28" t="s">
        <v>4620</v>
      </c>
      <c r="K415" s="28" t="s">
        <v>4747</v>
      </c>
      <c r="L415" s="28" t="s">
        <v>4748</v>
      </c>
      <c r="M415" s="28" t="s">
        <v>4749</v>
      </c>
      <c r="N415" s="28" t="s">
        <v>4750</v>
      </c>
    </row>
    <row r="416" spans="1:14" x14ac:dyDescent="0.2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35" t="s">
        <v>987</v>
      </c>
      <c r="G416" s="28" t="s">
        <v>1622</v>
      </c>
      <c r="H416" s="28" t="s">
        <v>1599</v>
      </c>
      <c r="I416" s="28" t="s">
        <v>4751</v>
      </c>
      <c r="J416" s="28" t="s">
        <v>4620</v>
      </c>
      <c r="K416" s="28" t="s">
        <v>4752</v>
      </c>
      <c r="L416" s="28" t="s">
        <v>4748</v>
      </c>
      <c r="M416" s="28" t="s">
        <v>4753</v>
      </c>
      <c r="N416" s="28" t="s">
        <v>4750</v>
      </c>
    </row>
    <row r="417" spans="1:14" x14ac:dyDescent="0.2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35" t="s">
        <v>988</v>
      </c>
      <c r="G417" s="28" t="s">
        <v>1602</v>
      </c>
      <c r="H417" s="28" t="s">
        <v>1603</v>
      </c>
      <c r="I417" s="28" t="s">
        <v>4631</v>
      </c>
      <c r="J417" s="28" t="s">
        <v>4632</v>
      </c>
      <c r="K417" s="28" t="s">
        <v>4754</v>
      </c>
      <c r="L417" s="28" t="s">
        <v>4755</v>
      </c>
      <c r="M417" s="28" t="s">
        <v>4756</v>
      </c>
      <c r="N417" s="28" t="s">
        <v>4757</v>
      </c>
    </row>
    <row r="418" spans="1:14" x14ac:dyDescent="0.2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35" t="s">
        <v>988</v>
      </c>
      <c r="G418" s="28" t="s">
        <v>1623</v>
      </c>
      <c r="H418" s="28" t="s">
        <v>1603</v>
      </c>
      <c r="I418" s="28" t="s">
        <v>4758</v>
      </c>
      <c r="J418" s="28" t="s">
        <v>4632</v>
      </c>
      <c r="K418" s="28" t="s">
        <v>4759</v>
      </c>
      <c r="L418" s="28" t="s">
        <v>4755</v>
      </c>
      <c r="M418" s="28" t="s">
        <v>4760</v>
      </c>
      <c r="N418" s="28" t="s">
        <v>4757</v>
      </c>
    </row>
    <row r="419" spans="1:14" x14ac:dyDescent="0.2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35" t="s">
        <v>988</v>
      </c>
      <c r="G419" s="28" t="s">
        <v>1604</v>
      </c>
      <c r="H419" s="28" t="s">
        <v>1603</v>
      </c>
      <c r="I419" s="28" t="s">
        <v>4637</v>
      </c>
      <c r="J419" s="28" t="s">
        <v>4632</v>
      </c>
      <c r="K419" s="28" t="s">
        <v>4761</v>
      </c>
      <c r="L419" s="28" t="s">
        <v>4755</v>
      </c>
      <c r="M419" s="28" t="s">
        <v>4762</v>
      </c>
      <c r="N419" s="28" t="s">
        <v>4757</v>
      </c>
    </row>
    <row r="420" spans="1:14" x14ac:dyDescent="0.2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35" t="s">
        <v>989</v>
      </c>
      <c r="G420" s="28" t="s">
        <v>1605</v>
      </c>
      <c r="H420" s="28" t="s">
        <v>1606</v>
      </c>
      <c r="I420" s="28" t="s">
        <v>4640</v>
      </c>
      <c r="J420" s="28" t="s">
        <v>4641</v>
      </c>
      <c r="K420" s="28" t="s">
        <v>4763</v>
      </c>
      <c r="L420" s="28" t="s">
        <v>4764</v>
      </c>
      <c r="M420" s="28" t="s">
        <v>4765</v>
      </c>
      <c r="N420" s="28" t="s">
        <v>4766</v>
      </c>
    </row>
    <row r="421" spans="1:14" x14ac:dyDescent="0.2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35" t="s">
        <v>989</v>
      </c>
      <c r="G421" s="28" t="s">
        <v>1624</v>
      </c>
      <c r="H421" s="28" t="s">
        <v>1606</v>
      </c>
      <c r="I421" s="28" t="s">
        <v>4767</v>
      </c>
      <c r="J421" s="28" t="s">
        <v>4641</v>
      </c>
      <c r="K421" s="28" t="s">
        <v>4768</v>
      </c>
      <c r="L421" s="28" t="s">
        <v>4764</v>
      </c>
      <c r="M421" s="28" t="s">
        <v>4769</v>
      </c>
      <c r="N421" s="28" t="s">
        <v>4766</v>
      </c>
    </row>
    <row r="422" spans="1:14" x14ac:dyDescent="0.2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35" t="s">
        <v>989</v>
      </c>
      <c r="G422" s="28" t="s">
        <v>1625</v>
      </c>
      <c r="H422" s="28" t="s">
        <v>1606</v>
      </c>
      <c r="I422" s="28" t="s">
        <v>4770</v>
      </c>
      <c r="J422" s="28" t="s">
        <v>4641</v>
      </c>
      <c r="K422" s="28" t="s">
        <v>4771</v>
      </c>
      <c r="L422" s="28" t="s">
        <v>4764</v>
      </c>
      <c r="M422" s="28" t="s">
        <v>4772</v>
      </c>
      <c r="N422" s="28" t="s">
        <v>4766</v>
      </c>
    </row>
    <row r="423" spans="1:14" x14ac:dyDescent="0.2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35" t="s">
        <v>989</v>
      </c>
      <c r="G423" s="28" t="s">
        <v>1626</v>
      </c>
      <c r="H423" s="28" t="s">
        <v>1606</v>
      </c>
      <c r="I423" s="28" t="s">
        <v>4773</v>
      </c>
      <c r="J423" s="28" t="s">
        <v>4641</v>
      </c>
      <c r="K423" s="28" t="s">
        <v>4774</v>
      </c>
      <c r="L423" s="28" t="s">
        <v>4764</v>
      </c>
      <c r="M423" s="28" t="s">
        <v>4775</v>
      </c>
      <c r="N423" s="28" t="s">
        <v>4766</v>
      </c>
    </row>
    <row r="424" spans="1:14" x14ac:dyDescent="0.2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35" t="s">
        <v>990</v>
      </c>
      <c r="G424" s="28" t="s">
        <v>1627</v>
      </c>
      <c r="H424" s="28" t="s">
        <v>1608</v>
      </c>
      <c r="I424" s="28" t="s">
        <v>4776</v>
      </c>
      <c r="J424" s="28" t="s">
        <v>4647</v>
      </c>
      <c r="K424" s="28" t="s">
        <v>4777</v>
      </c>
      <c r="L424" s="28" t="s">
        <v>4778</v>
      </c>
      <c r="M424" s="28" t="s">
        <v>4779</v>
      </c>
      <c r="N424" s="28" t="s">
        <v>4780</v>
      </c>
    </row>
    <row r="425" spans="1:14" x14ac:dyDescent="0.2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35" t="s">
        <v>990</v>
      </c>
      <c r="G425" s="28" t="s">
        <v>1607</v>
      </c>
      <c r="H425" s="28" t="s">
        <v>1608</v>
      </c>
      <c r="I425" s="28" t="s">
        <v>4646</v>
      </c>
      <c r="J425" s="28" t="s">
        <v>4647</v>
      </c>
      <c r="K425" s="28" t="s">
        <v>4781</v>
      </c>
      <c r="L425" s="28" t="s">
        <v>4778</v>
      </c>
      <c r="M425" s="28" t="s">
        <v>4782</v>
      </c>
      <c r="N425" s="28" t="s">
        <v>4780</v>
      </c>
    </row>
    <row r="426" spans="1:14" x14ac:dyDescent="0.2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35" t="s">
        <v>990</v>
      </c>
      <c r="G426" s="28" t="s">
        <v>1609</v>
      </c>
      <c r="H426" s="28" t="s">
        <v>1608</v>
      </c>
      <c r="I426" s="28" t="s">
        <v>4652</v>
      </c>
      <c r="J426" s="28" t="s">
        <v>4647</v>
      </c>
      <c r="K426" s="28" t="s">
        <v>4783</v>
      </c>
      <c r="L426" s="28" t="s">
        <v>4778</v>
      </c>
      <c r="M426" s="28" t="s">
        <v>4784</v>
      </c>
      <c r="N426" s="28" t="s">
        <v>4780</v>
      </c>
    </row>
    <row r="427" spans="1:14" x14ac:dyDescent="0.2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35" t="s">
        <v>990</v>
      </c>
      <c r="G427" s="28" t="s">
        <v>1628</v>
      </c>
      <c r="H427" s="28" t="s">
        <v>1608</v>
      </c>
      <c r="I427" s="28" t="s">
        <v>4785</v>
      </c>
      <c r="J427" s="28" t="s">
        <v>4647</v>
      </c>
      <c r="K427" s="28" t="s">
        <v>4786</v>
      </c>
      <c r="L427" s="28" t="s">
        <v>4778</v>
      </c>
      <c r="M427" s="28" t="s">
        <v>4787</v>
      </c>
      <c r="N427" s="28" t="s">
        <v>4780</v>
      </c>
    </row>
    <row r="428" spans="1:14" x14ac:dyDescent="0.2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35" t="s">
        <v>991</v>
      </c>
      <c r="G428" s="28" t="s">
        <v>1610</v>
      </c>
      <c r="H428" s="28" t="s">
        <v>1611</v>
      </c>
      <c r="I428" s="28" t="s">
        <v>4655</v>
      </c>
      <c r="J428" s="28" t="s">
        <v>4656</v>
      </c>
      <c r="K428" s="28" t="s">
        <v>4788</v>
      </c>
      <c r="L428" s="28" t="s">
        <v>4789</v>
      </c>
      <c r="M428" s="28" t="s">
        <v>4790</v>
      </c>
      <c r="N428" s="28" t="s">
        <v>4791</v>
      </c>
    </row>
    <row r="429" spans="1:14" x14ac:dyDescent="0.2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35" t="s">
        <v>991</v>
      </c>
      <c r="G429" s="28" t="s">
        <v>1612</v>
      </c>
      <c r="H429" s="28" t="s">
        <v>1611</v>
      </c>
      <c r="I429" s="28" t="s">
        <v>4661</v>
      </c>
      <c r="J429" s="28" t="s">
        <v>4656</v>
      </c>
      <c r="K429" s="28" t="s">
        <v>4792</v>
      </c>
      <c r="L429" s="28" t="s">
        <v>4789</v>
      </c>
      <c r="M429" s="28" t="s">
        <v>4793</v>
      </c>
      <c r="N429" s="28" t="s">
        <v>4791</v>
      </c>
    </row>
    <row r="430" spans="1:14" x14ac:dyDescent="0.2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35" t="s">
        <v>991</v>
      </c>
      <c r="G430" s="28" t="s">
        <v>1613</v>
      </c>
      <c r="H430" s="28" t="s">
        <v>1611</v>
      </c>
      <c r="I430" s="28" t="s">
        <v>4664</v>
      </c>
      <c r="J430" s="28" t="s">
        <v>4656</v>
      </c>
      <c r="K430" s="28" t="s">
        <v>4794</v>
      </c>
      <c r="L430" s="28" t="s">
        <v>4789</v>
      </c>
      <c r="M430" s="28" t="s">
        <v>4795</v>
      </c>
      <c r="N430" s="28" t="s">
        <v>4791</v>
      </c>
    </row>
    <row r="431" spans="1:14" x14ac:dyDescent="0.2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35" t="s">
        <v>992</v>
      </c>
      <c r="G431" s="28" t="s">
        <v>1629</v>
      </c>
      <c r="H431" s="28" t="s">
        <v>1615</v>
      </c>
      <c r="I431" s="28" t="s">
        <v>4796</v>
      </c>
      <c r="J431" s="28" t="s">
        <v>4668</v>
      </c>
      <c r="K431" s="28" t="s">
        <v>4797</v>
      </c>
      <c r="L431" s="28" t="s">
        <v>4798</v>
      </c>
      <c r="M431" s="28" t="s">
        <v>4799</v>
      </c>
      <c r="N431" s="28" t="s">
        <v>4800</v>
      </c>
    </row>
    <row r="432" spans="1:14" x14ac:dyDescent="0.2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35" t="s">
        <v>992</v>
      </c>
      <c r="G432" s="28" t="s">
        <v>1617</v>
      </c>
      <c r="H432" s="28" t="s">
        <v>1615</v>
      </c>
      <c r="I432" s="28" t="s">
        <v>4676</v>
      </c>
      <c r="J432" s="28" t="s">
        <v>4668</v>
      </c>
      <c r="K432" s="28" t="s">
        <v>4801</v>
      </c>
      <c r="L432" s="28" t="s">
        <v>4798</v>
      </c>
      <c r="M432" s="28" t="s">
        <v>4802</v>
      </c>
      <c r="N432" s="28" t="s">
        <v>4800</v>
      </c>
    </row>
    <row r="433" spans="1:14" x14ac:dyDescent="0.2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35" t="s">
        <v>983</v>
      </c>
      <c r="G433" s="28" t="s">
        <v>1555</v>
      </c>
      <c r="H433" s="28" t="s">
        <v>1556</v>
      </c>
      <c r="I433" s="28" t="s">
        <v>4803</v>
      </c>
      <c r="J433" s="28" t="s">
        <v>4680</v>
      </c>
      <c r="K433" s="28" t="s">
        <v>4804</v>
      </c>
      <c r="L433" s="28" t="s">
        <v>4805</v>
      </c>
      <c r="M433" s="28" t="s">
        <v>4225</v>
      </c>
      <c r="N433" s="28" t="s">
        <v>4226</v>
      </c>
    </row>
    <row r="434" spans="1:14" x14ac:dyDescent="0.2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35" t="s">
        <v>983</v>
      </c>
      <c r="G434" s="28" t="s">
        <v>1557</v>
      </c>
      <c r="H434" s="28" t="s">
        <v>1556</v>
      </c>
      <c r="I434" s="28" t="s">
        <v>4679</v>
      </c>
      <c r="J434" s="28" t="s">
        <v>4680</v>
      </c>
      <c r="K434" s="28" t="s">
        <v>4806</v>
      </c>
      <c r="L434" s="28" t="s">
        <v>4805</v>
      </c>
      <c r="M434" s="28" t="s">
        <v>4228</v>
      </c>
      <c r="N434" s="28" t="s">
        <v>4226</v>
      </c>
    </row>
    <row r="435" spans="1:14" x14ac:dyDescent="0.2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35" t="s">
        <v>982</v>
      </c>
      <c r="G435" s="28" t="s">
        <v>1561</v>
      </c>
      <c r="H435" s="28" t="s">
        <v>1560</v>
      </c>
      <c r="I435" s="28" t="s">
        <v>4807</v>
      </c>
      <c r="J435" s="28" t="s">
        <v>4684</v>
      </c>
      <c r="K435" s="28" t="s">
        <v>4808</v>
      </c>
      <c r="L435" s="28" t="s">
        <v>4809</v>
      </c>
      <c r="M435" s="28" t="s">
        <v>4231</v>
      </c>
      <c r="N435" s="28" t="s">
        <v>4232</v>
      </c>
    </row>
    <row r="436" spans="1:14" x14ac:dyDescent="0.2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35" t="s">
        <v>982</v>
      </c>
      <c r="G436" s="28" t="s">
        <v>1563</v>
      </c>
      <c r="H436" s="28" t="s">
        <v>1560</v>
      </c>
      <c r="I436" s="28" t="s">
        <v>4810</v>
      </c>
      <c r="J436" s="28" t="s">
        <v>4684</v>
      </c>
      <c r="K436" s="28" t="s">
        <v>4811</v>
      </c>
      <c r="L436" s="28" t="s">
        <v>4809</v>
      </c>
      <c r="M436" s="28" t="s">
        <v>4812</v>
      </c>
      <c r="N436" s="28" t="s">
        <v>4232</v>
      </c>
    </row>
    <row r="437" spans="1:14" x14ac:dyDescent="0.2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35" t="s">
        <v>976</v>
      </c>
      <c r="G437" s="28" t="s">
        <v>1566</v>
      </c>
      <c r="H437" s="28" t="s">
        <v>1565</v>
      </c>
      <c r="I437" s="28" t="s">
        <v>4813</v>
      </c>
      <c r="J437" s="28" t="s">
        <v>4693</v>
      </c>
      <c r="K437" s="28" t="s">
        <v>4814</v>
      </c>
      <c r="L437" s="28" t="s">
        <v>4815</v>
      </c>
      <c r="M437" s="28" t="s">
        <v>4237</v>
      </c>
      <c r="N437" s="28" t="s">
        <v>4238</v>
      </c>
    </row>
    <row r="438" spans="1:14" x14ac:dyDescent="0.2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35" t="s">
        <v>976</v>
      </c>
      <c r="G438" s="28" t="s">
        <v>1567</v>
      </c>
      <c r="H438" s="28" t="s">
        <v>1565</v>
      </c>
      <c r="I438" s="28" t="s">
        <v>4816</v>
      </c>
      <c r="J438" s="28" t="s">
        <v>4693</v>
      </c>
      <c r="K438" s="28" t="s">
        <v>4817</v>
      </c>
      <c r="L438" s="28" t="s">
        <v>4815</v>
      </c>
      <c r="M438" s="28" t="s">
        <v>4818</v>
      </c>
      <c r="N438" s="28" t="s">
        <v>4238</v>
      </c>
    </row>
    <row r="439" spans="1:14" x14ac:dyDescent="0.2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35" t="s">
        <v>976</v>
      </c>
      <c r="G439" s="28" t="s">
        <v>1568</v>
      </c>
      <c r="H439" s="28" t="s">
        <v>1565</v>
      </c>
      <c r="I439" s="28" t="s">
        <v>4692</v>
      </c>
      <c r="J439" s="28" t="s">
        <v>4693</v>
      </c>
      <c r="K439" s="28" t="s">
        <v>4819</v>
      </c>
      <c r="L439" s="28" t="s">
        <v>4815</v>
      </c>
      <c r="M439" s="28" t="s">
        <v>4820</v>
      </c>
      <c r="N439" s="28" t="s">
        <v>4238</v>
      </c>
    </row>
    <row r="440" spans="1:14" x14ac:dyDescent="0.2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35" t="s">
        <v>976</v>
      </c>
      <c r="G440" s="28" t="s">
        <v>1569</v>
      </c>
      <c r="H440" s="28" t="s">
        <v>1565</v>
      </c>
      <c r="I440" s="28" t="s">
        <v>4821</v>
      </c>
      <c r="J440" s="28" t="s">
        <v>4693</v>
      </c>
      <c r="K440" s="28" t="s">
        <v>4822</v>
      </c>
      <c r="L440" s="28" t="s">
        <v>4815</v>
      </c>
      <c r="M440" s="28" t="s">
        <v>4823</v>
      </c>
      <c r="N440" s="28" t="s">
        <v>4238</v>
      </c>
    </row>
    <row r="441" spans="1:14" x14ac:dyDescent="0.2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35" t="s">
        <v>977</v>
      </c>
      <c r="G441" s="28" t="s">
        <v>1571</v>
      </c>
      <c r="H441" s="28" t="s">
        <v>1541</v>
      </c>
      <c r="I441" s="28" t="s">
        <v>4696</v>
      </c>
      <c r="J441" s="28" t="s">
        <v>4697</v>
      </c>
      <c r="K441" s="28" t="s">
        <v>4824</v>
      </c>
      <c r="L441" s="28" t="s">
        <v>4825</v>
      </c>
      <c r="M441" s="28" t="s">
        <v>4244</v>
      </c>
      <c r="N441" s="28" t="s">
        <v>4242</v>
      </c>
    </row>
    <row r="442" spans="1:14" x14ac:dyDescent="0.2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35" t="s">
        <v>977</v>
      </c>
      <c r="G442" s="28" t="s">
        <v>1540</v>
      </c>
      <c r="H442" s="28" t="s">
        <v>1541</v>
      </c>
      <c r="I442" s="28" t="s">
        <v>4826</v>
      </c>
      <c r="J442" s="28" t="s">
        <v>4697</v>
      </c>
      <c r="K442" s="28" t="s">
        <v>4827</v>
      </c>
      <c r="L442" s="28" t="s">
        <v>4825</v>
      </c>
      <c r="M442" s="28" t="s">
        <v>4828</v>
      </c>
      <c r="N442" s="28" t="s">
        <v>4242</v>
      </c>
    </row>
    <row r="443" spans="1:14" x14ac:dyDescent="0.2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35" t="s">
        <v>978</v>
      </c>
      <c r="G443" s="28" t="s">
        <v>1544</v>
      </c>
      <c r="H443" s="28" t="s">
        <v>1543</v>
      </c>
      <c r="I443" s="28" t="s">
        <v>4701</v>
      </c>
      <c r="J443" s="28" t="s">
        <v>4702</v>
      </c>
      <c r="K443" s="28" t="s">
        <v>4829</v>
      </c>
      <c r="L443" s="28" t="s">
        <v>4830</v>
      </c>
      <c r="M443" s="28" t="s">
        <v>4831</v>
      </c>
      <c r="N443" s="28" t="s">
        <v>4832</v>
      </c>
    </row>
    <row r="444" spans="1:14" x14ac:dyDescent="0.2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35" t="s">
        <v>978</v>
      </c>
      <c r="G444" s="28" t="s">
        <v>1576</v>
      </c>
      <c r="H444" s="28" t="s">
        <v>1543</v>
      </c>
      <c r="I444" s="28" t="s">
        <v>4705</v>
      </c>
      <c r="J444" s="28" t="s">
        <v>4702</v>
      </c>
      <c r="K444" s="28" t="s">
        <v>4833</v>
      </c>
      <c r="L444" s="28" t="s">
        <v>4830</v>
      </c>
      <c r="M444" s="28" t="s">
        <v>4834</v>
      </c>
      <c r="N444" s="28" t="s">
        <v>4832</v>
      </c>
    </row>
    <row r="445" spans="1:14" x14ac:dyDescent="0.2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35" t="s">
        <v>993</v>
      </c>
      <c r="G445" s="28" t="s">
        <v>1630</v>
      </c>
      <c r="H445" s="28" t="s">
        <v>1631</v>
      </c>
      <c r="I445" s="28" t="s">
        <v>4835</v>
      </c>
      <c r="J445" s="28" t="s">
        <v>4836</v>
      </c>
      <c r="K445" s="28" t="s">
        <v>4837</v>
      </c>
      <c r="L445" s="28" t="s">
        <v>4838</v>
      </c>
      <c r="M445" s="28" t="s">
        <v>4839</v>
      </c>
      <c r="N445" s="28" t="s">
        <v>4840</v>
      </c>
    </row>
    <row r="446" spans="1:14" x14ac:dyDescent="0.2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35" t="s">
        <v>984</v>
      </c>
      <c r="G446" s="28" t="s">
        <v>1589</v>
      </c>
      <c r="H446" s="28" t="s">
        <v>1590</v>
      </c>
      <c r="I446" s="28" t="s">
        <v>4592</v>
      </c>
      <c r="J446" s="28" t="s">
        <v>4593</v>
      </c>
      <c r="K446" s="28" t="s">
        <v>4841</v>
      </c>
      <c r="L446" s="28" t="s">
        <v>4842</v>
      </c>
      <c r="M446" s="28" t="s">
        <v>4843</v>
      </c>
      <c r="N446" s="28" t="s">
        <v>4844</v>
      </c>
    </row>
    <row r="447" spans="1:14" x14ac:dyDescent="0.2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35" t="s">
        <v>984</v>
      </c>
      <c r="G447" s="28" t="s">
        <v>1632</v>
      </c>
      <c r="H447" s="28" t="s">
        <v>1590</v>
      </c>
      <c r="I447" s="28" t="s">
        <v>4845</v>
      </c>
      <c r="J447" s="28" t="s">
        <v>4593</v>
      </c>
      <c r="K447" s="28" t="s">
        <v>4846</v>
      </c>
      <c r="L447" s="28" t="s">
        <v>4842</v>
      </c>
      <c r="M447" s="28" t="s">
        <v>4847</v>
      </c>
      <c r="N447" s="28" t="s">
        <v>4844</v>
      </c>
    </row>
    <row r="448" spans="1:14" x14ac:dyDescent="0.2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35" t="s">
        <v>984</v>
      </c>
      <c r="G448" s="28" t="s">
        <v>1618</v>
      </c>
      <c r="H448" s="28" t="s">
        <v>1590</v>
      </c>
      <c r="I448" s="28" t="s">
        <v>4721</v>
      </c>
      <c r="J448" s="28" t="s">
        <v>4593</v>
      </c>
      <c r="K448" s="28" t="s">
        <v>4848</v>
      </c>
      <c r="L448" s="28" t="s">
        <v>4842</v>
      </c>
      <c r="M448" s="28" t="s">
        <v>4849</v>
      </c>
      <c r="N448" s="28" t="s">
        <v>4844</v>
      </c>
    </row>
    <row r="449" spans="1:14" x14ac:dyDescent="0.2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35" t="s">
        <v>985</v>
      </c>
      <c r="G449" s="28" t="s">
        <v>1633</v>
      </c>
      <c r="H449" s="28" t="s">
        <v>1592</v>
      </c>
      <c r="I449" s="28" t="s">
        <v>4850</v>
      </c>
      <c r="J449" s="28" t="s">
        <v>4599</v>
      </c>
      <c r="K449" s="28" t="s">
        <v>4851</v>
      </c>
      <c r="L449" s="28" t="s">
        <v>4852</v>
      </c>
      <c r="M449" s="28" t="s">
        <v>4853</v>
      </c>
      <c r="N449" s="28" t="s">
        <v>4854</v>
      </c>
    </row>
    <row r="450" spans="1:14" x14ac:dyDescent="0.2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35" t="s">
        <v>985</v>
      </c>
      <c r="G450" s="28" t="s">
        <v>1591</v>
      </c>
      <c r="H450" s="28" t="s">
        <v>1592</v>
      </c>
      <c r="I450" s="28" t="s">
        <v>4598</v>
      </c>
      <c r="J450" s="28" t="s">
        <v>4599</v>
      </c>
      <c r="K450" s="28" t="s">
        <v>4855</v>
      </c>
      <c r="L450" s="28" t="s">
        <v>4852</v>
      </c>
      <c r="M450" s="28" t="s">
        <v>4856</v>
      </c>
      <c r="N450" s="28" t="s">
        <v>4854</v>
      </c>
    </row>
    <row r="451" spans="1:14" x14ac:dyDescent="0.2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35" t="s">
        <v>985</v>
      </c>
      <c r="G451" s="28" t="s">
        <v>1620</v>
      </c>
      <c r="H451" s="28" t="s">
        <v>1592</v>
      </c>
      <c r="I451" s="28" t="s">
        <v>4731</v>
      </c>
      <c r="J451" s="28" t="s">
        <v>4599</v>
      </c>
      <c r="K451" s="28" t="s">
        <v>4857</v>
      </c>
      <c r="L451" s="28" t="s">
        <v>4852</v>
      </c>
      <c r="M451" s="28" t="s">
        <v>4858</v>
      </c>
      <c r="N451" s="28" t="s">
        <v>4854</v>
      </c>
    </row>
    <row r="452" spans="1:14" x14ac:dyDescent="0.2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35" t="s">
        <v>986</v>
      </c>
      <c r="G452" s="28" t="s">
        <v>1593</v>
      </c>
      <c r="H452" s="28" t="s">
        <v>1594</v>
      </c>
      <c r="I452" s="28" t="s">
        <v>4604</v>
      </c>
      <c r="J452" s="28" t="s">
        <v>4605</v>
      </c>
      <c r="K452" s="28" t="s">
        <v>4859</v>
      </c>
      <c r="L452" s="28" t="s">
        <v>4860</v>
      </c>
      <c r="M452" s="28" t="s">
        <v>4861</v>
      </c>
      <c r="N452" s="28" t="s">
        <v>4862</v>
      </c>
    </row>
    <row r="453" spans="1:14" x14ac:dyDescent="0.2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35" t="s">
        <v>986</v>
      </c>
      <c r="G453" s="28" t="s">
        <v>1595</v>
      </c>
      <c r="H453" s="28" t="s">
        <v>1594</v>
      </c>
      <c r="I453" s="28" t="s">
        <v>4610</v>
      </c>
      <c r="J453" s="28" t="s">
        <v>4605</v>
      </c>
      <c r="K453" s="28" t="s">
        <v>4863</v>
      </c>
      <c r="L453" s="28" t="s">
        <v>4860</v>
      </c>
      <c r="M453" s="28" t="s">
        <v>4864</v>
      </c>
      <c r="N453" s="28" t="s">
        <v>4862</v>
      </c>
    </row>
    <row r="454" spans="1:14" x14ac:dyDescent="0.2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35" t="s">
        <v>986</v>
      </c>
      <c r="G454" s="28" t="s">
        <v>1597</v>
      </c>
      <c r="H454" s="28" t="s">
        <v>1594</v>
      </c>
      <c r="I454" s="28" t="s">
        <v>4616</v>
      </c>
      <c r="J454" s="28" t="s">
        <v>4605</v>
      </c>
      <c r="K454" s="28" t="s">
        <v>4865</v>
      </c>
      <c r="L454" s="28" t="s">
        <v>4860</v>
      </c>
      <c r="M454" s="28" t="s">
        <v>4866</v>
      </c>
      <c r="N454" s="28" t="s">
        <v>4862</v>
      </c>
    </row>
    <row r="455" spans="1:14" x14ac:dyDescent="0.2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35" t="s">
        <v>986</v>
      </c>
      <c r="G455" s="28" t="s">
        <v>1621</v>
      </c>
      <c r="H455" s="28" t="s">
        <v>1594</v>
      </c>
      <c r="I455" s="28" t="s">
        <v>4744</v>
      </c>
      <c r="J455" s="28" t="s">
        <v>4605</v>
      </c>
      <c r="K455" s="28" t="s">
        <v>4867</v>
      </c>
      <c r="L455" s="28" t="s">
        <v>4860</v>
      </c>
      <c r="M455" s="28" t="s">
        <v>4868</v>
      </c>
      <c r="N455" s="28" t="s">
        <v>4862</v>
      </c>
    </row>
    <row r="456" spans="1:14" x14ac:dyDescent="0.2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35" t="s">
        <v>987</v>
      </c>
      <c r="G456" s="28" t="s">
        <v>1598</v>
      </c>
      <c r="H456" s="28" t="s">
        <v>1599</v>
      </c>
      <c r="I456" s="28" t="s">
        <v>4619</v>
      </c>
      <c r="J456" s="28" t="s">
        <v>4620</v>
      </c>
      <c r="K456" s="28" t="s">
        <v>4869</v>
      </c>
      <c r="L456" s="28" t="s">
        <v>4870</v>
      </c>
      <c r="M456" s="28" t="s">
        <v>4871</v>
      </c>
      <c r="N456" s="28" t="s">
        <v>4872</v>
      </c>
    </row>
    <row r="457" spans="1:14" x14ac:dyDescent="0.2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35" t="s">
        <v>987</v>
      </c>
      <c r="G457" s="28" t="s">
        <v>1600</v>
      </c>
      <c r="H457" s="28" t="s">
        <v>1599</v>
      </c>
      <c r="I457" s="28" t="s">
        <v>4625</v>
      </c>
      <c r="J457" s="28" t="s">
        <v>4620</v>
      </c>
      <c r="K457" s="28" t="s">
        <v>4873</v>
      </c>
      <c r="L457" s="28" t="s">
        <v>4870</v>
      </c>
      <c r="M457" s="28" t="s">
        <v>4874</v>
      </c>
      <c r="N457" s="28" t="s">
        <v>4872</v>
      </c>
    </row>
    <row r="458" spans="1:14" x14ac:dyDescent="0.2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35" t="s">
        <v>987</v>
      </c>
      <c r="G458" s="28" t="s">
        <v>1622</v>
      </c>
      <c r="H458" s="28" t="s">
        <v>1599</v>
      </c>
      <c r="I458" s="28" t="s">
        <v>4751</v>
      </c>
      <c r="J458" s="28" t="s">
        <v>4620</v>
      </c>
      <c r="K458" s="28" t="s">
        <v>4875</v>
      </c>
      <c r="L458" s="28" t="s">
        <v>4870</v>
      </c>
      <c r="M458" s="28" t="s">
        <v>4876</v>
      </c>
      <c r="N458" s="28" t="s">
        <v>4872</v>
      </c>
    </row>
    <row r="459" spans="1:14" x14ac:dyDescent="0.2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35" t="s">
        <v>988</v>
      </c>
      <c r="G459" s="28" t="s">
        <v>1634</v>
      </c>
      <c r="H459" s="28" t="s">
        <v>1603</v>
      </c>
      <c r="I459" s="28" t="s">
        <v>4877</v>
      </c>
      <c r="J459" s="28" t="s">
        <v>4632</v>
      </c>
      <c r="K459" s="28" t="s">
        <v>4878</v>
      </c>
      <c r="L459" s="28" t="s">
        <v>4879</v>
      </c>
      <c r="M459" s="28" t="s">
        <v>4880</v>
      </c>
      <c r="N459" s="28" t="s">
        <v>4881</v>
      </c>
    </row>
    <row r="460" spans="1:14" x14ac:dyDescent="0.2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35" t="s">
        <v>988</v>
      </c>
      <c r="G460" s="28" t="s">
        <v>1635</v>
      </c>
      <c r="H460" s="28" t="s">
        <v>1603</v>
      </c>
      <c r="I460" s="28" t="s">
        <v>4882</v>
      </c>
      <c r="J460" s="28" t="s">
        <v>4632</v>
      </c>
      <c r="K460" s="28" t="s">
        <v>4883</v>
      </c>
      <c r="L460" s="28" t="s">
        <v>4879</v>
      </c>
      <c r="M460" s="28" t="s">
        <v>4884</v>
      </c>
      <c r="N460" s="28" t="s">
        <v>4881</v>
      </c>
    </row>
    <row r="461" spans="1:14" x14ac:dyDescent="0.2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35" t="s">
        <v>988</v>
      </c>
      <c r="G461" s="28" t="s">
        <v>1623</v>
      </c>
      <c r="H461" s="28" t="s">
        <v>1603</v>
      </c>
      <c r="I461" s="28" t="s">
        <v>4758</v>
      </c>
      <c r="J461" s="28" t="s">
        <v>4632</v>
      </c>
      <c r="K461" s="28" t="s">
        <v>4885</v>
      </c>
      <c r="L461" s="28" t="s">
        <v>4879</v>
      </c>
      <c r="M461" s="28" t="s">
        <v>4886</v>
      </c>
      <c r="N461" s="28" t="s">
        <v>4881</v>
      </c>
    </row>
    <row r="462" spans="1:14" x14ac:dyDescent="0.2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35" t="s">
        <v>988</v>
      </c>
      <c r="G462" s="28" t="s">
        <v>1604</v>
      </c>
      <c r="H462" s="28" t="s">
        <v>1603</v>
      </c>
      <c r="I462" s="28" t="s">
        <v>4637</v>
      </c>
      <c r="J462" s="28" t="s">
        <v>4632</v>
      </c>
      <c r="K462" s="28" t="s">
        <v>4887</v>
      </c>
      <c r="L462" s="28" t="s">
        <v>4879</v>
      </c>
      <c r="M462" s="28" t="s">
        <v>4888</v>
      </c>
      <c r="N462" s="28" t="s">
        <v>4881</v>
      </c>
    </row>
    <row r="463" spans="1:14" x14ac:dyDescent="0.2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35" t="s">
        <v>989</v>
      </c>
      <c r="G463" s="28" t="s">
        <v>1605</v>
      </c>
      <c r="H463" s="28" t="s">
        <v>1606</v>
      </c>
      <c r="I463" s="28" t="s">
        <v>4640</v>
      </c>
      <c r="J463" s="28" t="s">
        <v>4641</v>
      </c>
      <c r="K463" s="28" t="s">
        <v>4889</v>
      </c>
      <c r="L463" s="28" t="s">
        <v>4890</v>
      </c>
      <c r="M463" s="28" t="s">
        <v>4891</v>
      </c>
      <c r="N463" s="28" t="s">
        <v>4892</v>
      </c>
    </row>
    <row r="464" spans="1:14" x14ac:dyDescent="0.2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35" t="s">
        <v>989</v>
      </c>
      <c r="G464" s="28" t="s">
        <v>1624</v>
      </c>
      <c r="H464" s="28" t="s">
        <v>1606</v>
      </c>
      <c r="I464" s="28" t="s">
        <v>4767</v>
      </c>
      <c r="J464" s="28" t="s">
        <v>4641</v>
      </c>
      <c r="K464" s="28" t="s">
        <v>4893</v>
      </c>
      <c r="L464" s="28" t="s">
        <v>4890</v>
      </c>
      <c r="M464" s="28" t="s">
        <v>4894</v>
      </c>
      <c r="N464" s="28" t="s">
        <v>4892</v>
      </c>
    </row>
    <row r="465" spans="1:14" x14ac:dyDescent="0.2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35" t="s">
        <v>989</v>
      </c>
      <c r="G465" s="28" t="s">
        <v>1625</v>
      </c>
      <c r="H465" s="28" t="s">
        <v>1606</v>
      </c>
      <c r="I465" s="28" t="s">
        <v>4770</v>
      </c>
      <c r="J465" s="28" t="s">
        <v>4641</v>
      </c>
      <c r="K465" s="28" t="s">
        <v>4895</v>
      </c>
      <c r="L465" s="28" t="s">
        <v>4890</v>
      </c>
      <c r="M465" s="28" t="s">
        <v>4896</v>
      </c>
      <c r="N465" s="28" t="s">
        <v>4892</v>
      </c>
    </row>
    <row r="466" spans="1:14" x14ac:dyDescent="0.2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35" t="s">
        <v>989</v>
      </c>
      <c r="G466" s="28" t="s">
        <v>1626</v>
      </c>
      <c r="H466" s="28" t="s">
        <v>1606</v>
      </c>
      <c r="I466" s="28" t="s">
        <v>4773</v>
      </c>
      <c r="J466" s="28" t="s">
        <v>4641</v>
      </c>
      <c r="K466" s="28" t="s">
        <v>4897</v>
      </c>
      <c r="L466" s="28" t="s">
        <v>4890</v>
      </c>
      <c r="M466" s="28" t="s">
        <v>4898</v>
      </c>
      <c r="N466" s="28" t="s">
        <v>4892</v>
      </c>
    </row>
    <row r="467" spans="1:14" x14ac:dyDescent="0.2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35" t="s">
        <v>990</v>
      </c>
      <c r="G467" s="28" t="s">
        <v>1627</v>
      </c>
      <c r="H467" s="28" t="s">
        <v>1608</v>
      </c>
      <c r="I467" s="28" t="s">
        <v>4776</v>
      </c>
      <c r="J467" s="28" t="s">
        <v>4647</v>
      </c>
      <c r="K467" s="28" t="s">
        <v>4899</v>
      </c>
      <c r="L467" s="28" t="s">
        <v>4900</v>
      </c>
      <c r="M467" s="28" t="s">
        <v>4901</v>
      </c>
      <c r="N467" s="28" t="s">
        <v>4902</v>
      </c>
    </row>
    <row r="468" spans="1:14" x14ac:dyDescent="0.2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35" t="s">
        <v>990</v>
      </c>
      <c r="G468" s="28" t="s">
        <v>1607</v>
      </c>
      <c r="H468" s="28" t="s">
        <v>1608</v>
      </c>
      <c r="I468" s="28" t="s">
        <v>4646</v>
      </c>
      <c r="J468" s="28" t="s">
        <v>4647</v>
      </c>
      <c r="K468" s="28" t="s">
        <v>4903</v>
      </c>
      <c r="L468" s="28" t="s">
        <v>4900</v>
      </c>
      <c r="M468" s="28" t="s">
        <v>4904</v>
      </c>
      <c r="N468" s="28" t="s">
        <v>4902</v>
      </c>
    </row>
    <row r="469" spans="1:14" x14ac:dyDescent="0.2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35" t="s">
        <v>990</v>
      </c>
      <c r="G469" s="28" t="s">
        <v>1609</v>
      </c>
      <c r="H469" s="28" t="s">
        <v>1608</v>
      </c>
      <c r="I469" s="28" t="s">
        <v>4652</v>
      </c>
      <c r="J469" s="28" t="s">
        <v>4647</v>
      </c>
      <c r="K469" s="28" t="s">
        <v>4905</v>
      </c>
      <c r="L469" s="28" t="s">
        <v>4900</v>
      </c>
      <c r="M469" s="28" t="s">
        <v>4906</v>
      </c>
      <c r="N469" s="28" t="s">
        <v>4902</v>
      </c>
    </row>
    <row r="470" spans="1:14" x14ac:dyDescent="0.2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35" t="s">
        <v>990</v>
      </c>
      <c r="G470" s="28" t="s">
        <v>1628</v>
      </c>
      <c r="H470" s="28" t="s">
        <v>1608</v>
      </c>
      <c r="I470" s="28" t="s">
        <v>4785</v>
      </c>
      <c r="J470" s="28" t="s">
        <v>4647</v>
      </c>
      <c r="K470" s="28" t="s">
        <v>4907</v>
      </c>
      <c r="L470" s="28" t="s">
        <v>4900</v>
      </c>
      <c r="M470" s="28" t="s">
        <v>4908</v>
      </c>
      <c r="N470" s="28" t="s">
        <v>4902</v>
      </c>
    </row>
    <row r="471" spans="1:14" x14ac:dyDescent="0.2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35" t="s">
        <v>991</v>
      </c>
      <c r="G471" s="28" t="s">
        <v>1610</v>
      </c>
      <c r="H471" s="28" t="s">
        <v>1611</v>
      </c>
      <c r="I471" s="28" t="s">
        <v>4655</v>
      </c>
      <c r="J471" s="28" t="s">
        <v>4656</v>
      </c>
      <c r="K471" s="28" t="s">
        <v>4909</v>
      </c>
      <c r="L471" s="28" t="s">
        <v>4910</v>
      </c>
      <c r="M471" s="28" t="s">
        <v>4911</v>
      </c>
      <c r="N471" s="28" t="s">
        <v>4912</v>
      </c>
    </row>
    <row r="472" spans="1:14" x14ac:dyDescent="0.2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35" t="s">
        <v>991</v>
      </c>
      <c r="G472" s="28" t="s">
        <v>1612</v>
      </c>
      <c r="H472" s="28" t="s">
        <v>1611</v>
      </c>
      <c r="I472" s="28" t="s">
        <v>4661</v>
      </c>
      <c r="J472" s="28" t="s">
        <v>4656</v>
      </c>
      <c r="K472" s="28" t="s">
        <v>4913</v>
      </c>
      <c r="L472" s="28" t="s">
        <v>4910</v>
      </c>
      <c r="M472" s="28" t="s">
        <v>4914</v>
      </c>
      <c r="N472" s="28" t="s">
        <v>4912</v>
      </c>
    </row>
    <row r="473" spans="1:14" x14ac:dyDescent="0.2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35" t="s">
        <v>991</v>
      </c>
      <c r="G473" s="28" t="s">
        <v>1636</v>
      </c>
      <c r="H473" s="28" t="s">
        <v>1611</v>
      </c>
      <c r="I473" s="28" t="s">
        <v>4915</v>
      </c>
      <c r="J473" s="28" t="s">
        <v>4656</v>
      </c>
      <c r="K473" s="28" t="s">
        <v>4916</v>
      </c>
      <c r="L473" s="28" t="s">
        <v>4910</v>
      </c>
      <c r="M473" s="28" t="s">
        <v>4917</v>
      </c>
      <c r="N473" s="28" t="s">
        <v>4912</v>
      </c>
    </row>
    <row r="474" spans="1:14" x14ac:dyDescent="0.2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35" t="s">
        <v>991</v>
      </c>
      <c r="G474" s="28" t="s">
        <v>1613</v>
      </c>
      <c r="H474" s="28" t="s">
        <v>1611</v>
      </c>
      <c r="I474" s="28" t="s">
        <v>4664</v>
      </c>
      <c r="J474" s="28" t="s">
        <v>4656</v>
      </c>
      <c r="K474" s="28" t="s">
        <v>4918</v>
      </c>
      <c r="L474" s="28" t="s">
        <v>4910</v>
      </c>
      <c r="M474" s="28" t="s">
        <v>4919</v>
      </c>
      <c r="N474" s="28" t="s">
        <v>4912</v>
      </c>
    </row>
    <row r="475" spans="1:14" x14ac:dyDescent="0.2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35" t="s">
        <v>992</v>
      </c>
      <c r="G475" s="28" t="s">
        <v>1614</v>
      </c>
      <c r="H475" s="28" t="s">
        <v>1615</v>
      </c>
      <c r="I475" s="28" t="s">
        <v>4667</v>
      </c>
      <c r="J475" s="28" t="s">
        <v>4668</v>
      </c>
      <c r="K475" s="28" t="s">
        <v>4920</v>
      </c>
      <c r="L475" s="28" t="s">
        <v>4921</v>
      </c>
      <c r="M475" s="28" t="s">
        <v>4922</v>
      </c>
      <c r="N475" s="28" t="s">
        <v>4923</v>
      </c>
    </row>
    <row r="476" spans="1:14" x14ac:dyDescent="0.2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35" t="s">
        <v>992</v>
      </c>
      <c r="G476" s="28" t="s">
        <v>1629</v>
      </c>
      <c r="H476" s="28" t="s">
        <v>1615</v>
      </c>
      <c r="I476" s="28" t="s">
        <v>4796</v>
      </c>
      <c r="J476" s="28" t="s">
        <v>4668</v>
      </c>
      <c r="K476" s="28" t="s">
        <v>4924</v>
      </c>
      <c r="L476" s="28" t="s">
        <v>4921</v>
      </c>
      <c r="M476" s="28" t="s">
        <v>4925</v>
      </c>
      <c r="N476" s="28" t="s">
        <v>4923</v>
      </c>
    </row>
    <row r="477" spans="1:14" x14ac:dyDescent="0.2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35" t="s">
        <v>992</v>
      </c>
      <c r="G477" s="28" t="s">
        <v>1616</v>
      </c>
      <c r="H477" s="28" t="s">
        <v>1615</v>
      </c>
      <c r="I477" s="28" t="s">
        <v>4673</v>
      </c>
      <c r="J477" s="28" t="s">
        <v>4668</v>
      </c>
      <c r="K477" s="28" t="s">
        <v>4926</v>
      </c>
      <c r="L477" s="28" t="s">
        <v>4921</v>
      </c>
      <c r="M477" s="28" t="s">
        <v>4927</v>
      </c>
      <c r="N477" s="28" t="s">
        <v>4923</v>
      </c>
    </row>
    <row r="478" spans="1:14" x14ac:dyDescent="0.2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35" t="s">
        <v>992</v>
      </c>
      <c r="G478" s="28" t="s">
        <v>1617</v>
      </c>
      <c r="H478" s="28" t="s">
        <v>1615</v>
      </c>
      <c r="I478" s="28" t="s">
        <v>4676</v>
      </c>
      <c r="J478" s="28" t="s">
        <v>4668</v>
      </c>
      <c r="K478" s="28" t="s">
        <v>4928</v>
      </c>
      <c r="L478" s="28" t="s">
        <v>4921</v>
      </c>
      <c r="M478" s="28" t="s">
        <v>4929</v>
      </c>
      <c r="N478" s="28" t="s">
        <v>4923</v>
      </c>
    </row>
    <row r="479" spans="1:14" x14ac:dyDescent="0.2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35" t="s">
        <v>983</v>
      </c>
      <c r="G479" s="28" t="s">
        <v>1555</v>
      </c>
      <c r="H479" s="28" t="s">
        <v>1556</v>
      </c>
      <c r="I479" s="28" t="s">
        <v>4803</v>
      </c>
      <c r="J479" s="28" t="s">
        <v>4680</v>
      </c>
      <c r="K479" s="28" t="s">
        <v>4930</v>
      </c>
      <c r="L479" s="28" t="s">
        <v>4931</v>
      </c>
      <c r="M479" s="28" t="s">
        <v>4250</v>
      </c>
      <c r="N479" s="28" t="s">
        <v>4248</v>
      </c>
    </row>
    <row r="480" spans="1:14" x14ac:dyDescent="0.2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35" t="s">
        <v>982</v>
      </c>
      <c r="G480" s="28" t="s">
        <v>1559</v>
      </c>
      <c r="H480" s="28" t="s">
        <v>1560</v>
      </c>
      <c r="I480" s="28" t="s">
        <v>4683</v>
      </c>
      <c r="J480" s="28" t="s">
        <v>4684</v>
      </c>
      <c r="K480" s="28" t="s">
        <v>4932</v>
      </c>
      <c r="L480" s="28" t="s">
        <v>4933</v>
      </c>
      <c r="M480" s="28" t="s">
        <v>4257</v>
      </c>
      <c r="N480" s="28" t="s">
        <v>4258</v>
      </c>
    </row>
    <row r="481" spans="1:14" x14ac:dyDescent="0.2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35" t="s">
        <v>982</v>
      </c>
      <c r="G481" s="28" t="s">
        <v>1561</v>
      </c>
      <c r="H481" s="28" t="s">
        <v>1560</v>
      </c>
      <c r="I481" s="28" t="s">
        <v>4807</v>
      </c>
      <c r="J481" s="28" t="s">
        <v>4684</v>
      </c>
      <c r="K481" s="28" t="s">
        <v>4934</v>
      </c>
      <c r="L481" s="28" t="s">
        <v>4933</v>
      </c>
      <c r="M481" s="28" t="s">
        <v>4260</v>
      </c>
      <c r="N481" s="28" t="s">
        <v>4258</v>
      </c>
    </row>
    <row r="482" spans="1:14" x14ac:dyDescent="0.2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35" t="s">
        <v>982</v>
      </c>
      <c r="G482" s="28" t="s">
        <v>1563</v>
      </c>
      <c r="H482" s="28" t="s">
        <v>1560</v>
      </c>
      <c r="I482" s="28" t="s">
        <v>4810</v>
      </c>
      <c r="J482" s="28" t="s">
        <v>4684</v>
      </c>
      <c r="K482" s="28" t="s">
        <v>4935</v>
      </c>
      <c r="L482" s="28" t="s">
        <v>4933</v>
      </c>
      <c r="M482" s="28" t="s">
        <v>4264</v>
      </c>
      <c r="N482" s="28" t="s">
        <v>4258</v>
      </c>
    </row>
    <row r="483" spans="1:14" x14ac:dyDescent="0.2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35" t="s">
        <v>976</v>
      </c>
      <c r="G483" s="28" t="s">
        <v>1564</v>
      </c>
      <c r="H483" s="28" t="s">
        <v>1565</v>
      </c>
      <c r="I483" s="28" t="s">
        <v>4936</v>
      </c>
      <c r="J483" s="28" t="s">
        <v>4693</v>
      </c>
      <c r="K483" s="28" t="s">
        <v>4937</v>
      </c>
      <c r="L483" s="28" t="s">
        <v>4938</v>
      </c>
      <c r="M483" s="28" t="s">
        <v>4939</v>
      </c>
      <c r="N483" s="28" t="s">
        <v>4940</v>
      </c>
    </row>
    <row r="484" spans="1:14" x14ac:dyDescent="0.2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35" t="s">
        <v>976</v>
      </c>
      <c r="G484" s="28" t="s">
        <v>1566</v>
      </c>
      <c r="H484" s="28" t="s">
        <v>1565</v>
      </c>
      <c r="I484" s="28" t="s">
        <v>4813</v>
      </c>
      <c r="J484" s="28" t="s">
        <v>4693</v>
      </c>
      <c r="K484" s="28" t="s">
        <v>4941</v>
      </c>
      <c r="L484" s="28" t="s">
        <v>4938</v>
      </c>
      <c r="M484" s="28" t="s">
        <v>4942</v>
      </c>
      <c r="N484" s="28" t="s">
        <v>4940</v>
      </c>
    </row>
    <row r="485" spans="1:14" x14ac:dyDescent="0.2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35" t="s">
        <v>976</v>
      </c>
      <c r="G485" s="28" t="s">
        <v>1567</v>
      </c>
      <c r="H485" s="28" t="s">
        <v>1565</v>
      </c>
      <c r="I485" s="28" t="s">
        <v>4816</v>
      </c>
      <c r="J485" s="28" t="s">
        <v>4693</v>
      </c>
      <c r="K485" s="28" t="s">
        <v>4943</v>
      </c>
      <c r="L485" s="28" t="s">
        <v>4938</v>
      </c>
      <c r="M485" s="28" t="s">
        <v>4944</v>
      </c>
      <c r="N485" s="28" t="s">
        <v>4940</v>
      </c>
    </row>
    <row r="486" spans="1:14" x14ac:dyDescent="0.2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35" t="s">
        <v>976</v>
      </c>
      <c r="G486" s="28" t="s">
        <v>1568</v>
      </c>
      <c r="H486" s="28" t="s">
        <v>1565</v>
      </c>
      <c r="I486" s="28" t="s">
        <v>4692</v>
      </c>
      <c r="J486" s="28" t="s">
        <v>4693</v>
      </c>
      <c r="K486" s="28" t="s">
        <v>4945</v>
      </c>
      <c r="L486" s="28" t="s">
        <v>4938</v>
      </c>
      <c r="M486" s="28" t="s">
        <v>4946</v>
      </c>
      <c r="N486" s="28" t="s">
        <v>4940</v>
      </c>
    </row>
    <row r="487" spans="1:14" x14ac:dyDescent="0.2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35" t="s">
        <v>977</v>
      </c>
      <c r="G487" s="28" t="s">
        <v>1570</v>
      </c>
      <c r="H487" s="28" t="s">
        <v>1541</v>
      </c>
      <c r="I487" s="28" t="s">
        <v>4947</v>
      </c>
      <c r="J487" s="28" t="s">
        <v>4697</v>
      </c>
      <c r="K487" s="28" t="s">
        <v>4948</v>
      </c>
      <c r="L487" s="28" t="s">
        <v>4949</v>
      </c>
      <c r="M487" s="28" t="s">
        <v>4950</v>
      </c>
      <c r="N487" s="28" t="s">
        <v>4951</v>
      </c>
    </row>
    <row r="488" spans="1:14" x14ac:dyDescent="0.2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35" t="s">
        <v>977</v>
      </c>
      <c r="G488" s="28" t="s">
        <v>1571</v>
      </c>
      <c r="H488" s="28" t="s">
        <v>1541</v>
      </c>
      <c r="I488" s="28" t="s">
        <v>4696</v>
      </c>
      <c r="J488" s="28" t="s">
        <v>4697</v>
      </c>
      <c r="K488" s="28" t="s">
        <v>4952</v>
      </c>
      <c r="L488" s="28" t="s">
        <v>4949</v>
      </c>
      <c r="M488" s="28" t="s">
        <v>4953</v>
      </c>
      <c r="N488" s="28" t="s">
        <v>4951</v>
      </c>
    </row>
    <row r="489" spans="1:14" x14ac:dyDescent="0.2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35" t="s">
        <v>977</v>
      </c>
      <c r="G489" s="28" t="s">
        <v>1540</v>
      </c>
      <c r="H489" s="28" t="s">
        <v>1541</v>
      </c>
      <c r="I489" s="28" t="s">
        <v>4826</v>
      </c>
      <c r="J489" s="28" t="s">
        <v>4697</v>
      </c>
      <c r="K489" s="28" t="s">
        <v>4954</v>
      </c>
      <c r="L489" s="28" t="s">
        <v>4949</v>
      </c>
      <c r="M489" s="28" t="s">
        <v>4955</v>
      </c>
      <c r="N489" s="28" t="s">
        <v>4951</v>
      </c>
    </row>
    <row r="490" spans="1:14" x14ac:dyDescent="0.2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35" t="s">
        <v>978</v>
      </c>
      <c r="G490" s="28" t="s">
        <v>1544</v>
      </c>
      <c r="H490" s="28" t="s">
        <v>1543</v>
      </c>
      <c r="I490" s="28" t="s">
        <v>4701</v>
      </c>
      <c r="J490" s="28" t="s">
        <v>4702</v>
      </c>
      <c r="K490" s="28" t="s">
        <v>4956</v>
      </c>
      <c r="L490" s="28" t="s">
        <v>4957</v>
      </c>
      <c r="M490" s="28" t="s">
        <v>4958</v>
      </c>
      <c r="N490" s="28" t="s">
        <v>4959</v>
      </c>
    </row>
    <row r="491" spans="1:14" x14ac:dyDescent="0.2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35" t="s">
        <v>978</v>
      </c>
      <c r="G491" s="28" t="s">
        <v>1545</v>
      </c>
      <c r="H491" s="28" t="s">
        <v>1543</v>
      </c>
      <c r="I491" s="28" t="s">
        <v>4960</v>
      </c>
      <c r="J491" s="28" t="s">
        <v>4702</v>
      </c>
      <c r="K491" s="28" t="s">
        <v>4961</v>
      </c>
      <c r="L491" s="28" t="s">
        <v>4957</v>
      </c>
      <c r="M491" s="28" t="s">
        <v>4962</v>
      </c>
      <c r="N491" s="28" t="s">
        <v>4959</v>
      </c>
    </row>
    <row r="492" spans="1:14" x14ac:dyDescent="0.2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35" t="s">
        <v>979</v>
      </c>
      <c r="G492" s="28" t="s">
        <v>1549</v>
      </c>
      <c r="H492" s="28" t="s">
        <v>1548</v>
      </c>
      <c r="I492" s="28" t="s">
        <v>4963</v>
      </c>
      <c r="J492" s="28" t="s">
        <v>4964</v>
      </c>
      <c r="K492" s="28" t="s">
        <v>4965</v>
      </c>
      <c r="L492" s="28" t="s">
        <v>4966</v>
      </c>
      <c r="M492" s="28" t="s">
        <v>4967</v>
      </c>
      <c r="N492" s="28" t="s">
        <v>4968</v>
      </c>
    </row>
    <row r="493" spans="1:14" x14ac:dyDescent="0.2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35" t="s">
        <v>981</v>
      </c>
      <c r="G493" s="28" t="s">
        <v>1637</v>
      </c>
      <c r="H493" s="28" t="s">
        <v>1575</v>
      </c>
      <c r="I493" s="28" t="s">
        <v>4969</v>
      </c>
      <c r="J493" s="28" t="s">
        <v>4970</v>
      </c>
      <c r="K493" s="28" t="s">
        <v>4971</v>
      </c>
      <c r="L493" s="28" t="s">
        <v>4972</v>
      </c>
      <c r="M493" s="28" t="s">
        <v>4973</v>
      </c>
      <c r="N493" s="28" t="s">
        <v>4974</v>
      </c>
    </row>
    <row r="494" spans="1:14" x14ac:dyDescent="0.2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35" t="s">
        <v>993</v>
      </c>
      <c r="G494" s="28" t="s">
        <v>1630</v>
      </c>
      <c r="H494" s="28" t="s">
        <v>1631</v>
      </c>
      <c r="I494" s="28" t="s">
        <v>4835</v>
      </c>
      <c r="J494" s="28" t="s">
        <v>4836</v>
      </c>
      <c r="K494" s="28" t="s">
        <v>4975</v>
      </c>
      <c r="L494" s="28" t="s">
        <v>4976</v>
      </c>
      <c r="M494" s="28" t="s">
        <v>4977</v>
      </c>
      <c r="N494" s="28" t="s">
        <v>4978</v>
      </c>
    </row>
    <row r="495" spans="1:14" x14ac:dyDescent="0.2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35" t="s">
        <v>984</v>
      </c>
      <c r="G495" s="28" t="s">
        <v>1589</v>
      </c>
      <c r="H495" s="28" t="s">
        <v>1590</v>
      </c>
      <c r="I495" s="28" t="s">
        <v>4592</v>
      </c>
      <c r="J495" s="28" t="s">
        <v>4593</v>
      </c>
      <c r="K495" s="28" t="s">
        <v>4979</v>
      </c>
      <c r="L495" s="28" t="s">
        <v>4980</v>
      </c>
      <c r="M495" s="28" t="s">
        <v>4981</v>
      </c>
      <c r="N495" s="28" t="s">
        <v>4982</v>
      </c>
    </row>
    <row r="496" spans="1:14" x14ac:dyDescent="0.2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35" t="s">
        <v>984</v>
      </c>
      <c r="G496" s="28" t="s">
        <v>1618</v>
      </c>
      <c r="H496" s="28" t="s">
        <v>1590</v>
      </c>
      <c r="I496" s="28" t="s">
        <v>4721</v>
      </c>
      <c r="J496" s="28" t="s">
        <v>4593</v>
      </c>
      <c r="K496" s="28" t="s">
        <v>4983</v>
      </c>
      <c r="L496" s="28" t="s">
        <v>4980</v>
      </c>
      <c r="M496" s="28" t="s">
        <v>4984</v>
      </c>
      <c r="N496" s="28" t="s">
        <v>4982</v>
      </c>
    </row>
    <row r="497" spans="1:14" x14ac:dyDescent="0.2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35" t="s">
        <v>986</v>
      </c>
      <c r="G497" s="28" t="s">
        <v>1593</v>
      </c>
      <c r="H497" s="28" t="s">
        <v>1594</v>
      </c>
      <c r="I497" s="28" t="s">
        <v>4604</v>
      </c>
      <c r="J497" s="28" t="s">
        <v>4605</v>
      </c>
      <c r="K497" s="28" t="s">
        <v>4985</v>
      </c>
      <c r="L497" s="28" t="s">
        <v>4986</v>
      </c>
      <c r="M497" s="28" t="s">
        <v>4987</v>
      </c>
      <c r="N497" s="28" t="s">
        <v>4988</v>
      </c>
    </row>
    <row r="498" spans="1:14" x14ac:dyDescent="0.2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35" t="s">
        <v>986</v>
      </c>
      <c r="G498" s="28" t="s">
        <v>1596</v>
      </c>
      <c r="H498" s="28" t="s">
        <v>1594</v>
      </c>
      <c r="I498" s="28" t="s">
        <v>4613</v>
      </c>
      <c r="J498" s="28" t="s">
        <v>4605</v>
      </c>
      <c r="K498" s="28" t="s">
        <v>4989</v>
      </c>
      <c r="L498" s="28" t="s">
        <v>4986</v>
      </c>
      <c r="M498" s="28" t="s">
        <v>4990</v>
      </c>
      <c r="N498" s="28" t="s">
        <v>4988</v>
      </c>
    </row>
    <row r="499" spans="1:14" x14ac:dyDescent="0.2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35" t="s">
        <v>986</v>
      </c>
      <c r="G499" s="28" t="s">
        <v>1597</v>
      </c>
      <c r="H499" s="28" t="s">
        <v>1594</v>
      </c>
      <c r="I499" s="28" t="s">
        <v>4616</v>
      </c>
      <c r="J499" s="28" t="s">
        <v>4605</v>
      </c>
      <c r="K499" s="28" t="s">
        <v>4991</v>
      </c>
      <c r="L499" s="28" t="s">
        <v>4986</v>
      </c>
      <c r="M499" s="28" t="s">
        <v>4992</v>
      </c>
      <c r="N499" s="28" t="s">
        <v>4988</v>
      </c>
    </row>
    <row r="500" spans="1:14" x14ac:dyDescent="0.2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35" t="s">
        <v>986</v>
      </c>
      <c r="G500" s="28" t="s">
        <v>1621</v>
      </c>
      <c r="H500" s="28" t="s">
        <v>1594</v>
      </c>
      <c r="I500" s="28" t="s">
        <v>4744</v>
      </c>
      <c r="J500" s="28" t="s">
        <v>4605</v>
      </c>
      <c r="K500" s="28" t="s">
        <v>4993</v>
      </c>
      <c r="L500" s="28" t="s">
        <v>4986</v>
      </c>
      <c r="M500" s="28" t="s">
        <v>4994</v>
      </c>
      <c r="N500" s="28" t="s">
        <v>4988</v>
      </c>
    </row>
    <row r="501" spans="1:14" x14ac:dyDescent="0.2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35" t="s">
        <v>987</v>
      </c>
      <c r="G501" s="28" t="s">
        <v>1598</v>
      </c>
      <c r="H501" s="28" t="s">
        <v>1599</v>
      </c>
      <c r="I501" s="28" t="s">
        <v>4619</v>
      </c>
      <c r="J501" s="28" t="s">
        <v>4620</v>
      </c>
      <c r="K501" s="28" t="s">
        <v>4995</v>
      </c>
      <c r="L501" s="28" t="s">
        <v>4996</v>
      </c>
      <c r="M501" s="28" t="s">
        <v>4997</v>
      </c>
      <c r="N501" s="28" t="s">
        <v>4998</v>
      </c>
    </row>
    <row r="502" spans="1:14" x14ac:dyDescent="0.2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35" t="s">
        <v>987</v>
      </c>
      <c r="G502" s="28" t="s">
        <v>1600</v>
      </c>
      <c r="H502" s="28" t="s">
        <v>1599</v>
      </c>
      <c r="I502" s="28" t="s">
        <v>4625</v>
      </c>
      <c r="J502" s="28" t="s">
        <v>4620</v>
      </c>
      <c r="K502" s="28" t="s">
        <v>4999</v>
      </c>
      <c r="L502" s="28" t="s">
        <v>4996</v>
      </c>
      <c r="M502" s="28" t="s">
        <v>5000</v>
      </c>
      <c r="N502" s="28" t="s">
        <v>4998</v>
      </c>
    </row>
    <row r="503" spans="1:14" x14ac:dyDescent="0.2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35" t="s">
        <v>987</v>
      </c>
      <c r="G503" s="28" t="s">
        <v>1622</v>
      </c>
      <c r="H503" s="28" t="s">
        <v>1599</v>
      </c>
      <c r="I503" s="28" t="s">
        <v>4751</v>
      </c>
      <c r="J503" s="28" t="s">
        <v>4620</v>
      </c>
      <c r="K503" s="28" t="s">
        <v>5001</v>
      </c>
      <c r="L503" s="28" t="s">
        <v>4996</v>
      </c>
      <c r="M503" s="28" t="s">
        <v>5002</v>
      </c>
      <c r="N503" s="28" t="s">
        <v>4998</v>
      </c>
    </row>
    <row r="504" spans="1:14" x14ac:dyDescent="0.2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35" t="s">
        <v>988</v>
      </c>
      <c r="G504" s="28" t="s">
        <v>1634</v>
      </c>
      <c r="H504" s="28" t="s">
        <v>1603</v>
      </c>
      <c r="I504" s="28" t="s">
        <v>4877</v>
      </c>
      <c r="J504" s="28" t="s">
        <v>4632</v>
      </c>
      <c r="K504" s="28" t="s">
        <v>5003</v>
      </c>
      <c r="L504" s="28" t="s">
        <v>5004</v>
      </c>
      <c r="M504" s="28" t="s">
        <v>5005</v>
      </c>
      <c r="N504" s="28" t="s">
        <v>5006</v>
      </c>
    </row>
    <row r="505" spans="1:14" x14ac:dyDescent="0.2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35" t="s">
        <v>988</v>
      </c>
      <c r="G505" s="28" t="s">
        <v>1602</v>
      </c>
      <c r="H505" s="28" t="s">
        <v>1603</v>
      </c>
      <c r="I505" s="28" t="s">
        <v>4631</v>
      </c>
      <c r="J505" s="28" t="s">
        <v>4632</v>
      </c>
      <c r="K505" s="28" t="s">
        <v>5007</v>
      </c>
      <c r="L505" s="28" t="s">
        <v>5004</v>
      </c>
      <c r="M505" s="28" t="s">
        <v>5008</v>
      </c>
      <c r="N505" s="28" t="s">
        <v>5006</v>
      </c>
    </row>
    <row r="506" spans="1:14" x14ac:dyDescent="0.2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35" t="s">
        <v>988</v>
      </c>
      <c r="G506" s="28" t="s">
        <v>1635</v>
      </c>
      <c r="H506" s="28" t="s">
        <v>1603</v>
      </c>
      <c r="I506" s="28" t="s">
        <v>4882</v>
      </c>
      <c r="J506" s="28" t="s">
        <v>4632</v>
      </c>
      <c r="K506" s="28" t="s">
        <v>5009</v>
      </c>
      <c r="L506" s="28" t="s">
        <v>5004</v>
      </c>
      <c r="M506" s="28" t="s">
        <v>5010</v>
      </c>
      <c r="N506" s="28" t="s">
        <v>5006</v>
      </c>
    </row>
    <row r="507" spans="1:14" x14ac:dyDescent="0.2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35" t="s">
        <v>988</v>
      </c>
      <c r="G507" s="28" t="s">
        <v>1623</v>
      </c>
      <c r="H507" s="28" t="s">
        <v>1603</v>
      </c>
      <c r="I507" s="28" t="s">
        <v>4758</v>
      </c>
      <c r="J507" s="28" t="s">
        <v>4632</v>
      </c>
      <c r="K507" s="28" t="s">
        <v>5011</v>
      </c>
      <c r="L507" s="28" t="s">
        <v>5004</v>
      </c>
      <c r="M507" s="28" t="s">
        <v>5012</v>
      </c>
      <c r="N507" s="28" t="s">
        <v>5006</v>
      </c>
    </row>
    <row r="508" spans="1:14" x14ac:dyDescent="0.2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35" t="s">
        <v>988</v>
      </c>
      <c r="G508" s="28" t="s">
        <v>1604</v>
      </c>
      <c r="H508" s="28" t="s">
        <v>1603</v>
      </c>
      <c r="I508" s="28" t="s">
        <v>4637</v>
      </c>
      <c r="J508" s="28" t="s">
        <v>4632</v>
      </c>
      <c r="K508" s="28" t="s">
        <v>5013</v>
      </c>
      <c r="L508" s="28" t="s">
        <v>5004</v>
      </c>
      <c r="M508" s="28" t="s">
        <v>5014</v>
      </c>
      <c r="N508" s="28" t="s">
        <v>5006</v>
      </c>
    </row>
    <row r="509" spans="1:14" x14ac:dyDescent="0.2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35" t="s">
        <v>989</v>
      </c>
      <c r="G509" s="28" t="s">
        <v>1605</v>
      </c>
      <c r="H509" s="28" t="s">
        <v>1606</v>
      </c>
      <c r="I509" s="28" t="s">
        <v>4640</v>
      </c>
      <c r="J509" s="28" t="s">
        <v>4641</v>
      </c>
      <c r="K509" s="28" t="s">
        <v>5015</v>
      </c>
      <c r="L509" s="28" t="s">
        <v>5016</v>
      </c>
      <c r="M509" s="28" t="s">
        <v>5017</v>
      </c>
      <c r="N509" s="28" t="s">
        <v>5018</v>
      </c>
    </row>
    <row r="510" spans="1:14" x14ac:dyDescent="0.2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35" t="s">
        <v>989</v>
      </c>
      <c r="G510" s="28" t="s">
        <v>1624</v>
      </c>
      <c r="H510" s="28" t="s">
        <v>1606</v>
      </c>
      <c r="I510" s="28" t="s">
        <v>4767</v>
      </c>
      <c r="J510" s="28" t="s">
        <v>4641</v>
      </c>
      <c r="K510" s="28" t="s">
        <v>5019</v>
      </c>
      <c r="L510" s="28" t="s">
        <v>5016</v>
      </c>
      <c r="M510" s="28" t="s">
        <v>5020</v>
      </c>
      <c r="N510" s="28" t="s">
        <v>5018</v>
      </c>
    </row>
    <row r="511" spans="1:14" x14ac:dyDescent="0.2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35" t="s">
        <v>989</v>
      </c>
      <c r="G511" s="28" t="s">
        <v>1625</v>
      </c>
      <c r="H511" s="28" t="s">
        <v>1606</v>
      </c>
      <c r="I511" s="28" t="s">
        <v>4770</v>
      </c>
      <c r="J511" s="28" t="s">
        <v>4641</v>
      </c>
      <c r="K511" s="28" t="s">
        <v>5021</v>
      </c>
      <c r="L511" s="28" t="s">
        <v>5016</v>
      </c>
      <c r="M511" s="28" t="s">
        <v>5022</v>
      </c>
      <c r="N511" s="28" t="s">
        <v>5018</v>
      </c>
    </row>
    <row r="512" spans="1:14" x14ac:dyDescent="0.2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35" t="s">
        <v>990</v>
      </c>
      <c r="G512" s="28" t="s">
        <v>1627</v>
      </c>
      <c r="H512" s="28" t="s">
        <v>1608</v>
      </c>
      <c r="I512" s="28" t="s">
        <v>4776</v>
      </c>
      <c r="J512" s="28" t="s">
        <v>4647</v>
      </c>
      <c r="K512" s="28" t="s">
        <v>5023</v>
      </c>
      <c r="L512" s="28" t="s">
        <v>5024</v>
      </c>
      <c r="M512" s="28" t="s">
        <v>5025</v>
      </c>
      <c r="N512" s="28" t="s">
        <v>5026</v>
      </c>
    </row>
    <row r="513" spans="1:14" x14ac:dyDescent="0.2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35" t="s">
        <v>990</v>
      </c>
      <c r="G513" s="28" t="s">
        <v>1607</v>
      </c>
      <c r="H513" s="28" t="s">
        <v>1608</v>
      </c>
      <c r="I513" s="28" t="s">
        <v>4646</v>
      </c>
      <c r="J513" s="28" t="s">
        <v>4647</v>
      </c>
      <c r="K513" s="28" t="s">
        <v>5027</v>
      </c>
      <c r="L513" s="28" t="s">
        <v>5024</v>
      </c>
      <c r="M513" s="28" t="s">
        <v>5028</v>
      </c>
      <c r="N513" s="28" t="s">
        <v>5026</v>
      </c>
    </row>
    <row r="514" spans="1:14" x14ac:dyDescent="0.2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35" t="s">
        <v>990</v>
      </c>
      <c r="G514" s="28" t="s">
        <v>1609</v>
      </c>
      <c r="H514" s="28" t="s">
        <v>1608</v>
      </c>
      <c r="I514" s="28" t="s">
        <v>4652</v>
      </c>
      <c r="J514" s="28" t="s">
        <v>4647</v>
      </c>
      <c r="K514" s="28" t="s">
        <v>5029</v>
      </c>
      <c r="L514" s="28" t="s">
        <v>5024</v>
      </c>
      <c r="M514" s="28" t="s">
        <v>5030</v>
      </c>
      <c r="N514" s="28" t="s">
        <v>5026</v>
      </c>
    </row>
    <row r="515" spans="1:14" x14ac:dyDescent="0.2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35" t="s">
        <v>990</v>
      </c>
      <c r="G515" s="28" t="s">
        <v>1628</v>
      </c>
      <c r="H515" s="28" t="s">
        <v>1608</v>
      </c>
      <c r="I515" s="28" t="s">
        <v>4785</v>
      </c>
      <c r="J515" s="28" t="s">
        <v>4647</v>
      </c>
      <c r="K515" s="28" t="s">
        <v>5031</v>
      </c>
      <c r="L515" s="28" t="s">
        <v>5024</v>
      </c>
      <c r="M515" s="28" t="s">
        <v>5032</v>
      </c>
      <c r="N515" s="28" t="s">
        <v>5026</v>
      </c>
    </row>
    <row r="516" spans="1:14" x14ac:dyDescent="0.2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35" t="s">
        <v>991</v>
      </c>
      <c r="G516" s="28" t="s">
        <v>1610</v>
      </c>
      <c r="H516" s="28" t="s">
        <v>1611</v>
      </c>
      <c r="I516" s="28" t="s">
        <v>4655</v>
      </c>
      <c r="J516" s="28" t="s">
        <v>4656</v>
      </c>
      <c r="K516" s="28" t="s">
        <v>5033</v>
      </c>
      <c r="L516" s="28" t="s">
        <v>5034</v>
      </c>
      <c r="M516" s="28" t="s">
        <v>5035</v>
      </c>
      <c r="N516" s="28" t="s">
        <v>5036</v>
      </c>
    </row>
    <row r="517" spans="1:14" x14ac:dyDescent="0.2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35" t="s">
        <v>991</v>
      </c>
      <c r="G517" s="28" t="s">
        <v>1612</v>
      </c>
      <c r="H517" s="28" t="s">
        <v>1611</v>
      </c>
      <c r="I517" s="28" t="s">
        <v>4661</v>
      </c>
      <c r="J517" s="28" t="s">
        <v>4656</v>
      </c>
      <c r="K517" s="28" t="s">
        <v>5037</v>
      </c>
      <c r="L517" s="28" t="s">
        <v>5034</v>
      </c>
      <c r="M517" s="28" t="s">
        <v>5038</v>
      </c>
      <c r="N517" s="28" t="s">
        <v>5036</v>
      </c>
    </row>
    <row r="518" spans="1:14" x14ac:dyDescent="0.2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35" t="s">
        <v>991</v>
      </c>
      <c r="G518" s="28" t="s">
        <v>1636</v>
      </c>
      <c r="H518" s="28" t="s">
        <v>1611</v>
      </c>
      <c r="I518" s="28" t="s">
        <v>4915</v>
      </c>
      <c r="J518" s="28" t="s">
        <v>4656</v>
      </c>
      <c r="K518" s="28" t="s">
        <v>5039</v>
      </c>
      <c r="L518" s="28" t="s">
        <v>5034</v>
      </c>
      <c r="M518" s="28" t="s">
        <v>5040</v>
      </c>
      <c r="N518" s="28" t="s">
        <v>5036</v>
      </c>
    </row>
    <row r="519" spans="1:14" x14ac:dyDescent="0.2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35" t="s">
        <v>991</v>
      </c>
      <c r="G519" s="28" t="s">
        <v>1613</v>
      </c>
      <c r="H519" s="28" t="s">
        <v>1611</v>
      </c>
      <c r="I519" s="28" t="s">
        <v>4664</v>
      </c>
      <c r="J519" s="28" t="s">
        <v>4656</v>
      </c>
      <c r="K519" s="28" t="s">
        <v>5041</v>
      </c>
      <c r="L519" s="28" t="s">
        <v>5034</v>
      </c>
      <c r="M519" s="28" t="s">
        <v>5042</v>
      </c>
      <c r="N519" s="28" t="s">
        <v>5036</v>
      </c>
    </row>
    <row r="520" spans="1:14" x14ac:dyDescent="0.2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35" t="s">
        <v>991</v>
      </c>
      <c r="G520" s="28" t="s">
        <v>1638</v>
      </c>
      <c r="H520" s="28" t="s">
        <v>1611</v>
      </c>
      <c r="I520" s="28" t="s">
        <v>5043</v>
      </c>
      <c r="J520" s="28" t="s">
        <v>4656</v>
      </c>
      <c r="K520" s="28" t="s">
        <v>5044</v>
      </c>
      <c r="L520" s="28" t="s">
        <v>5034</v>
      </c>
      <c r="M520" s="28" t="s">
        <v>5045</v>
      </c>
      <c r="N520" s="28" t="s">
        <v>5036</v>
      </c>
    </row>
    <row r="521" spans="1:14" x14ac:dyDescent="0.2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35" t="s">
        <v>992</v>
      </c>
      <c r="G521" s="28" t="s">
        <v>1614</v>
      </c>
      <c r="H521" s="28" t="s">
        <v>1615</v>
      </c>
      <c r="I521" s="28" t="s">
        <v>4667</v>
      </c>
      <c r="J521" s="28" t="s">
        <v>4668</v>
      </c>
      <c r="K521" s="28" t="s">
        <v>5046</v>
      </c>
      <c r="L521" s="28" t="s">
        <v>5047</v>
      </c>
      <c r="M521" s="28" t="s">
        <v>5048</v>
      </c>
      <c r="N521" s="28" t="s">
        <v>5049</v>
      </c>
    </row>
    <row r="522" spans="1:14" x14ac:dyDescent="0.2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35" t="s">
        <v>992</v>
      </c>
      <c r="G522" s="28" t="s">
        <v>1629</v>
      </c>
      <c r="H522" s="28" t="s">
        <v>1615</v>
      </c>
      <c r="I522" s="28" t="s">
        <v>4796</v>
      </c>
      <c r="J522" s="28" t="s">
        <v>4668</v>
      </c>
      <c r="K522" s="28" t="s">
        <v>5050</v>
      </c>
      <c r="L522" s="28" t="s">
        <v>5047</v>
      </c>
      <c r="M522" s="28" t="s">
        <v>5051</v>
      </c>
      <c r="N522" s="28" t="s">
        <v>5049</v>
      </c>
    </row>
    <row r="523" spans="1:14" x14ac:dyDescent="0.2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35" t="s">
        <v>992</v>
      </c>
      <c r="G523" s="28" t="s">
        <v>1616</v>
      </c>
      <c r="H523" s="28" t="s">
        <v>1615</v>
      </c>
      <c r="I523" s="28" t="s">
        <v>4673</v>
      </c>
      <c r="J523" s="28" t="s">
        <v>4668</v>
      </c>
      <c r="K523" s="28" t="s">
        <v>5052</v>
      </c>
      <c r="L523" s="28" t="s">
        <v>5047</v>
      </c>
      <c r="M523" s="28" t="s">
        <v>5053</v>
      </c>
      <c r="N523" s="28" t="s">
        <v>5049</v>
      </c>
    </row>
    <row r="524" spans="1:14" x14ac:dyDescent="0.2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35" t="s">
        <v>992</v>
      </c>
      <c r="G524" s="28" t="s">
        <v>1617</v>
      </c>
      <c r="H524" s="28" t="s">
        <v>1615</v>
      </c>
      <c r="I524" s="28" t="s">
        <v>4676</v>
      </c>
      <c r="J524" s="28" t="s">
        <v>4668</v>
      </c>
      <c r="K524" s="28" t="s">
        <v>5054</v>
      </c>
      <c r="L524" s="28" t="s">
        <v>5047</v>
      </c>
      <c r="M524" s="28" t="s">
        <v>5055</v>
      </c>
      <c r="N524" s="28" t="s">
        <v>5049</v>
      </c>
    </row>
    <row r="525" spans="1:14" x14ac:dyDescent="0.2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35" t="s">
        <v>983</v>
      </c>
      <c r="G525" s="28" t="s">
        <v>1555</v>
      </c>
      <c r="H525" s="28" t="s">
        <v>1556</v>
      </c>
      <c r="I525" s="28" t="s">
        <v>4803</v>
      </c>
      <c r="J525" s="28" t="s">
        <v>4680</v>
      </c>
      <c r="K525" s="28" t="s">
        <v>5056</v>
      </c>
      <c r="L525" s="28" t="s">
        <v>5057</v>
      </c>
      <c r="M525" s="28" t="s">
        <v>4270</v>
      </c>
      <c r="N525" s="28" t="s">
        <v>4268</v>
      </c>
    </row>
    <row r="526" spans="1:14" x14ac:dyDescent="0.2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35" t="s">
        <v>983</v>
      </c>
      <c r="G526" s="28" t="s">
        <v>1558</v>
      </c>
      <c r="H526" s="28" t="s">
        <v>1556</v>
      </c>
      <c r="I526" s="28" t="s">
        <v>5058</v>
      </c>
      <c r="J526" s="28" t="s">
        <v>4680</v>
      </c>
      <c r="K526" s="28" t="s">
        <v>5059</v>
      </c>
      <c r="L526" s="28" t="s">
        <v>5057</v>
      </c>
      <c r="M526" s="28" t="s">
        <v>4274</v>
      </c>
      <c r="N526" s="28" t="s">
        <v>4268</v>
      </c>
    </row>
    <row r="527" spans="1:14" x14ac:dyDescent="0.2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35" t="s">
        <v>982</v>
      </c>
      <c r="G527" s="28" t="s">
        <v>1559</v>
      </c>
      <c r="H527" s="28" t="s">
        <v>1560</v>
      </c>
      <c r="I527" s="28" t="s">
        <v>4683</v>
      </c>
      <c r="J527" s="28" t="s">
        <v>4684</v>
      </c>
      <c r="K527" s="28" t="s">
        <v>5060</v>
      </c>
      <c r="L527" s="28" t="s">
        <v>5061</v>
      </c>
      <c r="M527" s="28" t="s">
        <v>4277</v>
      </c>
      <c r="N527" s="28" t="s">
        <v>4278</v>
      </c>
    </row>
    <row r="528" spans="1:14" x14ac:dyDescent="0.2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35" t="s">
        <v>982</v>
      </c>
      <c r="G528" s="28" t="s">
        <v>1561</v>
      </c>
      <c r="H528" s="28" t="s">
        <v>1560</v>
      </c>
      <c r="I528" s="28" t="s">
        <v>4807</v>
      </c>
      <c r="J528" s="28" t="s">
        <v>4684</v>
      </c>
      <c r="K528" s="28" t="s">
        <v>5062</v>
      </c>
      <c r="L528" s="28" t="s">
        <v>5061</v>
      </c>
      <c r="M528" s="28" t="s">
        <v>4280</v>
      </c>
      <c r="N528" s="28" t="s">
        <v>4278</v>
      </c>
    </row>
    <row r="529" spans="1:14" x14ac:dyDescent="0.2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35" t="s">
        <v>982</v>
      </c>
      <c r="G529" s="28" t="s">
        <v>1562</v>
      </c>
      <c r="H529" s="28" t="s">
        <v>1560</v>
      </c>
      <c r="I529" s="28" t="s">
        <v>4689</v>
      </c>
      <c r="J529" s="28" t="s">
        <v>4684</v>
      </c>
      <c r="K529" s="28" t="s">
        <v>5063</v>
      </c>
      <c r="L529" s="28" t="s">
        <v>5061</v>
      </c>
      <c r="M529" s="28" t="s">
        <v>4282</v>
      </c>
      <c r="N529" s="28" t="s">
        <v>4278</v>
      </c>
    </row>
    <row r="530" spans="1:14" x14ac:dyDescent="0.2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35" t="s">
        <v>982</v>
      </c>
      <c r="G530" s="28" t="s">
        <v>1563</v>
      </c>
      <c r="H530" s="28" t="s">
        <v>1560</v>
      </c>
      <c r="I530" s="28" t="s">
        <v>4810</v>
      </c>
      <c r="J530" s="28" t="s">
        <v>4684</v>
      </c>
      <c r="K530" s="28" t="s">
        <v>5064</v>
      </c>
      <c r="L530" s="28" t="s">
        <v>5061</v>
      </c>
      <c r="M530" s="28" t="s">
        <v>4284</v>
      </c>
      <c r="N530" s="28" t="s">
        <v>4278</v>
      </c>
    </row>
    <row r="531" spans="1:14" x14ac:dyDescent="0.2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35" t="s">
        <v>976</v>
      </c>
      <c r="G531" s="28" t="s">
        <v>1566</v>
      </c>
      <c r="H531" s="28" t="s">
        <v>1565</v>
      </c>
      <c r="I531" s="28" t="s">
        <v>4813</v>
      </c>
      <c r="J531" s="28" t="s">
        <v>4693</v>
      </c>
      <c r="K531" s="28" t="s">
        <v>5065</v>
      </c>
      <c r="L531" s="28" t="s">
        <v>5066</v>
      </c>
      <c r="M531" s="28" t="s">
        <v>5067</v>
      </c>
      <c r="N531" s="28" t="s">
        <v>5068</v>
      </c>
    </row>
    <row r="532" spans="1:14" x14ac:dyDescent="0.2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35" t="s">
        <v>976</v>
      </c>
      <c r="G532" s="28" t="s">
        <v>1567</v>
      </c>
      <c r="H532" s="28" t="s">
        <v>1565</v>
      </c>
      <c r="I532" s="28" t="s">
        <v>4816</v>
      </c>
      <c r="J532" s="28" t="s">
        <v>4693</v>
      </c>
      <c r="K532" s="28" t="s">
        <v>5069</v>
      </c>
      <c r="L532" s="28" t="s">
        <v>5066</v>
      </c>
      <c r="M532" s="28" t="s">
        <v>5070</v>
      </c>
      <c r="N532" s="28" t="s">
        <v>5068</v>
      </c>
    </row>
    <row r="533" spans="1:14" x14ac:dyDescent="0.2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35" t="s">
        <v>976</v>
      </c>
      <c r="G533" s="28" t="s">
        <v>1568</v>
      </c>
      <c r="H533" s="28" t="s">
        <v>1565</v>
      </c>
      <c r="I533" s="28" t="s">
        <v>4692</v>
      </c>
      <c r="J533" s="28" t="s">
        <v>4693</v>
      </c>
      <c r="K533" s="28" t="s">
        <v>5071</v>
      </c>
      <c r="L533" s="28" t="s">
        <v>5066</v>
      </c>
      <c r="M533" s="28" t="s">
        <v>5072</v>
      </c>
      <c r="N533" s="28" t="s">
        <v>5068</v>
      </c>
    </row>
    <row r="534" spans="1:14" x14ac:dyDescent="0.2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35" t="s">
        <v>977</v>
      </c>
      <c r="G534" s="28" t="s">
        <v>1570</v>
      </c>
      <c r="H534" s="28" t="s">
        <v>1541</v>
      </c>
      <c r="I534" s="28" t="s">
        <v>4947</v>
      </c>
      <c r="J534" s="28" t="s">
        <v>4697</v>
      </c>
      <c r="K534" s="28" t="s">
        <v>5073</v>
      </c>
      <c r="L534" s="28" t="s">
        <v>5074</v>
      </c>
      <c r="M534" s="28" t="s">
        <v>5075</v>
      </c>
      <c r="N534" s="28" t="s">
        <v>5076</v>
      </c>
    </row>
    <row r="535" spans="1:14" x14ac:dyDescent="0.2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35" t="s">
        <v>977</v>
      </c>
      <c r="G535" s="28" t="s">
        <v>1571</v>
      </c>
      <c r="H535" s="28" t="s">
        <v>1541</v>
      </c>
      <c r="I535" s="28" t="s">
        <v>4696</v>
      </c>
      <c r="J535" s="28" t="s">
        <v>4697</v>
      </c>
      <c r="K535" s="28" t="s">
        <v>5077</v>
      </c>
      <c r="L535" s="28" t="s">
        <v>5074</v>
      </c>
      <c r="M535" s="28" t="s">
        <v>5078</v>
      </c>
      <c r="N535" s="28" t="s">
        <v>5076</v>
      </c>
    </row>
    <row r="536" spans="1:14" x14ac:dyDescent="0.2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35" t="s">
        <v>977</v>
      </c>
      <c r="G536" s="28" t="s">
        <v>1540</v>
      </c>
      <c r="H536" s="28" t="s">
        <v>1541</v>
      </c>
      <c r="I536" s="28" t="s">
        <v>4826</v>
      </c>
      <c r="J536" s="28" t="s">
        <v>4697</v>
      </c>
      <c r="K536" s="28" t="s">
        <v>5079</v>
      </c>
      <c r="L536" s="28" t="s">
        <v>5074</v>
      </c>
      <c r="M536" s="28" t="s">
        <v>5080</v>
      </c>
      <c r="N536" s="28" t="s">
        <v>5076</v>
      </c>
    </row>
    <row r="537" spans="1:14" x14ac:dyDescent="0.2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35" t="s">
        <v>977</v>
      </c>
      <c r="G537" s="28" t="s">
        <v>1572</v>
      </c>
      <c r="H537" s="28" t="s">
        <v>1541</v>
      </c>
      <c r="I537" s="28" t="s">
        <v>5081</v>
      </c>
      <c r="J537" s="28" t="s">
        <v>4697</v>
      </c>
      <c r="K537" s="28" t="s">
        <v>5082</v>
      </c>
      <c r="L537" s="28" t="s">
        <v>5074</v>
      </c>
      <c r="M537" s="28" t="s">
        <v>5083</v>
      </c>
      <c r="N537" s="28" t="s">
        <v>5076</v>
      </c>
    </row>
    <row r="538" spans="1:14" x14ac:dyDescent="0.2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35" t="s">
        <v>978</v>
      </c>
      <c r="G538" s="28" t="s">
        <v>1542</v>
      </c>
      <c r="H538" s="28" t="s">
        <v>1543</v>
      </c>
      <c r="I538" s="28" t="s">
        <v>5084</v>
      </c>
      <c r="J538" s="28" t="s">
        <v>4702</v>
      </c>
      <c r="K538" s="28" t="s">
        <v>5085</v>
      </c>
      <c r="L538" s="28" t="s">
        <v>5086</v>
      </c>
      <c r="M538" s="28" t="s">
        <v>5087</v>
      </c>
      <c r="N538" s="28" t="s">
        <v>5088</v>
      </c>
    </row>
    <row r="539" spans="1:14" x14ac:dyDescent="0.2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35" t="s">
        <v>978</v>
      </c>
      <c r="G539" s="28" t="s">
        <v>1544</v>
      </c>
      <c r="H539" s="28" t="s">
        <v>1543</v>
      </c>
      <c r="I539" s="28" t="s">
        <v>4701</v>
      </c>
      <c r="J539" s="28" t="s">
        <v>4702</v>
      </c>
      <c r="K539" s="28" t="s">
        <v>5089</v>
      </c>
      <c r="L539" s="28" t="s">
        <v>5086</v>
      </c>
      <c r="M539" s="28" t="s">
        <v>5090</v>
      </c>
      <c r="N539" s="28" t="s">
        <v>5088</v>
      </c>
    </row>
    <row r="540" spans="1:14" x14ac:dyDescent="0.2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35" t="s">
        <v>978</v>
      </c>
      <c r="G540" s="28" t="s">
        <v>1576</v>
      </c>
      <c r="H540" s="28" t="s">
        <v>1543</v>
      </c>
      <c r="I540" s="28" t="s">
        <v>4705</v>
      </c>
      <c r="J540" s="28" t="s">
        <v>4702</v>
      </c>
      <c r="K540" s="28" t="s">
        <v>5091</v>
      </c>
      <c r="L540" s="28" t="s">
        <v>5086</v>
      </c>
      <c r="M540" s="28" t="s">
        <v>5092</v>
      </c>
      <c r="N540" s="28" t="s">
        <v>5088</v>
      </c>
    </row>
    <row r="541" spans="1:14" x14ac:dyDescent="0.2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35" t="s">
        <v>978</v>
      </c>
      <c r="G541" s="28" t="s">
        <v>1545</v>
      </c>
      <c r="H541" s="28" t="s">
        <v>1543</v>
      </c>
      <c r="I541" s="28" t="s">
        <v>4960</v>
      </c>
      <c r="J541" s="28" t="s">
        <v>4702</v>
      </c>
      <c r="K541" s="28" t="s">
        <v>5093</v>
      </c>
      <c r="L541" s="28" t="s">
        <v>5086</v>
      </c>
      <c r="M541" s="28" t="s">
        <v>5094</v>
      </c>
      <c r="N541" s="28" t="s">
        <v>5088</v>
      </c>
    </row>
    <row r="542" spans="1:14" x14ac:dyDescent="0.2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35" t="s">
        <v>979</v>
      </c>
      <c r="G542" s="28" t="s">
        <v>1547</v>
      </c>
      <c r="H542" s="28" t="s">
        <v>1548</v>
      </c>
      <c r="I542" s="28" t="s">
        <v>5095</v>
      </c>
      <c r="J542" s="28" t="s">
        <v>4964</v>
      </c>
      <c r="K542" s="28" t="s">
        <v>5096</v>
      </c>
      <c r="L542" s="28" t="s">
        <v>5097</v>
      </c>
      <c r="M542" s="28" t="s">
        <v>5098</v>
      </c>
      <c r="N542" s="28" t="s">
        <v>5099</v>
      </c>
    </row>
    <row r="543" spans="1:14" x14ac:dyDescent="0.2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35" t="s">
        <v>979</v>
      </c>
      <c r="G543" s="28" t="s">
        <v>1549</v>
      </c>
      <c r="H543" s="28" t="s">
        <v>1548</v>
      </c>
      <c r="I543" s="28" t="s">
        <v>4963</v>
      </c>
      <c r="J543" s="28" t="s">
        <v>4964</v>
      </c>
      <c r="K543" s="28" t="s">
        <v>5100</v>
      </c>
      <c r="L543" s="28" t="s">
        <v>5097</v>
      </c>
      <c r="M543" s="28" t="s">
        <v>5101</v>
      </c>
      <c r="N543" s="28" t="s">
        <v>5099</v>
      </c>
    </row>
    <row r="544" spans="1:14" x14ac:dyDescent="0.2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35" t="s">
        <v>979</v>
      </c>
      <c r="G544" s="28" t="s">
        <v>1550</v>
      </c>
      <c r="H544" s="28" t="s">
        <v>1548</v>
      </c>
      <c r="I544" s="28" t="s">
        <v>5102</v>
      </c>
      <c r="J544" s="28" t="s">
        <v>4964</v>
      </c>
      <c r="K544" s="28" t="s">
        <v>5103</v>
      </c>
      <c r="L544" s="28" t="s">
        <v>5097</v>
      </c>
      <c r="M544" s="28" t="s">
        <v>5104</v>
      </c>
      <c r="N544" s="28" t="s">
        <v>5099</v>
      </c>
    </row>
    <row r="545" spans="1:14" x14ac:dyDescent="0.2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35" t="s">
        <v>980</v>
      </c>
      <c r="G545" s="28" t="s">
        <v>1577</v>
      </c>
      <c r="H545" s="28" t="s">
        <v>1553</v>
      </c>
      <c r="I545" s="28" t="s">
        <v>5105</v>
      </c>
      <c r="J545" s="28" t="s">
        <v>4712</v>
      </c>
      <c r="K545" s="28" t="s">
        <v>5106</v>
      </c>
      <c r="L545" s="28" t="s">
        <v>5107</v>
      </c>
      <c r="M545" s="28" t="s">
        <v>5108</v>
      </c>
      <c r="N545" s="28" t="s">
        <v>5109</v>
      </c>
    </row>
    <row r="546" spans="1:14" x14ac:dyDescent="0.2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35" t="s">
        <v>980</v>
      </c>
      <c r="G546" s="28" t="s">
        <v>1552</v>
      </c>
      <c r="H546" s="28" t="s">
        <v>1553</v>
      </c>
      <c r="I546" s="28" t="s">
        <v>5110</v>
      </c>
      <c r="J546" s="28" t="s">
        <v>4712</v>
      </c>
      <c r="K546" s="28" t="s">
        <v>5111</v>
      </c>
      <c r="L546" s="28" t="s">
        <v>5107</v>
      </c>
      <c r="M546" s="28" t="s">
        <v>5112</v>
      </c>
      <c r="N546" s="28" t="s">
        <v>5109</v>
      </c>
    </row>
    <row r="547" spans="1:14" x14ac:dyDescent="0.2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35" t="s">
        <v>980</v>
      </c>
      <c r="G547" s="28" t="s">
        <v>1639</v>
      </c>
      <c r="H547" s="28" t="s">
        <v>1553</v>
      </c>
      <c r="I547" s="28" t="s">
        <v>5113</v>
      </c>
      <c r="J547" s="28" t="s">
        <v>4712</v>
      </c>
      <c r="K547" s="28" t="s">
        <v>5114</v>
      </c>
      <c r="L547" s="28" t="s">
        <v>5107</v>
      </c>
      <c r="M547" s="28" t="s">
        <v>5115</v>
      </c>
      <c r="N547" s="28" t="s">
        <v>5109</v>
      </c>
    </row>
    <row r="548" spans="1:14" x14ac:dyDescent="0.2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35" t="s">
        <v>981</v>
      </c>
      <c r="G548" s="28" t="s">
        <v>1637</v>
      </c>
      <c r="H548" s="28" t="s">
        <v>1575</v>
      </c>
      <c r="I548" s="28" t="s">
        <v>4969</v>
      </c>
      <c r="J548" s="28" t="s">
        <v>4970</v>
      </c>
      <c r="K548" s="28" t="s">
        <v>5116</v>
      </c>
      <c r="L548" s="28" t="s">
        <v>5117</v>
      </c>
      <c r="M548" s="28" t="s">
        <v>5118</v>
      </c>
      <c r="N548" s="28" t="s">
        <v>5119</v>
      </c>
    </row>
    <row r="549" spans="1:14" x14ac:dyDescent="0.2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35" t="s">
        <v>981</v>
      </c>
      <c r="G549" s="28" t="s">
        <v>1574</v>
      </c>
      <c r="H549" s="28" t="s">
        <v>1575</v>
      </c>
      <c r="I549" s="28" t="s">
        <v>5120</v>
      </c>
      <c r="J549" s="28" t="s">
        <v>4970</v>
      </c>
      <c r="K549" s="28" t="s">
        <v>5121</v>
      </c>
      <c r="L549" s="28" t="s">
        <v>5117</v>
      </c>
      <c r="M549" s="28" t="s">
        <v>5122</v>
      </c>
      <c r="N549" s="28" t="s">
        <v>5119</v>
      </c>
    </row>
    <row r="550" spans="1:14" x14ac:dyDescent="0.2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35" t="s">
        <v>980</v>
      </c>
      <c r="G550" s="28" t="s">
        <v>1519</v>
      </c>
      <c r="H550" s="28" t="s">
        <v>1520</v>
      </c>
      <c r="I550" s="28" t="s">
        <v>5123</v>
      </c>
      <c r="J550" s="28" t="s">
        <v>5124</v>
      </c>
      <c r="K550" s="28" t="s">
        <v>5125</v>
      </c>
      <c r="L550" s="28" t="s">
        <v>5126</v>
      </c>
      <c r="M550" s="28" t="s">
        <v>5127</v>
      </c>
      <c r="N550" s="28" t="s">
        <v>3697</v>
      </c>
    </row>
    <row r="551" spans="1:14" x14ac:dyDescent="0.2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35" t="s">
        <v>980</v>
      </c>
      <c r="G551" s="28" t="s">
        <v>1522</v>
      </c>
      <c r="H551" s="28" t="s">
        <v>1520</v>
      </c>
      <c r="I551" s="28" t="s">
        <v>5128</v>
      </c>
      <c r="J551" s="28" t="s">
        <v>5124</v>
      </c>
      <c r="K551" s="28" t="s">
        <v>5129</v>
      </c>
      <c r="L551" s="28" t="s">
        <v>5126</v>
      </c>
      <c r="M551" s="28" t="s">
        <v>3820</v>
      </c>
      <c r="N551" s="28" t="s">
        <v>3697</v>
      </c>
    </row>
    <row r="552" spans="1:14" x14ac:dyDescent="0.2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35" t="s">
        <v>980</v>
      </c>
      <c r="G552" s="28" t="s">
        <v>1523</v>
      </c>
      <c r="H552" s="28" t="s">
        <v>1520</v>
      </c>
      <c r="I552" s="28" t="s">
        <v>5130</v>
      </c>
      <c r="J552" s="28" t="s">
        <v>5124</v>
      </c>
      <c r="K552" s="28" t="s">
        <v>5131</v>
      </c>
      <c r="L552" s="28" t="s">
        <v>5126</v>
      </c>
      <c r="M552" s="28" t="s">
        <v>3700</v>
      </c>
      <c r="N552" s="28" t="s">
        <v>3697</v>
      </c>
    </row>
    <row r="553" spans="1:14" x14ac:dyDescent="0.2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35" t="s">
        <v>981</v>
      </c>
      <c r="G553" s="28" t="s">
        <v>1527</v>
      </c>
      <c r="H553" s="28" t="s">
        <v>1525</v>
      </c>
      <c r="I553" s="28" t="s">
        <v>5132</v>
      </c>
      <c r="J553" s="28" t="s">
        <v>5133</v>
      </c>
      <c r="K553" s="28" t="s">
        <v>5134</v>
      </c>
      <c r="L553" s="28" t="s">
        <v>5135</v>
      </c>
      <c r="M553" s="28" t="s">
        <v>5136</v>
      </c>
      <c r="N553" s="28" t="s">
        <v>3704</v>
      </c>
    </row>
    <row r="554" spans="1:14" x14ac:dyDescent="0.2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35" t="s">
        <v>977</v>
      </c>
      <c r="G554" s="28" t="s">
        <v>1532</v>
      </c>
      <c r="H554" s="28" t="s">
        <v>1512</v>
      </c>
      <c r="I554" s="28" t="s">
        <v>5137</v>
      </c>
      <c r="J554" s="28" t="s">
        <v>5138</v>
      </c>
      <c r="K554" s="28" t="s">
        <v>5139</v>
      </c>
      <c r="L554" s="28" t="s">
        <v>5140</v>
      </c>
      <c r="M554" s="28" t="s">
        <v>3709</v>
      </c>
      <c r="N554" s="28" t="s">
        <v>3710</v>
      </c>
    </row>
    <row r="555" spans="1:14" x14ac:dyDescent="0.2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35" t="s">
        <v>979</v>
      </c>
      <c r="G555" s="28" t="s">
        <v>1517</v>
      </c>
      <c r="H555" s="28" t="s">
        <v>1518</v>
      </c>
      <c r="I555" s="28" t="s">
        <v>5141</v>
      </c>
      <c r="J555" s="28" t="s">
        <v>5142</v>
      </c>
      <c r="K555" s="28" t="s">
        <v>5143</v>
      </c>
      <c r="L555" s="28" t="s">
        <v>5144</v>
      </c>
      <c r="M555" s="28" t="s">
        <v>5145</v>
      </c>
      <c r="N555" s="28" t="s">
        <v>3890</v>
      </c>
    </row>
    <row r="556" spans="1:14" x14ac:dyDescent="0.2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35" t="s">
        <v>979</v>
      </c>
      <c r="G556" s="28" t="s">
        <v>1533</v>
      </c>
      <c r="H556" s="28" t="s">
        <v>1518</v>
      </c>
      <c r="I556" s="28" t="s">
        <v>5146</v>
      </c>
      <c r="J556" s="28" t="s">
        <v>5142</v>
      </c>
      <c r="K556" s="28" t="s">
        <v>5147</v>
      </c>
      <c r="L556" s="28" t="s">
        <v>5144</v>
      </c>
      <c r="M556" s="28" t="s">
        <v>3889</v>
      </c>
      <c r="N556" s="28" t="s">
        <v>3890</v>
      </c>
    </row>
    <row r="557" spans="1:14" x14ac:dyDescent="0.2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35" t="s">
        <v>979</v>
      </c>
      <c r="G557" s="28" t="s">
        <v>1534</v>
      </c>
      <c r="H557" s="28" t="s">
        <v>1518</v>
      </c>
      <c r="I557" s="28" t="s">
        <v>5148</v>
      </c>
      <c r="J557" s="28" t="s">
        <v>5142</v>
      </c>
      <c r="K557" s="28" t="s">
        <v>5149</v>
      </c>
      <c r="L557" s="28" t="s">
        <v>5144</v>
      </c>
      <c r="M557" s="28" t="s">
        <v>5150</v>
      </c>
      <c r="N557" s="28" t="s">
        <v>3890</v>
      </c>
    </row>
    <row r="558" spans="1:14" x14ac:dyDescent="0.2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35" t="s">
        <v>980</v>
      </c>
      <c r="G558" s="28" t="s">
        <v>1519</v>
      </c>
      <c r="H558" s="28" t="s">
        <v>1520</v>
      </c>
      <c r="I558" s="28" t="s">
        <v>5123</v>
      </c>
      <c r="J558" s="28" t="s">
        <v>5124</v>
      </c>
      <c r="K558" s="28" t="s">
        <v>5151</v>
      </c>
      <c r="L558" s="28" t="s">
        <v>5152</v>
      </c>
      <c r="M558" s="28" t="s">
        <v>3895</v>
      </c>
      <c r="N558" s="28" t="s">
        <v>3718</v>
      </c>
    </row>
    <row r="559" spans="1:14" x14ac:dyDescent="0.2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35" t="s">
        <v>980</v>
      </c>
      <c r="G559" s="28" t="s">
        <v>1521</v>
      </c>
      <c r="H559" s="28" t="s">
        <v>1520</v>
      </c>
      <c r="I559" s="28" t="s">
        <v>5153</v>
      </c>
      <c r="J559" s="28" t="s">
        <v>5124</v>
      </c>
      <c r="K559" s="28" t="s">
        <v>5154</v>
      </c>
      <c r="L559" s="28" t="s">
        <v>5152</v>
      </c>
      <c r="M559" s="28" t="s">
        <v>5155</v>
      </c>
      <c r="N559" s="28" t="s">
        <v>3718</v>
      </c>
    </row>
    <row r="560" spans="1:14" x14ac:dyDescent="0.2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35" t="s">
        <v>980</v>
      </c>
      <c r="G560" s="28" t="s">
        <v>1522</v>
      </c>
      <c r="H560" s="28" t="s">
        <v>1520</v>
      </c>
      <c r="I560" s="28" t="s">
        <v>5128</v>
      </c>
      <c r="J560" s="28" t="s">
        <v>5124</v>
      </c>
      <c r="K560" s="28" t="s">
        <v>5156</v>
      </c>
      <c r="L560" s="28" t="s">
        <v>5152</v>
      </c>
      <c r="M560" s="28" t="s">
        <v>3717</v>
      </c>
      <c r="N560" s="28" t="s">
        <v>3718</v>
      </c>
    </row>
    <row r="561" spans="1:14" x14ac:dyDescent="0.2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35" t="s">
        <v>977</v>
      </c>
      <c r="G561" s="28" t="s">
        <v>1532</v>
      </c>
      <c r="H561" s="28" t="s">
        <v>1512</v>
      </c>
      <c r="I561" s="28" t="s">
        <v>5137</v>
      </c>
      <c r="J561" s="28" t="s">
        <v>5138</v>
      </c>
      <c r="K561" s="28" t="s">
        <v>5157</v>
      </c>
      <c r="L561" s="28" t="s">
        <v>5158</v>
      </c>
      <c r="M561" s="28" t="s">
        <v>3727</v>
      </c>
      <c r="N561" s="28" t="s">
        <v>3728</v>
      </c>
    </row>
    <row r="562" spans="1:14" x14ac:dyDescent="0.2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35" t="s">
        <v>979</v>
      </c>
      <c r="G562" s="28" t="s">
        <v>1533</v>
      </c>
      <c r="H562" s="28" t="s">
        <v>1518</v>
      </c>
      <c r="I562" s="28" t="s">
        <v>5146</v>
      </c>
      <c r="J562" s="28" t="s">
        <v>5142</v>
      </c>
      <c r="K562" s="28" t="s">
        <v>5159</v>
      </c>
      <c r="L562" s="28" t="s">
        <v>5160</v>
      </c>
      <c r="M562" s="28" t="s">
        <v>3908</v>
      </c>
      <c r="N562" s="28" t="s">
        <v>3909</v>
      </c>
    </row>
    <row r="563" spans="1:14" x14ac:dyDescent="0.2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35" t="s">
        <v>979</v>
      </c>
      <c r="G563" s="28" t="s">
        <v>1534</v>
      </c>
      <c r="H563" s="28" t="s">
        <v>1518</v>
      </c>
      <c r="I563" s="28" t="s">
        <v>5148</v>
      </c>
      <c r="J563" s="28" t="s">
        <v>5142</v>
      </c>
      <c r="K563" s="28" t="s">
        <v>5161</v>
      </c>
      <c r="L563" s="28" t="s">
        <v>5160</v>
      </c>
      <c r="M563" s="28" t="s">
        <v>3911</v>
      </c>
      <c r="N563" s="28" t="s">
        <v>3909</v>
      </c>
    </row>
    <row r="564" spans="1:14" x14ac:dyDescent="0.2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35" t="s">
        <v>979</v>
      </c>
      <c r="G564" s="28" t="s">
        <v>1526</v>
      </c>
      <c r="H564" s="28" t="s">
        <v>1518</v>
      </c>
      <c r="I564" s="28" t="s">
        <v>5162</v>
      </c>
      <c r="J564" s="28" t="s">
        <v>5142</v>
      </c>
      <c r="K564" s="28" t="s">
        <v>5163</v>
      </c>
      <c r="L564" s="28" t="s">
        <v>5160</v>
      </c>
      <c r="M564" s="28" t="s">
        <v>3913</v>
      </c>
      <c r="N564" s="28" t="s">
        <v>3909</v>
      </c>
    </row>
    <row r="565" spans="1:14" x14ac:dyDescent="0.2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35" t="s">
        <v>980</v>
      </c>
      <c r="G565" s="28" t="s">
        <v>1519</v>
      </c>
      <c r="H565" s="28" t="s">
        <v>1520</v>
      </c>
      <c r="I565" s="28" t="s">
        <v>5123</v>
      </c>
      <c r="J565" s="28" t="s">
        <v>5124</v>
      </c>
      <c r="K565" s="28" t="s">
        <v>5164</v>
      </c>
      <c r="L565" s="28" t="s">
        <v>5165</v>
      </c>
      <c r="M565" s="28" t="s">
        <v>5166</v>
      </c>
      <c r="N565" s="28" t="s">
        <v>3732</v>
      </c>
    </row>
    <row r="566" spans="1:14" x14ac:dyDescent="0.2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35" t="s">
        <v>980</v>
      </c>
      <c r="G566" s="28" t="s">
        <v>1521</v>
      </c>
      <c r="H566" s="28" t="s">
        <v>1520</v>
      </c>
      <c r="I566" s="28" t="s">
        <v>5153</v>
      </c>
      <c r="J566" s="28" t="s">
        <v>5124</v>
      </c>
      <c r="K566" s="28" t="s">
        <v>5167</v>
      </c>
      <c r="L566" s="28" t="s">
        <v>5165</v>
      </c>
      <c r="M566" s="28" t="s">
        <v>5168</v>
      </c>
      <c r="N566" s="28" t="s">
        <v>3732</v>
      </c>
    </row>
    <row r="567" spans="1:14" x14ac:dyDescent="0.2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35" t="s">
        <v>980</v>
      </c>
      <c r="G567" s="28" t="s">
        <v>1523</v>
      </c>
      <c r="H567" s="28" t="s">
        <v>1520</v>
      </c>
      <c r="I567" s="28" t="s">
        <v>5130</v>
      </c>
      <c r="J567" s="28" t="s">
        <v>5124</v>
      </c>
      <c r="K567" s="28" t="s">
        <v>5169</v>
      </c>
      <c r="L567" s="28" t="s">
        <v>5165</v>
      </c>
      <c r="M567" s="28" t="s">
        <v>3731</v>
      </c>
      <c r="N567" s="28" t="s">
        <v>3732</v>
      </c>
    </row>
    <row r="568" spans="1:14" x14ac:dyDescent="0.2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35" t="s">
        <v>981</v>
      </c>
      <c r="G568" s="28" t="s">
        <v>1524</v>
      </c>
      <c r="H568" s="28" t="s">
        <v>1525</v>
      </c>
      <c r="I568" s="28" t="s">
        <v>5170</v>
      </c>
      <c r="J568" s="28" t="s">
        <v>5133</v>
      </c>
      <c r="K568" s="28" t="s">
        <v>5171</v>
      </c>
      <c r="L568" s="28" t="s">
        <v>5172</v>
      </c>
      <c r="M568" s="28" t="s">
        <v>3740</v>
      </c>
      <c r="N568" s="28" t="s">
        <v>3736</v>
      </c>
    </row>
    <row r="569" spans="1:14" x14ac:dyDescent="0.2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35" t="s">
        <v>980</v>
      </c>
      <c r="G569" s="28" t="s">
        <v>1519</v>
      </c>
      <c r="H569" s="28" t="s">
        <v>1520</v>
      </c>
      <c r="I569" s="28" t="s">
        <v>5123</v>
      </c>
      <c r="J569" s="28" t="s">
        <v>5124</v>
      </c>
      <c r="K569" s="28" t="s">
        <v>5173</v>
      </c>
      <c r="L569" s="28" t="s">
        <v>5174</v>
      </c>
      <c r="M569" s="28" t="s">
        <v>5175</v>
      </c>
      <c r="N569" s="28" t="s">
        <v>3759</v>
      </c>
    </row>
    <row r="570" spans="1:14" x14ac:dyDescent="0.2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35" t="s">
        <v>980</v>
      </c>
      <c r="G570" s="28" t="s">
        <v>1522</v>
      </c>
      <c r="H570" s="28" t="s">
        <v>1520</v>
      </c>
      <c r="I570" s="28" t="s">
        <v>5128</v>
      </c>
      <c r="J570" s="28" t="s">
        <v>5124</v>
      </c>
      <c r="K570" s="28" t="s">
        <v>5176</v>
      </c>
      <c r="L570" s="28" t="s">
        <v>5174</v>
      </c>
      <c r="M570" s="28" t="s">
        <v>3761</v>
      </c>
      <c r="N570" s="28" t="s">
        <v>3759</v>
      </c>
    </row>
    <row r="571" spans="1:14" x14ac:dyDescent="0.2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35" t="s">
        <v>980</v>
      </c>
      <c r="G571" s="28" t="s">
        <v>1523</v>
      </c>
      <c r="H571" s="28" t="s">
        <v>1520</v>
      </c>
      <c r="I571" s="28" t="s">
        <v>5130</v>
      </c>
      <c r="J571" s="28" t="s">
        <v>5124</v>
      </c>
      <c r="K571" s="28" t="s">
        <v>5177</v>
      </c>
      <c r="L571" s="28" t="s">
        <v>5174</v>
      </c>
      <c r="M571" s="28" t="s">
        <v>3763</v>
      </c>
      <c r="N571" s="28" t="s">
        <v>3759</v>
      </c>
    </row>
    <row r="572" spans="1:14" x14ac:dyDescent="0.2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35" t="s">
        <v>981</v>
      </c>
      <c r="G572" s="28" t="s">
        <v>1527</v>
      </c>
      <c r="H572" s="28" t="s">
        <v>1525</v>
      </c>
      <c r="I572" s="28" t="s">
        <v>5132</v>
      </c>
      <c r="J572" s="28" t="s">
        <v>5133</v>
      </c>
      <c r="K572" s="28" t="s">
        <v>5178</v>
      </c>
      <c r="L572" s="28" t="s">
        <v>5179</v>
      </c>
      <c r="M572" s="28" t="s">
        <v>3766</v>
      </c>
      <c r="N572" s="28" t="s">
        <v>3767</v>
      </c>
    </row>
    <row r="573" spans="1:14" x14ac:dyDescent="0.2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35" t="s">
        <v>977</v>
      </c>
      <c r="G573" s="28" t="s">
        <v>1513</v>
      </c>
      <c r="H573" s="28" t="s">
        <v>1512</v>
      </c>
      <c r="I573" s="28" t="s">
        <v>5180</v>
      </c>
      <c r="J573" s="28" t="s">
        <v>5138</v>
      </c>
      <c r="K573" s="28" t="s">
        <v>5181</v>
      </c>
      <c r="L573" s="28" t="s">
        <v>5182</v>
      </c>
      <c r="M573" s="28" t="s">
        <v>3646</v>
      </c>
      <c r="N573" s="28" t="s">
        <v>3647</v>
      </c>
    </row>
    <row r="574" spans="1:14" x14ac:dyDescent="0.2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35" t="s">
        <v>978</v>
      </c>
      <c r="G574" s="28" t="s">
        <v>1529</v>
      </c>
      <c r="H574" s="28" t="s">
        <v>1515</v>
      </c>
      <c r="I574" s="28" t="s">
        <v>5183</v>
      </c>
      <c r="J574" s="28" t="s">
        <v>5184</v>
      </c>
      <c r="K574" s="28" t="s">
        <v>5185</v>
      </c>
      <c r="L574" s="28" t="s">
        <v>5186</v>
      </c>
      <c r="M574" s="28" t="s">
        <v>3952</v>
      </c>
      <c r="N574" s="28" t="s">
        <v>3923</v>
      </c>
    </row>
    <row r="575" spans="1:14" x14ac:dyDescent="0.2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35" t="s">
        <v>978</v>
      </c>
      <c r="G575" s="28" t="s">
        <v>1516</v>
      </c>
      <c r="H575" s="28" t="s">
        <v>1515</v>
      </c>
      <c r="I575" s="28" t="s">
        <v>5187</v>
      </c>
      <c r="J575" s="28" t="s">
        <v>5184</v>
      </c>
      <c r="K575" s="28" t="s">
        <v>5188</v>
      </c>
      <c r="L575" s="28" t="s">
        <v>5186</v>
      </c>
      <c r="M575" s="28" t="s">
        <v>3925</v>
      </c>
      <c r="N575" s="28" t="s">
        <v>3923</v>
      </c>
    </row>
    <row r="576" spans="1:14" x14ac:dyDescent="0.2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35" t="s">
        <v>978</v>
      </c>
      <c r="G576" s="28" t="s">
        <v>1530</v>
      </c>
      <c r="H576" s="28" t="s">
        <v>1515</v>
      </c>
      <c r="I576" s="28" t="s">
        <v>5189</v>
      </c>
      <c r="J576" s="28" t="s">
        <v>5184</v>
      </c>
      <c r="K576" s="28" t="s">
        <v>5190</v>
      </c>
      <c r="L576" s="28" t="s">
        <v>5186</v>
      </c>
      <c r="M576" s="28" t="s">
        <v>3927</v>
      </c>
      <c r="N576" s="28" t="s">
        <v>3923</v>
      </c>
    </row>
    <row r="577" spans="1:14" x14ac:dyDescent="0.2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35" t="s">
        <v>978</v>
      </c>
      <c r="G577" s="28" t="s">
        <v>1531</v>
      </c>
      <c r="H577" s="28" t="s">
        <v>1515</v>
      </c>
      <c r="I577" s="28" t="s">
        <v>5191</v>
      </c>
      <c r="J577" s="28" t="s">
        <v>5184</v>
      </c>
      <c r="K577" s="28" t="s">
        <v>5192</v>
      </c>
      <c r="L577" s="28" t="s">
        <v>5186</v>
      </c>
      <c r="M577" s="28" t="s">
        <v>3954</v>
      </c>
      <c r="N577" s="28" t="s">
        <v>3923</v>
      </c>
    </row>
    <row r="578" spans="1:14" x14ac:dyDescent="0.2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35" t="s">
        <v>979</v>
      </c>
      <c r="G578" s="28" t="s">
        <v>1517</v>
      </c>
      <c r="H578" s="28" t="s">
        <v>1518</v>
      </c>
      <c r="I578" s="28" t="s">
        <v>5141</v>
      </c>
      <c r="J578" s="28" t="s">
        <v>5142</v>
      </c>
      <c r="K578" s="28" t="s">
        <v>5193</v>
      </c>
      <c r="L578" s="28" t="s">
        <v>5194</v>
      </c>
      <c r="M578" s="28" t="s">
        <v>3930</v>
      </c>
      <c r="N578" s="28" t="s">
        <v>3652</v>
      </c>
    </row>
    <row r="579" spans="1:14" x14ac:dyDescent="0.2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35" t="s">
        <v>979</v>
      </c>
      <c r="G579" s="28" t="s">
        <v>1533</v>
      </c>
      <c r="H579" s="28" t="s">
        <v>1518</v>
      </c>
      <c r="I579" s="28" t="s">
        <v>5146</v>
      </c>
      <c r="J579" s="28" t="s">
        <v>5142</v>
      </c>
      <c r="K579" s="28" t="s">
        <v>5195</v>
      </c>
      <c r="L579" s="28" t="s">
        <v>5194</v>
      </c>
      <c r="M579" s="28" t="s">
        <v>3932</v>
      </c>
      <c r="N579" s="28" t="s">
        <v>3652</v>
      </c>
    </row>
    <row r="580" spans="1:14" x14ac:dyDescent="0.2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35" t="s">
        <v>979</v>
      </c>
      <c r="G580" s="28" t="s">
        <v>1534</v>
      </c>
      <c r="H580" s="28" t="s">
        <v>1518</v>
      </c>
      <c r="I580" s="28" t="s">
        <v>5148</v>
      </c>
      <c r="J580" s="28" t="s">
        <v>5142</v>
      </c>
      <c r="K580" s="28" t="s">
        <v>5196</v>
      </c>
      <c r="L580" s="28" t="s">
        <v>5194</v>
      </c>
      <c r="M580" s="28" t="s">
        <v>3934</v>
      </c>
      <c r="N580" s="28" t="s">
        <v>3652</v>
      </c>
    </row>
    <row r="581" spans="1:14" x14ac:dyDescent="0.2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35" t="s">
        <v>979</v>
      </c>
      <c r="G581" s="28" t="s">
        <v>1526</v>
      </c>
      <c r="H581" s="28" t="s">
        <v>1518</v>
      </c>
      <c r="I581" s="28" t="s">
        <v>5162</v>
      </c>
      <c r="J581" s="28" t="s">
        <v>5142</v>
      </c>
      <c r="K581" s="28" t="s">
        <v>5197</v>
      </c>
      <c r="L581" s="28" t="s">
        <v>5194</v>
      </c>
      <c r="M581" s="28" t="s">
        <v>3651</v>
      </c>
      <c r="N581" s="28" t="s">
        <v>3652</v>
      </c>
    </row>
    <row r="582" spans="1:14" x14ac:dyDescent="0.2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35" t="s">
        <v>980</v>
      </c>
      <c r="G582" s="28" t="s">
        <v>1521</v>
      </c>
      <c r="H582" s="28" t="s">
        <v>1520</v>
      </c>
      <c r="I582" s="28" t="s">
        <v>5153</v>
      </c>
      <c r="J582" s="28" t="s">
        <v>5124</v>
      </c>
      <c r="K582" s="28" t="s">
        <v>5198</v>
      </c>
      <c r="L582" s="28" t="s">
        <v>5199</v>
      </c>
      <c r="M582" s="28" t="s">
        <v>3939</v>
      </c>
      <c r="N582" s="28" t="s">
        <v>3656</v>
      </c>
    </row>
    <row r="583" spans="1:14" x14ac:dyDescent="0.2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35" t="s">
        <v>980</v>
      </c>
      <c r="G583" s="28" t="s">
        <v>1522</v>
      </c>
      <c r="H583" s="28" t="s">
        <v>1520</v>
      </c>
      <c r="I583" s="28" t="s">
        <v>5128</v>
      </c>
      <c r="J583" s="28" t="s">
        <v>5124</v>
      </c>
      <c r="K583" s="28" t="s">
        <v>5200</v>
      </c>
      <c r="L583" s="28" t="s">
        <v>5199</v>
      </c>
      <c r="M583" s="28" t="s">
        <v>3941</v>
      </c>
      <c r="N583" s="28" t="s">
        <v>3656</v>
      </c>
    </row>
    <row r="584" spans="1:14" x14ac:dyDescent="0.2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35" t="s">
        <v>980</v>
      </c>
      <c r="G584" s="28" t="s">
        <v>1523</v>
      </c>
      <c r="H584" s="28" t="s">
        <v>1520</v>
      </c>
      <c r="I584" s="28" t="s">
        <v>5130</v>
      </c>
      <c r="J584" s="28" t="s">
        <v>5124</v>
      </c>
      <c r="K584" s="28" t="s">
        <v>5201</v>
      </c>
      <c r="L584" s="28" t="s">
        <v>5199</v>
      </c>
      <c r="M584" s="28" t="s">
        <v>5202</v>
      </c>
      <c r="N584" s="28" t="s">
        <v>3656</v>
      </c>
    </row>
    <row r="585" spans="1:14" x14ac:dyDescent="0.2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35" t="s">
        <v>981</v>
      </c>
      <c r="G585" s="28" t="s">
        <v>1527</v>
      </c>
      <c r="H585" s="28" t="s">
        <v>1525</v>
      </c>
      <c r="I585" s="28" t="s">
        <v>5132</v>
      </c>
      <c r="J585" s="28" t="s">
        <v>5133</v>
      </c>
      <c r="K585" s="28" t="s">
        <v>5203</v>
      </c>
      <c r="L585" s="28" t="s">
        <v>5204</v>
      </c>
      <c r="M585" s="28" t="s">
        <v>5205</v>
      </c>
      <c r="N585" s="28" t="s">
        <v>3945</v>
      </c>
    </row>
    <row r="586" spans="1:14" x14ac:dyDescent="0.2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35" t="s">
        <v>981</v>
      </c>
      <c r="G586" s="28" t="s">
        <v>1524</v>
      </c>
      <c r="H586" s="28" t="s">
        <v>1525</v>
      </c>
      <c r="I586" s="28" t="s">
        <v>5170</v>
      </c>
      <c r="J586" s="28" t="s">
        <v>5133</v>
      </c>
      <c r="K586" s="28" t="s">
        <v>5206</v>
      </c>
      <c r="L586" s="28" t="s">
        <v>5204</v>
      </c>
      <c r="M586" s="28" t="s">
        <v>3947</v>
      </c>
      <c r="N586" s="28" t="s">
        <v>3945</v>
      </c>
    </row>
    <row r="587" spans="1:14" x14ac:dyDescent="0.2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35" t="s">
        <v>994</v>
      </c>
      <c r="G587" s="28" t="s">
        <v>1640</v>
      </c>
      <c r="H587" s="28" t="s">
        <v>1641</v>
      </c>
      <c r="I587" s="28" t="s">
        <v>5207</v>
      </c>
      <c r="J587" s="28" t="s">
        <v>5208</v>
      </c>
      <c r="K587" s="28" t="s">
        <v>5209</v>
      </c>
      <c r="L587" s="28" t="s">
        <v>5210</v>
      </c>
      <c r="M587" s="28" t="s">
        <v>5211</v>
      </c>
      <c r="N587" s="28" t="s">
        <v>5212</v>
      </c>
    </row>
    <row r="588" spans="1:14" x14ac:dyDescent="0.2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35" t="s">
        <v>993</v>
      </c>
      <c r="G588" s="28" t="s">
        <v>1642</v>
      </c>
      <c r="H588" s="28" t="s">
        <v>1631</v>
      </c>
      <c r="I588" s="28" t="s">
        <v>5213</v>
      </c>
      <c r="J588" s="28" t="s">
        <v>5214</v>
      </c>
      <c r="K588" s="28" t="s">
        <v>5215</v>
      </c>
      <c r="L588" s="28" t="s">
        <v>5216</v>
      </c>
      <c r="M588" s="28" t="s">
        <v>5217</v>
      </c>
      <c r="N588" s="28" t="s">
        <v>4840</v>
      </c>
    </row>
    <row r="589" spans="1:14" x14ac:dyDescent="0.2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35" t="s">
        <v>993</v>
      </c>
      <c r="G589" s="28" t="s">
        <v>1643</v>
      </c>
      <c r="H589" s="28" t="s">
        <v>1631</v>
      </c>
      <c r="I589" s="28" t="s">
        <v>5218</v>
      </c>
      <c r="J589" s="28" t="s">
        <v>5214</v>
      </c>
      <c r="K589" s="28" t="s">
        <v>5219</v>
      </c>
      <c r="L589" s="28" t="s">
        <v>5216</v>
      </c>
      <c r="M589" s="28" t="s">
        <v>5220</v>
      </c>
      <c r="N589" s="28" t="s">
        <v>4840</v>
      </c>
    </row>
    <row r="590" spans="1:14" x14ac:dyDescent="0.2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35" t="s">
        <v>985</v>
      </c>
      <c r="G590" s="28" t="s">
        <v>1591</v>
      </c>
      <c r="H590" s="28" t="s">
        <v>1592</v>
      </c>
      <c r="I590" s="28" t="s">
        <v>5221</v>
      </c>
      <c r="J590" s="28" t="s">
        <v>5222</v>
      </c>
      <c r="K590" s="28" t="s">
        <v>5223</v>
      </c>
      <c r="L590" s="28" t="s">
        <v>5224</v>
      </c>
      <c r="M590" s="28" t="s">
        <v>4856</v>
      </c>
      <c r="N590" s="28" t="s">
        <v>4854</v>
      </c>
    </row>
    <row r="591" spans="1:14" x14ac:dyDescent="0.2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35" t="s">
        <v>985</v>
      </c>
      <c r="G591" s="28" t="s">
        <v>1620</v>
      </c>
      <c r="H591" s="28" t="s">
        <v>1592</v>
      </c>
      <c r="I591" s="28" t="s">
        <v>5225</v>
      </c>
      <c r="J591" s="28" t="s">
        <v>5222</v>
      </c>
      <c r="K591" s="28" t="s">
        <v>5226</v>
      </c>
      <c r="L591" s="28" t="s">
        <v>5224</v>
      </c>
      <c r="M591" s="28" t="s">
        <v>4858</v>
      </c>
      <c r="N591" s="28" t="s">
        <v>4854</v>
      </c>
    </row>
    <row r="592" spans="1:14" x14ac:dyDescent="0.2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35" t="s">
        <v>986</v>
      </c>
      <c r="G592" s="28" t="s">
        <v>1593</v>
      </c>
      <c r="H592" s="28" t="s">
        <v>1594</v>
      </c>
      <c r="I592" s="28" t="s">
        <v>5227</v>
      </c>
      <c r="J592" s="28" t="s">
        <v>5228</v>
      </c>
      <c r="K592" s="28" t="s">
        <v>5229</v>
      </c>
      <c r="L592" s="28" t="s">
        <v>5230</v>
      </c>
      <c r="M592" s="28" t="s">
        <v>4861</v>
      </c>
      <c r="N592" s="28" t="s">
        <v>4862</v>
      </c>
    </row>
    <row r="593" spans="1:14" x14ac:dyDescent="0.2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35" t="s">
        <v>986</v>
      </c>
      <c r="G593" s="28" t="s">
        <v>1595</v>
      </c>
      <c r="H593" s="28" t="s">
        <v>1594</v>
      </c>
      <c r="I593" s="28" t="s">
        <v>5231</v>
      </c>
      <c r="J593" s="28" t="s">
        <v>5228</v>
      </c>
      <c r="K593" s="28" t="s">
        <v>5232</v>
      </c>
      <c r="L593" s="28" t="s">
        <v>5230</v>
      </c>
      <c r="M593" s="28" t="s">
        <v>4864</v>
      </c>
      <c r="N593" s="28" t="s">
        <v>4862</v>
      </c>
    </row>
    <row r="594" spans="1:14" x14ac:dyDescent="0.2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35" t="s">
        <v>986</v>
      </c>
      <c r="G594" s="28" t="s">
        <v>1596</v>
      </c>
      <c r="H594" s="28" t="s">
        <v>1594</v>
      </c>
      <c r="I594" s="28" t="s">
        <v>5233</v>
      </c>
      <c r="J594" s="28" t="s">
        <v>5228</v>
      </c>
      <c r="K594" s="28" t="s">
        <v>5234</v>
      </c>
      <c r="L594" s="28" t="s">
        <v>5230</v>
      </c>
      <c r="M594" s="28" t="s">
        <v>5235</v>
      </c>
      <c r="N594" s="28" t="s">
        <v>4862</v>
      </c>
    </row>
    <row r="595" spans="1:14" x14ac:dyDescent="0.2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35" t="s">
        <v>986</v>
      </c>
      <c r="G595" s="28" t="s">
        <v>1597</v>
      </c>
      <c r="H595" s="28" t="s">
        <v>1594</v>
      </c>
      <c r="I595" s="28" t="s">
        <v>5236</v>
      </c>
      <c r="J595" s="28" t="s">
        <v>5228</v>
      </c>
      <c r="K595" s="28" t="s">
        <v>5237</v>
      </c>
      <c r="L595" s="28" t="s">
        <v>5230</v>
      </c>
      <c r="M595" s="28" t="s">
        <v>4866</v>
      </c>
      <c r="N595" s="28" t="s">
        <v>4862</v>
      </c>
    </row>
    <row r="596" spans="1:14" x14ac:dyDescent="0.2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35" t="s">
        <v>986</v>
      </c>
      <c r="G596" s="28" t="s">
        <v>1621</v>
      </c>
      <c r="H596" s="28" t="s">
        <v>1594</v>
      </c>
      <c r="I596" s="28" t="s">
        <v>5238</v>
      </c>
      <c r="J596" s="28" t="s">
        <v>5228</v>
      </c>
      <c r="K596" s="28" t="s">
        <v>5239</v>
      </c>
      <c r="L596" s="28" t="s">
        <v>5230</v>
      </c>
      <c r="M596" s="28" t="s">
        <v>4868</v>
      </c>
      <c r="N596" s="28" t="s">
        <v>4862</v>
      </c>
    </row>
    <row r="597" spans="1:14" x14ac:dyDescent="0.2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35" t="s">
        <v>987</v>
      </c>
      <c r="G597" s="28" t="s">
        <v>1600</v>
      </c>
      <c r="H597" s="28" t="s">
        <v>1599</v>
      </c>
      <c r="I597" s="28" t="s">
        <v>5240</v>
      </c>
      <c r="J597" s="28" t="s">
        <v>5241</v>
      </c>
      <c r="K597" s="28" t="s">
        <v>5242</v>
      </c>
      <c r="L597" s="28" t="s">
        <v>5243</v>
      </c>
      <c r="M597" s="28" t="s">
        <v>4874</v>
      </c>
      <c r="N597" s="28" t="s">
        <v>4872</v>
      </c>
    </row>
    <row r="598" spans="1:14" x14ac:dyDescent="0.2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35" t="s">
        <v>987</v>
      </c>
      <c r="G598" s="28" t="s">
        <v>1601</v>
      </c>
      <c r="H598" s="28" t="s">
        <v>1599</v>
      </c>
      <c r="I598" s="28" t="s">
        <v>5244</v>
      </c>
      <c r="J598" s="28" t="s">
        <v>5241</v>
      </c>
      <c r="K598" s="28" t="s">
        <v>5245</v>
      </c>
      <c r="L598" s="28" t="s">
        <v>5243</v>
      </c>
      <c r="M598" s="28" t="s">
        <v>5246</v>
      </c>
      <c r="N598" s="28" t="s">
        <v>4872</v>
      </c>
    </row>
    <row r="599" spans="1:14" x14ac:dyDescent="0.2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35" t="s">
        <v>987</v>
      </c>
      <c r="G599" s="28" t="s">
        <v>1622</v>
      </c>
      <c r="H599" s="28" t="s">
        <v>1599</v>
      </c>
      <c r="I599" s="28" t="s">
        <v>5247</v>
      </c>
      <c r="J599" s="28" t="s">
        <v>5241</v>
      </c>
      <c r="K599" s="28" t="s">
        <v>5248</v>
      </c>
      <c r="L599" s="28" t="s">
        <v>5243</v>
      </c>
      <c r="M599" s="28" t="s">
        <v>4876</v>
      </c>
      <c r="N599" s="28" t="s">
        <v>4872</v>
      </c>
    </row>
    <row r="600" spans="1:14" x14ac:dyDescent="0.2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35" t="s">
        <v>988</v>
      </c>
      <c r="G600" s="28" t="s">
        <v>1634</v>
      </c>
      <c r="H600" s="28" t="s">
        <v>1603</v>
      </c>
      <c r="I600" s="28" t="s">
        <v>5249</v>
      </c>
      <c r="J600" s="28" t="s">
        <v>5250</v>
      </c>
      <c r="K600" s="28" t="s">
        <v>5251</v>
      </c>
      <c r="L600" s="28" t="s">
        <v>5252</v>
      </c>
      <c r="M600" s="28" t="s">
        <v>4880</v>
      </c>
      <c r="N600" s="28" t="s">
        <v>4881</v>
      </c>
    </row>
    <row r="601" spans="1:14" x14ac:dyDescent="0.2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35" t="s">
        <v>988</v>
      </c>
      <c r="G601" s="28" t="s">
        <v>1602</v>
      </c>
      <c r="H601" s="28" t="s">
        <v>1603</v>
      </c>
      <c r="I601" s="28" t="s">
        <v>5253</v>
      </c>
      <c r="J601" s="28" t="s">
        <v>5250</v>
      </c>
      <c r="K601" s="28" t="s">
        <v>5254</v>
      </c>
      <c r="L601" s="28" t="s">
        <v>5252</v>
      </c>
      <c r="M601" s="28" t="s">
        <v>5255</v>
      </c>
      <c r="N601" s="28" t="s">
        <v>4881</v>
      </c>
    </row>
    <row r="602" spans="1:14" x14ac:dyDescent="0.2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35" t="s">
        <v>988</v>
      </c>
      <c r="G602" s="28" t="s">
        <v>1635</v>
      </c>
      <c r="H602" s="28" t="s">
        <v>1603</v>
      </c>
      <c r="I602" s="28" t="s">
        <v>5256</v>
      </c>
      <c r="J602" s="28" t="s">
        <v>5250</v>
      </c>
      <c r="K602" s="28" t="s">
        <v>5257</v>
      </c>
      <c r="L602" s="28" t="s">
        <v>5252</v>
      </c>
      <c r="M602" s="28" t="s">
        <v>4884</v>
      </c>
      <c r="N602" s="28" t="s">
        <v>4881</v>
      </c>
    </row>
    <row r="603" spans="1:14" x14ac:dyDescent="0.2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35" t="s">
        <v>988</v>
      </c>
      <c r="G603" s="28" t="s">
        <v>1623</v>
      </c>
      <c r="H603" s="28" t="s">
        <v>1603</v>
      </c>
      <c r="I603" s="28" t="s">
        <v>5258</v>
      </c>
      <c r="J603" s="28" t="s">
        <v>5250</v>
      </c>
      <c r="K603" s="28" t="s">
        <v>5259</v>
      </c>
      <c r="L603" s="28" t="s">
        <v>5252</v>
      </c>
      <c r="M603" s="28" t="s">
        <v>4886</v>
      </c>
      <c r="N603" s="28" t="s">
        <v>4881</v>
      </c>
    </row>
    <row r="604" spans="1:14" x14ac:dyDescent="0.2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35" t="s">
        <v>988</v>
      </c>
      <c r="G604" s="28" t="s">
        <v>1604</v>
      </c>
      <c r="H604" s="28" t="s">
        <v>1603</v>
      </c>
      <c r="I604" s="28" t="s">
        <v>5260</v>
      </c>
      <c r="J604" s="28" t="s">
        <v>5250</v>
      </c>
      <c r="K604" s="28" t="s">
        <v>5261</v>
      </c>
      <c r="L604" s="28" t="s">
        <v>5252</v>
      </c>
      <c r="M604" s="28" t="s">
        <v>4888</v>
      </c>
      <c r="N604" s="28" t="s">
        <v>4881</v>
      </c>
    </row>
    <row r="605" spans="1:14" x14ac:dyDescent="0.2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35" t="s">
        <v>989</v>
      </c>
      <c r="G605" s="28" t="s">
        <v>1605</v>
      </c>
      <c r="H605" s="28" t="s">
        <v>1606</v>
      </c>
      <c r="I605" s="28" t="s">
        <v>5262</v>
      </c>
      <c r="J605" s="28" t="s">
        <v>5263</v>
      </c>
      <c r="K605" s="28" t="s">
        <v>5264</v>
      </c>
      <c r="L605" s="28" t="s">
        <v>5265</v>
      </c>
      <c r="M605" s="28" t="s">
        <v>4891</v>
      </c>
      <c r="N605" s="28" t="s">
        <v>4892</v>
      </c>
    </row>
    <row r="606" spans="1:14" x14ac:dyDescent="0.2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35" t="s">
        <v>989</v>
      </c>
      <c r="G606" s="28" t="s">
        <v>1624</v>
      </c>
      <c r="H606" s="28" t="s">
        <v>1606</v>
      </c>
      <c r="I606" s="28" t="s">
        <v>5266</v>
      </c>
      <c r="J606" s="28" t="s">
        <v>5263</v>
      </c>
      <c r="K606" s="28" t="s">
        <v>5267</v>
      </c>
      <c r="L606" s="28" t="s">
        <v>5265</v>
      </c>
      <c r="M606" s="28" t="s">
        <v>4894</v>
      </c>
      <c r="N606" s="28" t="s">
        <v>4892</v>
      </c>
    </row>
    <row r="607" spans="1:14" x14ac:dyDescent="0.2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35" t="s">
        <v>989</v>
      </c>
      <c r="G607" s="28" t="s">
        <v>1625</v>
      </c>
      <c r="H607" s="28" t="s">
        <v>1606</v>
      </c>
      <c r="I607" s="28" t="s">
        <v>5268</v>
      </c>
      <c r="J607" s="28" t="s">
        <v>5263</v>
      </c>
      <c r="K607" s="28" t="s">
        <v>5269</v>
      </c>
      <c r="L607" s="28" t="s">
        <v>5265</v>
      </c>
      <c r="M607" s="28" t="s">
        <v>4896</v>
      </c>
      <c r="N607" s="28" t="s">
        <v>4892</v>
      </c>
    </row>
    <row r="608" spans="1:14" x14ac:dyDescent="0.2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35" t="s">
        <v>989</v>
      </c>
      <c r="G608" s="28" t="s">
        <v>1626</v>
      </c>
      <c r="H608" s="28" t="s">
        <v>1606</v>
      </c>
      <c r="I608" s="28" t="s">
        <v>5270</v>
      </c>
      <c r="J608" s="28" t="s">
        <v>5263</v>
      </c>
      <c r="K608" s="28" t="s">
        <v>5271</v>
      </c>
      <c r="L608" s="28" t="s">
        <v>5265</v>
      </c>
      <c r="M608" s="28" t="s">
        <v>4898</v>
      </c>
      <c r="N608" s="28" t="s">
        <v>4892</v>
      </c>
    </row>
    <row r="609" spans="1:14" x14ac:dyDescent="0.2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35" t="s">
        <v>990</v>
      </c>
      <c r="G609" s="28" t="s">
        <v>1627</v>
      </c>
      <c r="H609" s="28" t="s">
        <v>1608</v>
      </c>
      <c r="I609" s="28" t="s">
        <v>5272</v>
      </c>
      <c r="J609" s="28" t="s">
        <v>5273</v>
      </c>
      <c r="K609" s="28" t="s">
        <v>5274</v>
      </c>
      <c r="L609" s="28" t="s">
        <v>5275</v>
      </c>
      <c r="M609" s="28" t="s">
        <v>4901</v>
      </c>
      <c r="N609" s="28" t="s">
        <v>4902</v>
      </c>
    </row>
    <row r="610" spans="1:14" x14ac:dyDescent="0.2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35" t="s">
        <v>990</v>
      </c>
      <c r="G610" s="28" t="s">
        <v>1607</v>
      </c>
      <c r="H610" s="28" t="s">
        <v>1608</v>
      </c>
      <c r="I610" s="28" t="s">
        <v>5276</v>
      </c>
      <c r="J610" s="28" t="s">
        <v>5273</v>
      </c>
      <c r="K610" s="28" t="s">
        <v>5277</v>
      </c>
      <c r="L610" s="28" t="s">
        <v>5275</v>
      </c>
      <c r="M610" s="28" t="s">
        <v>4904</v>
      </c>
      <c r="N610" s="28" t="s">
        <v>4902</v>
      </c>
    </row>
    <row r="611" spans="1:14" x14ac:dyDescent="0.2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35" t="s">
        <v>990</v>
      </c>
      <c r="G611" s="28" t="s">
        <v>1609</v>
      </c>
      <c r="H611" s="28" t="s">
        <v>1608</v>
      </c>
      <c r="I611" s="28" t="s">
        <v>5278</v>
      </c>
      <c r="J611" s="28" t="s">
        <v>5273</v>
      </c>
      <c r="K611" s="28" t="s">
        <v>5279</v>
      </c>
      <c r="L611" s="28" t="s">
        <v>5275</v>
      </c>
      <c r="M611" s="28" t="s">
        <v>4906</v>
      </c>
      <c r="N611" s="28" t="s">
        <v>4902</v>
      </c>
    </row>
    <row r="612" spans="1:14" x14ac:dyDescent="0.2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35" t="s">
        <v>990</v>
      </c>
      <c r="G612" s="28" t="s">
        <v>1628</v>
      </c>
      <c r="H612" s="28" t="s">
        <v>1608</v>
      </c>
      <c r="I612" s="28" t="s">
        <v>5280</v>
      </c>
      <c r="J612" s="28" t="s">
        <v>5273</v>
      </c>
      <c r="K612" s="28" t="s">
        <v>5281</v>
      </c>
      <c r="L612" s="28" t="s">
        <v>5275</v>
      </c>
      <c r="M612" s="28" t="s">
        <v>4908</v>
      </c>
      <c r="N612" s="28" t="s">
        <v>4902</v>
      </c>
    </row>
    <row r="613" spans="1:14" x14ac:dyDescent="0.2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35" t="s">
        <v>991</v>
      </c>
      <c r="G613" s="28" t="s">
        <v>1610</v>
      </c>
      <c r="H613" s="28" t="s">
        <v>1611</v>
      </c>
      <c r="I613" s="28" t="s">
        <v>5282</v>
      </c>
      <c r="J613" s="28" t="s">
        <v>5283</v>
      </c>
      <c r="K613" s="28" t="s">
        <v>5284</v>
      </c>
      <c r="L613" s="28" t="s">
        <v>5285</v>
      </c>
      <c r="M613" s="28" t="s">
        <v>4911</v>
      </c>
      <c r="N613" s="28" t="s">
        <v>4912</v>
      </c>
    </row>
    <row r="614" spans="1:14" x14ac:dyDescent="0.2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35" t="s">
        <v>991</v>
      </c>
      <c r="G614" s="28" t="s">
        <v>1613</v>
      </c>
      <c r="H614" s="28" t="s">
        <v>1611</v>
      </c>
      <c r="I614" s="28" t="s">
        <v>5286</v>
      </c>
      <c r="J614" s="28" t="s">
        <v>5283</v>
      </c>
      <c r="K614" s="28" t="s">
        <v>5287</v>
      </c>
      <c r="L614" s="28" t="s">
        <v>5285</v>
      </c>
      <c r="M614" s="28" t="s">
        <v>4919</v>
      </c>
      <c r="N614" s="28" t="s">
        <v>4912</v>
      </c>
    </row>
    <row r="615" spans="1:14" x14ac:dyDescent="0.2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35" t="s">
        <v>991</v>
      </c>
      <c r="G615" s="28" t="s">
        <v>1638</v>
      </c>
      <c r="H615" s="28" t="s">
        <v>1611</v>
      </c>
      <c r="I615" s="28" t="s">
        <v>5288</v>
      </c>
      <c r="J615" s="28" t="s">
        <v>5283</v>
      </c>
      <c r="K615" s="28" t="s">
        <v>5289</v>
      </c>
      <c r="L615" s="28" t="s">
        <v>5285</v>
      </c>
      <c r="M615" s="28" t="s">
        <v>5290</v>
      </c>
      <c r="N615" s="28" t="s">
        <v>4912</v>
      </c>
    </row>
    <row r="616" spans="1:14" x14ac:dyDescent="0.2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35" t="s">
        <v>992</v>
      </c>
      <c r="G616" s="28" t="s">
        <v>1614</v>
      </c>
      <c r="H616" s="28" t="s">
        <v>1615</v>
      </c>
      <c r="I616" s="28" t="s">
        <v>5291</v>
      </c>
      <c r="J616" s="28" t="s">
        <v>5292</v>
      </c>
      <c r="K616" s="28" t="s">
        <v>5293</v>
      </c>
      <c r="L616" s="28" t="s">
        <v>5294</v>
      </c>
      <c r="M616" s="28" t="s">
        <v>4922</v>
      </c>
      <c r="N616" s="28" t="s">
        <v>4923</v>
      </c>
    </row>
    <row r="617" spans="1:14" x14ac:dyDescent="0.2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35" t="s">
        <v>992</v>
      </c>
      <c r="G617" s="28" t="s">
        <v>1616</v>
      </c>
      <c r="H617" s="28" t="s">
        <v>1615</v>
      </c>
      <c r="I617" s="28" t="s">
        <v>5295</v>
      </c>
      <c r="J617" s="28" t="s">
        <v>5292</v>
      </c>
      <c r="K617" s="28" t="s">
        <v>5296</v>
      </c>
      <c r="L617" s="28" t="s">
        <v>5294</v>
      </c>
      <c r="M617" s="28" t="s">
        <v>4927</v>
      </c>
      <c r="N617" s="28" t="s">
        <v>4923</v>
      </c>
    </row>
    <row r="618" spans="1:14" x14ac:dyDescent="0.2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35" t="s">
        <v>992</v>
      </c>
      <c r="G618" s="28" t="s">
        <v>1617</v>
      </c>
      <c r="H618" s="28" t="s">
        <v>1615</v>
      </c>
      <c r="I618" s="28" t="s">
        <v>5297</v>
      </c>
      <c r="J618" s="28" t="s">
        <v>5292</v>
      </c>
      <c r="K618" s="28" t="s">
        <v>5298</v>
      </c>
      <c r="L618" s="28" t="s">
        <v>5294</v>
      </c>
      <c r="M618" s="28" t="s">
        <v>4929</v>
      </c>
      <c r="N618" s="28" t="s">
        <v>4923</v>
      </c>
    </row>
    <row r="619" spans="1:14" x14ac:dyDescent="0.2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35" t="s">
        <v>983</v>
      </c>
      <c r="G619" s="28" t="s">
        <v>1644</v>
      </c>
      <c r="H619" s="28" t="s">
        <v>1556</v>
      </c>
      <c r="I619" s="28" t="s">
        <v>5299</v>
      </c>
      <c r="J619" s="28" t="s">
        <v>5300</v>
      </c>
      <c r="K619" s="28" t="s">
        <v>5301</v>
      </c>
      <c r="L619" s="28" t="s">
        <v>5302</v>
      </c>
      <c r="M619" s="28" t="s">
        <v>5303</v>
      </c>
      <c r="N619" s="28" t="s">
        <v>4248</v>
      </c>
    </row>
    <row r="620" spans="1:14" x14ac:dyDescent="0.2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35" t="s">
        <v>983</v>
      </c>
      <c r="G620" s="28" t="s">
        <v>1573</v>
      </c>
      <c r="H620" s="28" t="s">
        <v>1556</v>
      </c>
      <c r="I620" s="28" t="s">
        <v>5304</v>
      </c>
      <c r="J620" s="28" t="s">
        <v>5300</v>
      </c>
      <c r="K620" s="28" t="s">
        <v>5305</v>
      </c>
      <c r="L620" s="28" t="s">
        <v>5302</v>
      </c>
      <c r="M620" s="28" t="s">
        <v>4247</v>
      </c>
      <c r="N620" s="28" t="s">
        <v>4248</v>
      </c>
    </row>
    <row r="621" spans="1:14" x14ac:dyDescent="0.2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35" t="s">
        <v>983</v>
      </c>
      <c r="G621" s="28" t="s">
        <v>1555</v>
      </c>
      <c r="H621" s="28" t="s">
        <v>1556</v>
      </c>
      <c r="I621" s="28" t="s">
        <v>5306</v>
      </c>
      <c r="J621" s="28" t="s">
        <v>5300</v>
      </c>
      <c r="K621" s="28" t="s">
        <v>5307</v>
      </c>
      <c r="L621" s="28" t="s">
        <v>5302</v>
      </c>
      <c r="M621" s="28" t="s">
        <v>4250</v>
      </c>
      <c r="N621" s="28" t="s">
        <v>4248</v>
      </c>
    </row>
    <row r="622" spans="1:14" x14ac:dyDescent="0.2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35" t="s">
        <v>983</v>
      </c>
      <c r="G622" s="28" t="s">
        <v>1557</v>
      </c>
      <c r="H622" s="28" t="s">
        <v>1556</v>
      </c>
      <c r="I622" s="28" t="s">
        <v>5308</v>
      </c>
      <c r="J622" s="28" t="s">
        <v>5300</v>
      </c>
      <c r="K622" s="28" t="s">
        <v>5309</v>
      </c>
      <c r="L622" s="28" t="s">
        <v>5302</v>
      </c>
      <c r="M622" s="28" t="s">
        <v>4252</v>
      </c>
      <c r="N622" s="28" t="s">
        <v>4248</v>
      </c>
    </row>
    <row r="623" spans="1:14" x14ac:dyDescent="0.2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35" t="s">
        <v>983</v>
      </c>
      <c r="G623" s="28" t="s">
        <v>1558</v>
      </c>
      <c r="H623" s="28" t="s">
        <v>1556</v>
      </c>
      <c r="I623" s="28" t="s">
        <v>5310</v>
      </c>
      <c r="J623" s="28" t="s">
        <v>5300</v>
      </c>
      <c r="K623" s="28" t="s">
        <v>5311</v>
      </c>
      <c r="L623" s="28" t="s">
        <v>5302</v>
      </c>
      <c r="M623" s="28" t="s">
        <v>4254</v>
      </c>
      <c r="N623" s="28" t="s">
        <v>4248</v>
      </c>
    </row>
    <row r="624" spans="1:14" x14ac:dyDescent="0.2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35" t="s">
        <v>982</v>
      </c>
      <c r="G624" s="28" t="s">
        <v>1559</v>
      </c>
      <c r="H624" s="28" t="s">
        <v>1560</v>
      </c>
      <c r="I624" s="28" t="s">
        <v>5312</v>
      </c>
      <c r="J624" s="28" t="s">
        <v>5313</v>
      </c>
      <c r="K624" s="28" t="s">
        <v>5314</v>
      </c>
      <c r="L624" s="28" t="s">
        <v>5315</v>
      </c>
      <c r="M624" s="28" t="s">
        <v>4257</v>
      </c>
      <c r="N624" s="28" t="s">
        <v>4258</v>
      </c>
    </row>
    <row r="625" spans="1:14" x14ac:dyDescent="0.2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35" t="s">
        <v>982</v>
      </c>
      <c r="G625" s="28" t="s">
        <v>1561</v>
      </c>
      <c r="H625" s="28" t="s">
        <v>1560</v>
      </c>
      <c r="I625" s="28" t="s">
        <v>5316</v>
      </c>
      <c r="J625" s="28" t="s">
        <v>5313</v>
      </c>
      <c r="K625" s="28" t="s">
        <v>5317</v>
      </c>
      <c r="L625" s="28" t="s">
        <v>5315</v>
      </c>
      <c r="M625" s="28" t="s">
        <v>4260</v>
      </c>
      <c r="N625" s="28" t="s">
        <v>4258</v>
      </c>
    </row>
    <row r="626" spans="1:14" x14ac:dyDescent="0.2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35" t="s">
        <v>982</v>
      </c>
      <c r="G626" s="28" t="s">
        <v>1562</v>
      </c>
      <c r="H626" s="28" t="s">
        <v>1560</v>
      </c>
      <c r="I626" s="28" t="s">
        <v>5318</v>
      </c>
      <c r="J626" s="28" t="s">
        <v>5313</v>
      </c>
      <c r="K626" s="28" t="s">
        <v>5319</v>
      </c>
      <c r="L626" s="28" t="s">
        <v>5315</v>
      </c>
      <c r="M626" s="28" t="s">
        <v>4262</v>
      </c>
      <c r="N626" s="28" t="s">
        <v>4258</v>
      </c>
    </row>
    <row r="627" spans="1:14" x14ac:dyDescent="0.2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35" t="s">
        <v>982</v>
      </c>
      <c r="G627" s="28" t="s">
        <v>1563</v>
      </c>
      <c r="H627" s="28" t="s">
        <v>1560</v>
      </c>
      <c r="I627" s="28" t="s">
        <v>5320</v>
      </c>
      <c r="J627" s="28" t="s">
        <v>5313</v>
      </c>
      <c r="K627" s="28" t="s">
        <v>5321</v>
      </c>
      <c r="L627" s="28" t="s">
        <v>5315</v>
      </c>
      <c r="M627" s="28" t="s">
        <v>4264</v>
      </c>
      <c r="N627" s="28" t="s">
        <v>4258</v>
      </c>
    </row>
    <row r="628" spans="1:14" x14ac:dyDescent="0.2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35" t="s">
        <v>976</v>
      </c>
      <c r="G628" s="28" t="s">
        <v>1564</v>
      </c>
      <c r="H628" s="28" t="s">
        <v>1565</v>
      </c>
      <c r="I628" s="28" t="s">
        <v>5322</v>
      </c>
      <c r="J628" s="28" t="s">
        <v>5323</v>
      </c>
      <c r="K628" s="28" t="s">
        <v>5324</v>
      </c>
      <c r="L628" s="28" t="s">
        <v>5325</v>
      </c>
      <c r="M628" s="28" t="s">
        <v>4939</v>
      </c>
      <c r="N628" s="28" t="s">
        <v>4940</v>
      </c>
    </row>
    <row r="629" spans="1:14" x14ac:dyDescent="0.2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35" t="s">
        <v>976</v>
      </c>
      <c r="G629" s="28" t="s">
        <v>1566</v>
      </c>
      <c r="H629" s="28" t="s">
        <v>1565</v>
      </c>
      <c r="I629" s="28" t="s">
        <v>5326</v>
      </c>
      <c r="J629" s="28" t="s">
        <v>5323</v>
      </c>
      <c r="K629" s="28" t="s">
        <v>5327</v>
      </c>
      <c r="L629" s="28" t="s">
        <v>5325</v>
      </c>
      <c r="M629" s="28" t="s">
        <v>4942</v>
      </c>
      <c r="N629" s="28" t="s">
        <v>4940</v>
      </c>
    </row>
    <row r="630" spans="1:14" x14ac:dyDescent="0.2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35" t="s">
        <v>976</v>
      </c>
      <c r="G630" s="28" t="s">
        <v>1567</v>
      </c>
      <c r="H630" s="28" t="s">
        <v>1565</v>
      </c>
      <c r="I630" s="28" t="s">
        <v>5328</v>
      </c>
      <c r="J630" s="28" t="s">
        <v>5323</v>
      </c>
      <c r="K630" s="28" t="s">
        <v>5329</v>
      </c>
      <c r="L630" s="28" t="s">
        <v>5325</v>
      </c>
      <c r="M630" s="28" t="s">
        <v>4944</v>
      </c>
      <c r="N630" s="28" t="s">
        <v>4940</v>
      </c>
    </row>
    <row r="631" spans="1:14" x14ac:dyDescent="0.2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35" t="s">
        <v>976</v>
      </c>
      <c r="G631" s="28" t="s">
        <v>1569</v>
      </c>
      <c r="H631" s="28" t="s">
        <v>1565</v>
      </c>
      <c r="I631" s="28" t="s">
        <v>5330</v>
      </c>
      <c r="J631" s="28" t="s">
        <v>5323</v>
      </c>
      <c r="K631" s="28" t="s">
        <v>5331</v>
      </c>
      <c r="L631" s="28" t="s">
        <v>5325</v>
      </c>
      <c r="M631" s="28" t="s">
        <v>5332</v>
      </c>
      <c r="N631" s="28" t="s">
        <v>4940</v>
      </c>
    </row>
    <row r="632" spans="1:14" x14ac:dyDescent="0.2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35" t="s">
        <v>977</v>
      </c>
      <c r="G632" s="28" t="s">
        <v>1570</v>
      </c>
      <c r="H632" s="28" t="s">
        <v>1541</v>
      </c>
      <c r="I632" s="28" t="s">
        <v>5333</v>
      </c>
      <c r="J632" s="28" t="s">
        <v>5334</v>
      </c>
      <c r="K632" s="28" t="s">
        <v>5335</v>
      </c>
      <c r="L632" s="28" t="s">
        <v>5336</v>
      </c>
      <c r="M632" s="28" t="s">
        <v>4950</v>
      </c>
      <c r="N632" s="28" t="s">
        <v>4951</v>
      </c>
    </row>
    <row r="633" spans="1:14" x14ac:dyDescent="0.2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35" t="s">
        <v>977</v>
      </c>
      <c r="G633" s="28" t="s">
        <v>1572</v>
      </c>
      <c r="H633" s="28" t="s">
        <v>1541</v>
      </c>
      <c r="I633" s="28" t="s">
        <v>5337</v>
      </c>
      <c r="J633" s="28" t="s">
        <v>5334</v>
      </c>
      <c r="K633" s="28" t="s">
        <v>5338</v>
      </c>
      <c r="L633" s="28" t="s">
        <v>5336</v>
      </c>
      <c r="M633" s="28" t="s">
        <v>5339</v>
      </c>
      <c r="N633" s="28" t="s">
        <v>4951</v>
      </c>
    </row>
    <row r="634" spans="1:14" x14ac:dyDescent="0.2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35" t="s">
        <v>978</v>
      </c>
      <c r="G634" s="28" t="s">
        <v>1576</v>
      </c>
      <c r="H634" s="28" t="s">
        <v>1543</v>
      </c>
      <c r="I634" s="28" t="s">
        <v>5340</v>
      </c>
      <c r="J634" s="28" t="s">
        <v>5341</v>
      </c>
      <c r="K634" s="28" t="s">
        <v>5342</v>
      </c>
      <c r="L634" s="28" t="s">
        <v>5343</v>
      </c>
      <c r="M634" s="28" t="s">
        <v>5344</v>
      </c>
      <c r="N634" s="28" t="s">
        <v>4959</v>
      </c>
    </row>
    <row r="635" spans="1:14" x14ac:dyDescent="0.2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35" t="s">
        <v>980</v>
      </c>
      <c r="G635" s="28" t="s">
        <v>1639</v>
      </c>
      <c r="H635" s="28" t="s">
        <v>1553</v>
      </c>
      <c r="I635" s="28" t="s">
        <v>5345</v>
      </c>
      <c r="J635" s="28" t="s">
        <v>5346</v>
      </c>
      <c r="K635" s="28" t="s">
        <v>5347</v>
      </c>
      <c r="L635" s="28" t="s">
        <v>5348</v>
      </c>
      <c r="M635" s="28" t="s">
        <v>5349</v>
      </c>
      <c r="N635" s="28" t="s">
        <v>5350</v>
      </c>
    </row>
    <row r="636" spans="1:14" x14ac:dyDescent="0.2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35" t="s">
        <v>981</v>
      </c>
      <c r="G636" s="28" t="s">
        <v>1578</v>
      </c>
      <c r="H636" s="28" t="s">
        <v>1575</v>
      </c>
      <c r="I636" s="28" t="s">
        <v>5351</v>
      </c>
      <c r="J636" s="28" t="s">
        <v>5352</v>
      </c>
      <c r="K636" s="28" t="s">
        <v>5353</v>
      </c>
      <c r="L636" s="28" t="s">
        <v>5354</v>
      </c>
      <c r="M636" s="28" t="s">
        <v>5355</v>
      </c>
      <c r="N636" s="28" t="s">
        <v>4974</v>
      </c>
    </row>
    <row r="637" spans="1:14" x14ac:dyDescent="0.2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35" t="s">
        <v>981</v>
      </c>
      <c r="G637" s="28" t="s">
        <v>1574</v>
      </c>
      <c r="H637" s="28" t="s">
        <v>1575</v>
      </c>
      <c r="I637" s="28" t="s">
        <v>5356</v>
      </c>
      <c r="J637" s="28" t="s">
        <v>5352</v>
      </c>
      <c r="K637" s="28" t="s">
        <v>5357</v>
      </c>
      <c r="L637" s="28" t="s">
        <v>5354</v>
      </c>
      <c r="M637" s="28" t="s">
        <v>5358</v>
      </c>
      <c r="N637" s="28" t="s">
        <v>4974</v>
      </c>
    </row>
    <row r="638" spans="1:14" x14ac:dyDescent="0.2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35" t="s">
        <v>994</v>
      </c>
      <c r="G638" s="28" t="s">
        <v>1640</v>
      </c>
      <c r="H638" s="28" t="s">
        <v>1641</v>
      </c>
      <c r="I638" s="28" t="s">
        <v>5207</v>
      </c>
      <c r="J638" s="28" t="s">
        <v>5208</v>
      </c>
      <c r="K638" s="28" t="s">
        <v>5359</v>
      </c>
      <c r="L638" s="28" t="s">
        <v>5360</v>
      </c>
      <c r="M638" s="28" t="s">
        <v>5361</v>
      </c>
      <c r="N638" s="28" t="s">
        <v>5362</v>
      </c>
    </row>
    <row r="639" spans="1:14" x14ac:dyDescent="0.2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35" t="s">
        <v>993</v>
      </c>
      <c r="G639" s="28" t="s">
        <v>1642</v>
      </c>
      <c r="H639" s="28" t="s">
        <v>1631</v>
      </c>
      <c r="I639" s="28" t="s">
        <v>5213</v>
      </c>
      <c r="J639" s="28" t="s">
        <v>5214</v>
      </c>
      <c r="K639" s="28" t="s">
        <v>5363</v>
      </c>
      <c r="L639" s="28" t="s">
        <v>5364</v>
      </c>
      <c r="M639" s="28" t="s">
        <v>5365</v>
      </c>
      <c r="N639" s="28" t="s">
        <v>4978</v>
      </c>
    </row>
    <row r="640" spans="1:14" x14ac:dyDescent="0.2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35" t="s">
        <v>993</v>
      </c>
      <c r="G640" s="28" t="s">
        <v>1643</v>
      </c>
      <c r="H640" s="28" t="s">
        <v>1631</v>
      </c>
      <c r="I640" s="28" t="s">
        <v>5218</v>
      </c>
      <c r="J640" s="28" t="s">
        <v>5214</v>
      </c>
      <c r="K640" s="28" t="s">
        <v>5366</v>
      </c>
      <c r="L640" s="28" t="s">
        <v>5364</v>
      </c>
      <c r="M640" s="28" t="s">
        <v>5367</v>
      </c>
      <c r="N640" s="28" t="s">
        <v>4978</v>
      </c>
    </row>
    <row r="641" spans="1:14" x14ac:dyDescent="0.2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35" t="s">
        <v>985</v>
      </c>
      <c r="G641" s="28" t="s">
        <v>1591</v>
      </c>
      <c r="H641" s="28" t="s">
        <v>1592</v>
      </c>
      <c r="I641" s="28" t="s">
        <v>5221</v>
      </c>
      <c r="J641" s="28" t="s">
        <v>5222</v>
      </c>
      <c r="K641" s="28" t="s">
        <v>5368</v>
      </c>
      <c r="L641" s="28" t="s">
        <v>5369</v>
      </c>
      <c r="M641" s="28" t="s">
        <v>5370</v>
      </c>
      <c r="N641" s="28" t="s">
        <v>5371</v>
      </c>
    </row>
    <row r="642" spans="1:14" x14ac:dyDescent="0.2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35" t="s">
        <v>985</v>
      </c>
      <c r="G642" s="28" t="s">
        <v>1620</v>
      </c>
      <c r="H642" s="28" t="s">
        <v>1592</v>
      </c>
      <c r="I642" s="28" t="s">
        <v>5225</v>
      </c>
      <c r="J642" s="28" t="s">
        <v>5222</v>
      </c>
      <c r="K642" s="28" t="s">
        <v>5372</v>
      </c>
      <c r="L642" s="28" t="s">
        <v>5369</v>
      </c>
      <c r="M642" s="28" t="s">
        <v>5373</v>
      </c>
      <c r="N642" s="28" t="s">
        <v>5371</v>
      </c>
    </row>
    <row r="643" spans="1:14" x14ac:dyDescent="0.2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35" t="s">
        <v>986</v>
      </c>
      <c r="G643" s="28" t="s">
        <v>1593</v>
      </c>
      <c r="H643" s="28" t="s">
        <v>1594</v>
      </c>
      <c r="I643" s="28" t="s">
        <v>5227</v>
      </c>
      <c r="J643" s="28" t="s">
        <v>5228</v>
      </c>
      <c r="K643" s="28" t="s">
        <v>5374</v>
      </c>
      <c r="L643" s="28" t="s">
        <v>5375</v>
      </c>
      <c r="M643" s="28" t="s">
        <v>4987</v>
      </c>
      <c r="N643" s="28" t="s">
        <v>4988</v>
      </c>
    </row>
    <row r="644" spans="1:14" x14ac:dyDescent="0.2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35" t="s">
        <v>986</v>
      </c>
      <c r="G644" s="28" t="s">
        <v>1595</v>
      </c>
      <c r="H644" s="28" t="s">
        <v>1594</v>
      </c>
      <c r="I644" s="28" t="s">
        <v>5231</v>
      </c>
      <c r="J644" s="28" t="s">
        <v>5228</v>
      </c>
      <c r="K644" s="28" t="s">
        <v>5376</v>
      </c>
      <c r="L644" s="28" t="s">
        <v>5375</v>
      </c>
      <c r="M644" s="28" t="s">
        <v>5377</v>
      </c>
      <c r="N644" s="28" t="s">
        <v>4988</v>
      </c>
    </row>
    <row r="645" spans="1:14" x14ac:dyDescent="0.2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35" t="s">
        <v>986</v>
      </c>
      <c r="G645" s="28" t="s">
        <v>1596</v>
      </c>
      <c r="H645" s="28" t="s">
        <v>1594</v>
      </c>
      <c r="I645" s="28" t="s">
        <v>5233</v>
      </c>
      <c r="J645" s="28" t="s">
        <v>5228</v>
      </c>
      <c r="K645" s="28" t="s">
        <v>5378</v>
      </c>
      <c r="L645" s="28" t="s">
        <v>5375</v>
      </c>
      <c r="M645" s="28" t="s">
        <v>4990</v>
      </c>
      <c r="N645" s="28" t="s">
        <v>4988</v>
      </c>
    </row>
    <row r="646" spans="1:14" x14ac:dyDescent="0.2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35" t="s">
        <v>986</v>
      </c>
      <c r="G646" s="28" t="s">
        <v>1597</v>
      </c>
      <c r="H646" s="28" t="s">
        <v>1594</v>
      </c>
      <c r="I646" s="28" t="s">
        <v>5236</v>
      </c>
      <c r="J646" s="28" t="s">
        <v>5228</v>
      </c>
      <c r="K646" s="28" t="s">
        <v>5379</v>
      </c>
      <c r="L646" s="28" t="s">
        <v>5375</v>
      </c>
      <c r="M646" s="28" t="s">
        <v>4992</v>
      </c>
      <c r="N646" s="28" t="s">
        <v>4988</v>
      </c>
    </row>
    <row r="647" spans="1:14" x14ac:dyDescent="0.2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35" t="s">
        <v>986</v>
      </c>
      <c r="G647" s="28" t="s">
        <v>1621</v>
      </c>
      <c r="H647" s="28" t="s">
        <v>1594</v>
      </c>
      <c r="I647" s="28" t="s">
        <v>5238</v>
      </c>
      <c r="J647" s="28" t="s">
        <v>5228</v>
      </c>
      <c r="K647" s="28" t="s">
        <v>5380</v>
      </c>
      <c r="L647" s="28" t="s">
        <v>5375</v>
      </c>
      <c r="M647" s="28" t="s">
        <v>4994</v>
      </c>
      <c r="N647" s="28" t="s">
        <v>4988</v>
      </c>
    </row>
    <row r="648" spans="1:14" x14ac:dyDescent="0.2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35" t="s">
        <v>987</v>
      </c>
      <c r="G648" s="28" t="s">
        <v>1600</v>
      </c>
      <c r="H648" s="28" t="s">
        <v>1599</v>
      </c>
      <c r="I648" s="28" t="s">
        <v>5240</v>
      </c>
      <c r="J648" s="28" t="s">
        <v>5241</v>
      </c>
      <c r="K648" s="28" t="s">
        <v>5381</v>
      </c>
      <c r="L648" s="28" t="s">
        <v>5382</v>
      </c>
      <c r="M648" s="28" t="s">
        <v>5000</v>
      </c>
      <c r="N648" s="28" t="s">
        <v>4998</v>
      </c>
    </row>
    <row r="649" spans="1:14" x14ac:dyDescent="0.2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35" t="s">
        <v>987</v>
      </c>
      <c r="G649" s="28" t="s">
        <v>1601</v>
      </c>
      <c r="H649" s="28" t="s">
        <v>1599</v>
      </c>
      <c r="I649" s="28" t="s">
        <v>5244</v>
      </c>
      <c r="J649" s="28" t="s">
        <v>5241</v>
      </c>
      <c r="K649" s="28" t="s">
        <v>5383</v>
      </c>
      <c r="L649" s="28" t="s">
        <v>5382</v>
      </c>
      <c r="M649" s="28" t="s">
        <v>5384</v>
      </c>
      <c r="N649" s="28" t="s">
        <v>4998</v>
      </c>
    </row>
    <row r="650" spans="1:14" x14ac:dyDescent="0.2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35" t="s">
        <v>988</v>
      </c>
      <c r="G650" s="28" t="s">
        <v>1634</v>
      </c>
      <c r="H650" s="28" t="s">
        <v>1603</v>
      </c>
      <c r="I650" s="28" t="s">
        <v>5249</v>
      </c>
      <c r="J650" s="28" t="s">
        <v>5250</v>
      </c>
      <c r="K650" s="28" t="s">
        <v>5385</v>
      </c>
      <c r="L650" s="28" t="s">
        <v>5386</v>
      </c>
      <c r="M650" s="28" t="s">
        <v>5005</v>
      </c>
      <c r="N650" s="28" t="s">
        <v>5006</v>
      </c>
    </row>
    <row r="651" spans="1:14" x14ac:dyDescent="0.2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35" t="s">
        <v>988</v>
      </c>
      <c r="G651" s="28" t="s">
        <v>1602</v>
      </c>
      <c r="H651" s="28" t="s">
        <v>1603</v>
      </c>
      <c r="I651" s="28" t="s">
        <v>5253</v>
      </c>
      <c r="J651" s="28" t="s">
        <v>5250</v>
      </c>
      <c r="K651" s="28" t="s">
        <v>5387</v>
      </c>
      <c r="L651" s="28" t="s">
        <v>5386</v>
      </c>
      <c r="M651" s="28" t="s">
        <v>5008</v>
      </c>
      <c r="N651" s="28" t="s">
        <v>5006</v>
      </c>
    </row>
    <row r="652" spans="1:14" x14ac:dyDescent="0.2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35" t="s">
        <v>988</v>
      </c>
      <c r="G652" s="28" t="s">
        <v>1635</v>
      </c>
      <c r="H652" s="28" t="s">
        <v>1603</v>
      </c>
      <c r="I652" s="28" t="s">
        <v>5256</v>
      </c>
      <c r="J652" s="28" t="s">
        <v>5250</v>
      </c>
      <c r="K652" s="28" t="s">
        <v>5388</v>
      </c>
      <c r="L652" s="28" t="s">
        <v>5386</v>
      </c>
      <c r="M652" s="28" t="s">
        <v>5010</v>
      </c>
      <c r="N652" s="28" t="s">
        <v>5006</v>
      </c>
    </row>
    <row r="653" spans="1:14" x14ac:dyDescent="0.2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35" t="s">
        <v>988</v>
      </c>
      <c r="G653" s="28" t="s">
        <v>1604</v>
      </c>
      <c r="H653" s="28" t="s">
        <v>1603</v>
      </c>
      <c r="I653" s="28" t="s">
        <v>5260</v>
      </c>
      <c r="J653" s="28" t="s">
        <v>5250</v>
      </c>
      <c r="K653" s="28" t="s">
        <v>5389</v>
      </c>
      <c r="L653" s="28" t="s">
        <v>5386</v>
      </c>
      <c r="M653" s="28" t="s">
        <v>5014</v>
      </c>
      <c r="N653" s="28" t="s">
        <v>5006</v>
      </c>
    </row>
    <row r="654" spans="1:14" x14ac:dyDescent="0.2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35" t="s">
        <v>989</v>
      </c>
      <c r="G654" s="28" t="s">
        <v>1605</v>
      </c>
      <c r="H654" s="28" t="s">
        <v>1606</v>
      </c>
      <c r="I654" s="28" t="s">
        <v>5262</v>
      </c>
      <c r="J654" s="28" t="s">
        <v>5263</v>
      </c>
      <c r="K654" s="28" t="s">
        <v>5390</v>
      </c>
      <c r="L654" s="28" t="s">
        <v>5391</v>
      </c>
      <c r="M654" s="28" t="s">
        <v>5017</v>
      </c>
      <c r="N654" s="28" t="s">
        <v>5018</v>
      </c>
    </row>
    <row r="655" spans="1:14" x14ac:dyDescent="0.2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35" t="s">
        <v>989</v>
      </c>
      <c r="G655" s="28" t="s">
        <v>1624</v>
      </c>
      <c r="H655" s="28" t="s">
        <v>1606</v>
      </c>
      <c r="I655" s="28" t="s">
        <v>5266</v>
      </c>
      <c r="J655" s="28" t="s">
        <v>5263</v>
      </c>
      <c r="K655" s="28" t="s">
        <v>5392</v>
      </c>
      <c r="L655" s="28" t="s">
        <v>5391</v>
      </c>
      <c r="M655" s="28" t="s">
        <v>5020</v>
      </c>
      <c r="N655" s="28" t="s">
        <v>5018</v>
      </c>
    </row>
    <row r="656" spans="1:14" x14ac:dyDescent="0.2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35" t="s">
        <v>989</v>
      </c>
      <c r="G656" s="28" t="s">
        <v>1625</v>
      </c>
      <c r="H656" s="28" t="s">
        <v>1606</v>
      </c>
      <c r="I656" s="28" t="s">
        <v>5268</v>
      </c>
      <c r="J656" s="28" t="s">
        <v>5263</v>
      </c>
      <c r="K656" s="28" t="s">
        <v>5393</v>
      </c>
      <c r="L656" s="28" t="s">
        <v>5391</v>
      </c>
      <c r="M656" s="28" t="s">
        <v>5022</v>
      </c>
      <c r="N656" s="28" t="s">
        <v>5018</v>
      </c>
    </row>
    <row r="657" spans="1:14" x14ac:dyDescent="0.2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35" t="s">
        <v>989</v>
      </c>
      <c r="G657" s="28" t="s">
        <v>1626</v>
      </c>
      <c r="H657" s="28" t="s">
        <v>1606</v>
      </c>
      <c r="I657" s="28" t="s">
        <v>5270</v>
      </c>
      <c r="J657" s="28" t="s">
        <v>5263</v>
      </c>
      <c r="K657" s="28" t="s">
        <v>5394</v>
      </c>
      <c r="L657" s="28" t="s">
        <v>5391</v>
      </c>
      <c r="M657" s="28" t="s">
        <v>5395</v>
      </c>
      <c r="N657" s="28" t="s">
        <v>5018</v>
      </c>
    </row>
    <row r="658" spans="1:14" x14ac:dyDescent="0.2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35" t="s">
        <v>990</v>
      </c>
      <c r="G658" s="28" t="s">
        <v>1607</v>
      </c>
      <c r="H658" s="28" t="s">
        <v>1608</v>
      </c>
      <c r="I658" s="28" t="s">
        <v>5276</v>
      </c>
      <c r="J658" s="28" t="s">
        <v>5273</v>
      </c>
      <c r="K658" s="28" t="s">
        <v>5396</v>
      </c>
      <c r="L658" s="28" t="s">
        <v>5397</v>
      </c>
      <c r="M658" s="28" t="s">
        <v>5028</v>
      </c>
      <c r="N658" s="28" t="s">
        <v>5026</v>
      </c>
    </row>
    <row r="659" spans="1:14" x14ac:dyDescent="0.2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35" t="s">
        <v>990</v>
      </c>
      <c r="G659" s="28" t="s">
        <v>1609</v>
      </c>
      <c r="H659" s="28" t="s">
        <v>1608</v>
      </c>
      <c r="I659" s="28" t="s">
        <v>5278</v>
      </c>
      <c r="J659" s="28" t="s">
        <v>5273</v>
      </c>
      <c r="K659" s="28" t="s">
        <v>5398</v>
      </c>
      <c r="L659" s="28" t="s">
        <v>5397</v>
      </c>
      <c r="M659" s="28" t="s">
        <v>5030</v>
      </c>
      <c r="N659" s="28" t="s">
        <v>5026</v>
      </c>
    </row>
    <row r="660" spans="1:14" x14ac:dyDescent="0.2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35" t="s">
        <v>990</v>
      </c>
      <c r="G660" s="28" t="s">
        <v>1628</v>
      </c>
      <c r="H660" s="28" t="s">
        <v>1608</v>
      </c>
      <c r="I660" s="28" t="s">
        <v>5280</v>
      </c>
      <c r="J660" s="28" t="s">
        <v>5273</v>
      </c>
      <c r="K660" s="28" t="s">
        <v>5399</v>
      </c>
      <c r="L660" s="28" t="s">
        <v>5397</v>
      </c>
      <c r="M660" s="28" t="s">
        <v>5032</v>
      </c>
      <c r="N660" s="28" t="s">
        <v>5026</v>
      </c>
    </row>
    <row r="661" spans="1:14" x14ac:dyDescent="0.2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35" t="s">
        <v>991</v>
      </c>
      <c r="G661" s="28" t="s">
        <v>1610</v>
      </c>
      <c r="H661" s="28" t="s">
        <v>1611</v>
      </c>
      <c r="I661" s="28" t="s">
        <v>5282</v>
      </c>
      <c r="J661" s="28" t="s">
        <v>5283</v>
      </c>
      <c r="K661" s="28" t="s">
        <v>5400</v>
      </c>
      <c r="L661" s="28" t="s">
        <v>5401</v>
      </c>
      <c r="M661" s="28" t="s">
        <v>5035</v>
      </c>
      <c r="N661" s="28" t="s">
        <v>5036</v>
      </c>
    </row>
    <row r="662" spans="1:14" x14ac:dyDescent="0.2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35" t="s">
        <v>991</v>
      </c>
      <c r="G662" s="28" t="s">
        <v>1638</v>
      </c>
      <c r="H662" s="28" t="s">
        <v>1611</v>
      </c>
      <c r="I662" s="28" t="s">
        <v>5288</v>
      </c>
      <c r="J662" s="28" t="s">
        <v>5283</v>
      </c>
      <c r="K662" s="28" t="s">
        <v>5402</v>
      </c>
      <c r="L662" s="28" t="s">
        <v>5401</v>
      </c>
      <c r="M662" s="28" t="s">
        <v>5045</v>
      </c>
      <c r="N662" s="28" t="s">
        <v>5036</v>
      </c>
    </row>
    <row r="663" spans="1:14" x14ac:dyDescent="0.2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35" t="s">
        <v>992</v>
      </c>
      <c r="G663" s="28" t="s">
        <v>1614</v>
      </c>
      <c r="H663" s="28" t="s">
        <v>1615</v>
      </c>
      <c r="I663" s="28" t="s">
        <v>5291</v>
      </c>
      <c r="J663" s="28" t="s">
        <v>5292</v>
      </c>
      <c r="K663" s="28" t="s">
        <v>5403</v>
      </c>
      <c r="L663" s="28" t="s">
        <v>5404</v>
      </c>
      <c r="M663" s="28" t="s">
        <v>5048</v>
      </c>
      <c r="N663" s="28" t="s">
        <v>5049</v>
      </c>
    </row>
    <row r="664" spans="1:14" x14ac:dyDescent="0.2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35" t="s">
        <v>992</v>
      </c>
      <c r="G664" s="28" t="s">
        <v>1629</v>
      </c>
      <c r="H664" s="28" t="s">
        <v>1615</v>
      </c>
      <c r="I664" s="28" t="s">
        <v>5405</v>
      </c>
      <c r="J664" s="28" t="s">
        <v>5292</v>
      </c>
      <c r="K664" s="28" t="s">
        <v>5406</v>
      </c>
      <c r="L664" s="28" t="s">
        <v>5404</v>
      </c>
      <c r="M664" s="28" t="s">
        <v>5051</v>
      </c>
      <c r="N664" s="28" t="s">
        <v>5049</v>
      </c>
    </row>
    <row r="665" spans="1:14" x14ac:dyDescent="0.2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35" t="s">
        <v>992</v>
      </c>
      <c r="G665" s="28" t="s">
        <v>1616</v>
      </c>
      <c r="H665" s="28" t="s">
        <v>1615</v>
      </c>
      <c r="I665" s="28" t="s">
        <v>5295</v>
      </c>
      <c r="J665" s="28" t="s">
        <v>5292</v>
      </c>
      <c r="K665" s="28" t="s">
        <v>5407</v>
      </c>
      <c r="L665" s="28" t="s">
        <v>5404</v>
      </c>
      <c r="M665" s="28" t="s">
        <v>5053</v>
      </c>
      <c r="N665" s="28" t="s">
        <v>5049</v>
      </c>
    </row>
    <row r="666" spans="1:14" x14ac:dyDescent="0.2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35" t="s">
        <v>992</v>
      </c>
      <c r="G666" s="28" t="s">
        <v>1617</v>
      </c>
      <c r="H666" s="28" t="s">
        <v>1615</v>
      </c>
      <c r="I666" s="28" t="s">
        <v>5297</v>
      </c>
      <c r="J666" s="28" t="s">
        <v>5292</v>
      </c>
      <c r="K666" s="28" t="s">
        <v>5408</v>
      </c>
      <c r="L666" s="28" t="s">
        <v>5404</v>
      </c>
      <c r="M666" s="28" t="s">
        <v>5055</v>
      </c>
      <c r="N666" s="28" t="s">
        <v>5049</v>
      </c>
    </row>
    <row r="667" spans="1:14" x14ac:dyDescent="0.2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35" t="s">
        <v>983</v>
      </c>
      <c r="G667" s="28" t="s">
        <v>1644</v>
      </c>
      <c r="H667" s="28" t="s">
        <v>1556</v>
      </c>
      <c r="I667" s="28" t="s">
        <v>5299</v>
      </c>
      <c r="J667" s="28" t="s">
        <v>5300</v>
      </c>
      <c r="K667" s="28" t="s">
        <v>5409</v>
      </c>
      <c r="L667" s="28" t="s">
        <v>5410</v>
      </c>
      <c r="M667" s="28" t="s">
        <v>5411</v>
      </c>
      <c r="N667" s="28" t="s">
        <v>4268</v>
      </c>
    </row>
    <row r="668" spans="1:14" x14ac:dyDescent="0.2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35" t="s">
        <v>983</v>
      </c>
      <c r="G668" s="28" t="s">
        <v>1573</v>
      </c>
      <c r="H668" s="28" t="s">
        <v>1556</v>
      </c>
      <c r="I668" s="28" t="s">
        <v>5304</v>
      </c>
      <c r="J668" s="28" t="s">
        <v>5300</v>
      </c>
      <c r="K668" s="28" t="s">
        <v>5412</v>
      </c>
      <c r="L668" s="28" t="s">
        <v>5410</v>
      </c>
      <c r="M668" s="28" t="s">
        <v>4267</v>
      </c>
      <c r="N668" s="28" t="s">
        <v>4268</v>
      </c>
    </row>
    <row r="669" spans="1:14" x14ac:dyDescent="0.2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35" t="s">
        <v>983</v>
      </c>
      <c r="G669" s="28" t="s">
        <v>1555</v>
      </c>
      <c r="H669" s="28" t="s">
        <v>1556</v>
      </c>
      <c r="I669" s="28" t="s">
        <v>5306</v>
      </c>
      <c r="J669" s="28" t="s">
        <v>5300</v>
      </c>
      <c r="K669" s="28" t="s">
        <v>5413</v>
      </c>
      <c r="L669" s="28" t="s">
        <v>5410</v>
      </c>
      <c r="M669" s="28" t="s">
        <v>4270</v>
      </c>
      <c r="N669" s="28" t="s">
        <v>4268</v>
      </c>
    </row>
    <row r="670" spans="1:14" x14ac:dyDescent="0.2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35" t="s">
        <v>983</v>
      </c>
      <c r="G670" s="28" t="s">
        <v>1557</v>
      </c>
      <c r="H670" s="28" t="s">
        <v>1556</v>
      </c>
      <c r="I670" s="28" t="s">
        <v>5308</v>
      </c>
      <c r="J670" s="28" t="s">
        <v>5300</v>
      </c>
      <c r="K670" s="28" t="s">
        <v>5414</v>
      </c>
      <c r="L670" s="28" t="s">
        <v>5410</v>
      </c>
      <c r="M670" s="28" t="s">
        <v>4272</v>
      </c>
      <c r="N670" s="28" t="s">
        <v>4268</v>
      </c>
    </row>
    <row r="671" spans="1:14" x14ac:dyDescent="0.2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35" t="s">
        <v>983</v>
      </c>
      <c r="G671" s="28" t="s">
        <v>1558</v>
      </c>
      <c r="H671" s="28" t="s">
        <v>1556</v>
      </c>
      <c r="I671" s="28" t="s">
        <v>5310</v>
      </c>
      <c r="J671" s="28" t="s">
        <v>5300</v>
      </c>
      <c r="K671" s="28" t="s">
        <v>5415</v>
      </c>
      <c r="L671" s="28" t="s">
        <v>5410</v>
      </c>
      <c r="M671" s="28" t="s">
        <v>4274</v>
      </c>
      <c r="N671" s="28" t="s">
        <v>4268</v>
      </c>
    </row>
    <row r="672" spans="1:14" x14ac:dyDescent="0.2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35" t="s">
        <v>982</v>
      </c>
      <c r="G672" s="28" t="s">
        <v>1561</v>
      </c>
      <c r="H672" s="28" t="s">
        <v>1560</v>
      </c>
      <c r="I672" s="28" t="s">
        <v>5316</v>
      </c>
      <c r="J672" s="28" t="s">
        <v>5313</v>
      </c>
      <c r="K672" s="28" t="s">
        <v>5416</v>
      </c>
      <c r="L672" s="28" t="s">
        <v>5417</v>
      </c>
      <c r="M672" s="28" t="s">
        <v>4280</v>
      </c>
      <c r="N672" s="28" t="s">
        <v>4278</v>
      </c>
    </row>
    <row r="673" spans="1:14" x14ac:dyDescent="0.2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35" t="s">
        <v>982</v>
      </c>
      <c r="G673" s="28" t="s">
        <v>1562</v>
      </c>
      <c r="H673" s="28" t="s">
        <v>1560</v>
      </c>
      <c r="I673" s="28" t="s">
        <v>5318</v>
      </c>
      <c r="J673" s="28" t="s">
        <v>5313</v>
      </c>
      <c r="K673" s="28" t="s">
        <v>5418</v>
      </c>
      <c r="L673" s="28" t="s">
        <v>5417</v>
      </c>
      <c r="M673" s="28" t="s">
        <v>4282</v>
      </c>
      <c r="N673" s="28" t="s">
        <v>4278</v>
      </c>
    </row>
    <row r="674" spans="1:14" x14ac:dyDescent="0.2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35" t="s">
        <v>982</v>
      </c>
      <c r="G674" s="28" t="s">
        <v>1563</v>
      </c>
      <c r="H674" s="28" t="s">
        <v>1560</v>
      </c>
      <c r="I674" s="28" t="s">
        <v>5320</v>
      </c>
      <c r="J674" s="28" t="s">
        <v>5313</v>
      </c>
      <c r="K674" s="28" t="s">
        <v>5419</v>
      </c>
      <c r="L674" s="28" t="s">
        <v>5417</v>
      </c>
      <c r="M674" s="28" t="s">
        <v>4284</v>
      </c>
      <c r="N674" s="28" t="s">
        <v>4278</v>
      </c>
    </row>
    <row r="675" spans="1:14" x14ac:dyDescent="0.2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35" t="s">
        <v>976</v>
      </c>
      <c r="G675" s="28" t="s">
        <v>1564</v>
      </c>
      <c r="H675" s="28" t="s">
        <v>1565</v>
      </c>
      <c r="I675" s="28" t="s">
        <v>5322</v>
      </c>
      <c r="J675" s="28" t="s">
        <v>5323</v>
      </c>
      <c r="K675" s="28" t="s">
        <v>5420</v>
      </c>
      <c r="L675" s="28" t="s">
        <v>5421</v>
      </c>
      <c r="M675" s="28" t="s">
        <v>5422</v>
      </c>
      <c r="N675" s="28" t="s">
        <v>5068</v>
      </c>
    </row>
    <row r="676" spans="1:14" x14ac:dyDescent="0.2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35" t="s">
        <v>976</v>
      </c>
      <c r="G676" s="28" t="s">
        <v>1566</v>
      </c>
      <c r="H676" s="28" t="s">
        <v>1565</v>
      </c>
      <c r="I676" s="28" t="s">
        <v>5326</v>
      </c>
      <c r="J676" s="28" t="s">
        <v>5323</v>
      </c>
      <c r="K676" s="28" t="s">
        <v>5423</v>
      </c>
      <c r="L676" s="28" t="s">
        <v>5421</v>
      </c>
      <c r="M676" s="28" t="s">
        <v>5067</v>
      </c>
      <c r="N676" s="28" t="s">
        <v>5068</v>
      </c>
    </row>
    <row r="677" spans="1:14" x14ac:dyDescent="0.2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35" t="s">
        <v>976</v>
      </c>
      <c r="G677" s="28" t="s">
        <v>1567</v>
      </c>
      <c r="H677" s="28" t="s">
        <v>1565</v>
      </c>
      <c r="I677" s="28" t="s">
        <v>5328</v>
      </c>
      <c r="J677" s="28" t="s">
        <v>5323</v>
      </c>
      <c r="K677" s="28" t="s">
        <v>5424</v>
      </c>
      <c r="L677" s="28" t="s">
        <v>5421</v>
      </c>
      <c r="M677" s="28" t="s">
        <v>5070</v>
      </c>
      <c r="N677" s="28" t="s">
        <v>5068</v>
      </c>
    </row>
    <row r="678" spans="1:14" x14ac:dyDescent="0.2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35" t="s">
        <v>976</v>
      </c>
      <c r="G678" s="28" t="s">
        <v>1568</v>
      </c>
      <c r="H678" s="28" t="s">
        <v>1565</v>
      </c>
      <c r="I678" s="28" t="s">
        <v>5425</v>
      </c>
      <c r="J678" s="28" t="s">
        <v>5323</v>
      </c>
      <c r="K678" s="28" t="s">
        <v>5426</v>
      </c>
      <c r="L678" s="28" t="s">
        <v>5421</v>
      </c>
      <c r="M678" s="28" t="s">
        <v>5072</v>
      </c>
      <c r="N678" s="28" t="s">
        <v>5068</v>
      </c>
    </row>
    <row r="679" spans="1:14" x14ac:dyDescent="0.2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35" t="s">
        <v>976</v>
      </c>
      <c r="G679" s="28" t="s">
        <v>1569</v>
      </c>
      <c r="H679" s="28" t="s">
        <v>1565</v>
      </c>
      <c r="I679" s="28" t="s">
        <v>5330</v>
      </c>
      <c r="J679" s="28" t="s">
        <v>5323</v>
      </c>
      <c r="K679" s="28" t="s">
        <v>5427</v>
      </c>
      <c r="L679" s="28" t="s">
        <v>5421</v>
      </c>
      <c r="M679" s="28" t="s">
        <v>5428</v>
      </c>
      <c r="N679" s="28" t="s">
        <v>5068</v>
      </c>
    </row>
    <row r="680" spans="1:14" x14ac:dyDescent="0.2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35" t="s">
        <v>977</v>
      </c>
      <c r="G680" s="28" t="s">
        <v>1570</v>
      </c>
      <c r="H680" s="28" t="s">
        <v>1541</v>
      </c>
      <c r="I680" s="28" t="s">
        <v>5333</v>
      </c>
      <c r="J680" s="28" t="s">
        <v>5334</v>
      </c>
      <c r="K680" s="28" t="s">
        <v>5429</v>
      </c>
      <c r="L680" s="28" t="s">
        <v>5430</v>
      </c>
      <c r="M680" s="28" t="s">
        <v>5075</v>
      </c>
      <c r="N680" s="28" t="s">
        <v>5076</v>
      </c>
    </row>
    <row r="681" spans="1:14" x14ac:dyDescent="0.2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35" t="s">
        <v>977</v>
      </c>
      <c r="G681" s="28" t="s">
        <v>1571</v>
      </c>
      <c r="H681" s="28" t="s">
        <v>1541</v>
      </c>
      <c r="I681" s="28" t="s">
        <v>5431</v>
      </c>
      <c r="J681" s="28" t="s">
        <v>5334</v>
      </c>
      <c r="K681" s="28" t="s">
        <v>5432</v>
      </c>
      <c r="L681" s="28" t="s">
        <v>5430</v>
      </c>
      <c r="M681" s="28" t="s">
        <v>5078</v>
      </c>
      <c r="N681" s="28" t="s">
        <v>5076</v>
      </c>
    </row>
    <row r="682" spans="1:14" x14ac:dyDescent="0.2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35" t="s">
        <v>977</v>
      </c>
      <c r="G682" s="28" t="s">
        <v>1540</v>
      </c>
      <c r="H682" s="28" t="s">
        <v>1541</v>
      </c>
      <c r="I682" s="28" t="s">
        <v>5433</v>
      </c>
      <c r="J682" s="28" t="s">
        <v>5334</v>
      </c>
      <c r="K682" s="28" t="s">
        <v>5434</v>
      </c>
      <c r="L682" s="28" t="s">
        <v>5430</v>
      </c>
      <c r="M682" s="28" t="s">
        <v>5080</v>
      </c>
      <c r="N682" s="28" t="s">
        <v>5076</v>
      </c>
    </row>
    <row r="683" spans="1:14" x14ac:dyDescent="0.2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35" t="s">
        <v>977</v>
      </c>
      <c r="G683" s="28" t="s">
        <v>1572</v>
      </c>
      <c r="H683" s="28" t="s">
        <v>1541</v>
      </c>
      <c r="I683" s="28" t="s">
        <v>5337</v>
      </c>
      <c r="J683" s="28" t="s">
        <v>5334</v>
      </c>
      <c r="K683" s="28" t="s">
        <v>5435</v>
      </c>
      <c r="L683" s="28" t="s">
        <v>5430</v>
      </c>
      <c r="M683" s="28" t="s">
        <v>5083</v>
      </c>
      <c r="N683" s="28" t="s">
        <v>5076</v>
      </c>
    </row>
    <row r="684" spans="1:14" x14ac:dyDescent="0.2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35" t="s">
        <v>978</v>
      </c>
      <c r="G684" s="28" t="s">
        <v>1542</v>
      </c>
      <c r="H684" s="28" t="s">
        <v>1543</v>
      </c>
      <c r="I684" s="28" t="s">
        <v>5436</v>
      </c>
      <c r="J684" s="28" t="s">
        <v>5341</v>
      </c>
      <c r="K684" s="28" t="s">
        <v>5437</v>
      </c>
      <c r="L684" s="28" t="s">
        <v>5438</v>
      </c>
      <c r="M684" s="28" t="s">
        <v>5087</v>
      </c>
      <c r="N684" s="28" t="s">
        <v>5088</v>
      </c>
    </row>
    <row r="685" spans="1:14" x14ac:dyDescent="0.2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35" t="s">
        <v>978</v>
      </c>
      <c r="G685" s="28" t="s">
        <v>1576</v>
      </c>
      <c r="H685" s="28" t="s">
        <v>1543</v>
      </c>
      <c r="I685" s="28" t="s">
        <v>5340</v>
      </c>
      <c r="J685" s="28" t="s">
        <v>5341</v>
      </c>
      <c r="K685" s="28" t="s">
        <v>5439</v>
      </c>
      <c r="L685" s="28" t="s">
        <v>5438</v>
      </c>
      <c r="M685" s="28" t="s">
        <v>5092</v>
      </c>
      <c r="N685" s="28" t="s">
        <v>5088</v>
      </c>
    </row>
    <row r="686" spans="1:14" x14ac:dyDescent="0.2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35" t="s">
        <v>978</v>
      </c>
      <c r="G686" s="28" t="s">
        <v>1545</v>
      </c>
      <c r="H686" s="28" t="s">
        <v>1543</v>
      </c>
      <c r="I686" s="28" t="s">
        <v>5440</v>
      </c>
      <c r="J686" s="28" t="s">
        <v>5341</v>
      </c>
      <c r="K686" s="28" t="s">
        <v>5441</v>
      </c>
      <c r="L686" s="28" t="s">
        <v>5438</v>
      </c>
      <c r="M686" s="28" t="s">
        <v>5094</v>
      </c>
      <c r="N686" s="28" t="s">
        <v>5088</v>
      </c>
    </row>
    <row r="687" spans="1:14" x14ac:dyDescent="0.2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35" t="s">
        <v>978</v>
      </c>
      <c r="G687" s="28" t="s">
        <v>1546</v>
      </c>
      <c r="H687" s="28" t="s">
        <v>1543</v>
      </c>
      <c r="I687" s="28" t="s">
        <v>5442</v>
      </c>
      <c r="J687" s="28" t="s">
        <v>5341</v>
      </c>
      <c r="K687" s="28" t="s">
        <v>5443</v>
      </c>
      <c r="L687" s="28" t="s">
        <v>5438</v>
      </c>
      <c r="M687" s="28" t="s">
        <v>5444</v>
      </c>
      <c r="N687" s="28" t="s">
        <v>5088</v>
      </c>
    </row>
    <row r="688" spans="1:14" x14ac:dyDescent="0.2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35" t="s">
        <v>979</v>
      </c>
      <c r="G688" s="28" t="s">
        <v>1547</v>
      </c>
      <c r="H688" s="28" t="s">
        <v>1548</v>
      </c>
      <c r="I688" s="28" t="s">
        <v>5445</v>
      </c>
      <c r="J688" s="28" t="s">
        <v>5446</v>
      </c>
      <c r="K688" s="28" t="s">
        <v>5447</v>
      </c>
      <c r="L688" s="28" t="s">
        <v>5448</v>
      </c>
      <c r="M688" s="28" t="s">
        <v>5098</v>
      </c>
      <c r="N688" s="28" t="s">
        <v>5099</v>
      </c>
    </row>
    <row r="689" spans="1:14" x14ac:dyDescent="0.2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35" t="s">
        <v>979</v>
      </c>
      <c r="G689" s="28" t="s">
        <v>1549</v>
      </c>
      <c r="H689" s="28" t="s">
        <v>1548</v>
      </c>
      <c r="I689" s="28" t="s">
        <v>5449</v>
      </c>
      <c r="J689" s="28" t="s">
        <v>5446</v>
      </c>
      <c r="K689" s="28" t="s">
        <v>5450</v>
      </c>
      <c r="L689" s="28" t="s">
        <v>5448</v>
      </c>
      <c r="M689" s="28" t="s">
        <v>5101</v>
      </c>
      <c r="N689" s="28" t="s">
        <v>5099</v>
      </c>
    </row>
    <row r="690" spans="1:14" x14ac:dyDescent="0.2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35" t="s">
        <v>979</v>
      </c>
      <c r="G690" s="28" t="s">
        <v>1550</v>
      </c>
      <c r="H690" s="28" t="s">
        <v>1548</v>
      </c>
      <c r="I690" s="28" t="s">
        <v>5451</v>
      </c>
      <c r="J690" s="28" t="s">
        <v>5446</v>
      </c>
      <c r="K690" s="28" t="s">
        <v>5452</v>
      </c>
      <c r="L690" s="28" t="s">
        <v>5448</v>
      </c>
      <c r="M690" s="28" t="s">
        <v>5104</v>
      </c>
      <c r="N690" s="28" t="s">
        <v>5099</v>
      </c>
    </row>
    <row r="691" spans="1:14" x14ac:dyDescent="0.2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35" t="s">
        <v>980</v>
      </c>
      <c r="G691" s="28" t="s">
        <v>1554</v>
      </c>
      <c r="H691" s="28" t="s">
        <v>1553</v>
      </c>
      <c r="I691" s="28" t="s">
        <v>5453</v>
      </c>
      <c r="J691" s="28" t="s">
        <v>5346</v>
      </c>
      <c r="K691" s="28" t="s">
        <v>5454</v>
      </c>
      <c r="L691" s="28" t="s">
        <v>5455</v>
      </c>
      <c r="M691" s="28" t="s">
        <v>5456</v>
      </c>
      <c r="N691" s="28" t="s">
        <v>5109</v>
      </c>
    </row>
    <row r="692" spans="1:14" x14ac:dyDescent="0.2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35" t="s">
        <v>981</v>
      </c>
      <c r="G692" s="28" t="s">
        <v>1637</v>
      </c>
      <c r="H692" s="28" t="s">
        <v>1575</v>
      </c>
      <c r="I692" s="28" t="s">
        <v>5457</v>
      </c>
      <c r="J692" s="28" t="s">
        <v>5352</v>
      </c>
      <c r="K692" s="28" t="s">
        <v>5458</v>
      </c>
      <c r="L692" s="28" t="s">
        <v>5459</v>
      </c>
      <c r="M692" s="28" t="s">
        <v>5118</v>
      </c>
      <c r="N692" s="28" t="s">
        <v>5119</v>
      </c>
    </row>
    <row r="693" spans="1:14" x14ac:dyDescent="0.2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35" t="s">
        <v>981</v>
      </c>
      <c r="G693" s="28" t="s">
        <v>1578</v>
      </c>
      <c r="H693" s="28" t="s">
        <v>1575</v>
      </c>
      <c r="I693" s="28" t="s">
        <v>5351</v>
      </c>
      <c r="J693" s="28" t="s">
        <v>5352</v>
      </c>
      <c r="K693" s="28" t="s">
        <v>5460</v>
      </c>
      <c r="L693" s="28" t="s">
        <v>5459</v>
      </c>
      <c r="M693" s="28" t="s">
        <v>5461</v>
      </c>
      <c r="N693" s="28" t="s">
        <v>5119</v>
      </c>
    </row>
    <row r="694" spans="1:14" x14ac:dyDescent="0.2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35" t="s">
        <v>981</v>
      </c>
      <c r="G694" s="28" t="s">
        <v>1574</v>
      </c>
      <c r="H694" s="28" t="s">
        <v>1575</v>
      </c>
      <c r="I694" s="28" t="s">
        <v>5356</v>
      </c>
      <c r="J694" s="28" t="s">
        <v>5352</v>
      </c>
      <c r="K694" s="28" t="s">
        <v>5462</v>
      </c>
      <c r="L694" s="28" t="s">
        <v>5459</v>
      </c>
      <c r="M694" s="28" t="s">
        <v>5122</v>
      </c>
      <c r="N694" s="28" t="s">
        <v>5119</v>
      </c>
    </row>
    <row r="695" spans="1:14" x14ac:dyDescent="0.2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35" t="s">
        <v>995</v>
      </c>
      <c r="G695" s="28" t="s">
        <v>1645</v>
      </c>
      <c r="H695" s="28" t="s">
        <v>1646</v>
      </c>
      <c r="I695" s="28" t="s">
        <v>5463</v>
      </c>
      <c r="J695" s="28" t="s">
        <v>5464</v>
      </c>
      <c r="K695" s="28" t="s">
        <v>5465</v>
      </c>
      <c r="L695" s="28" t="s">
        <v>5466</v>
      </c>
      <c r="M695" s="28" t="s">
        <v>5467</v>
      </c>
      <c r="N695" s="28" t="s">
        <v>5468</v>
      </c>
    </row>
    <row r="696" spans="1:14" x14ac:dyDescent="0.2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35" t="s">
        <v>995</v>
      </c>
      <c r="G696" s="28" t="s">
        <v>1647</v>
      </c>
      <c r="H696" s="28" t="s">
        <v>1646</v>
      </c>
      <c r="I696" s="28" t="s">
        <v>5469</v>
      </c>
      <c r="J696" s="28" t="s">
        <v>5464</v>
      </c>
      <c r="K696" s="28" t="s">
        <v>5470</v>
      </c>
      <c r="L696" s="28" t="s">
        <v>5466</v>
      </c>
      <c r="M696" s="28" t="s">
        <v>5471</v>
      </c>
      <c r="N696" s="28" t="s">
        <v>5468</v>
      </c>
    </row>
    <row r="697" spans="1:14" x14ac:dyDescent="0.2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35" t="s">
        <v>994</v>
      </c>
      <c r="G697" s="28" t="s">
        <v>1640</v>
      </c>
      <c r="H697" s="28" t="s">
        <v>1641</v>
      </c>
      <c r="I697" s="28" t="s">
        <v>5207</v>
      </c>
      <c r="J697" s="28" t="s">
        <v>5208</v>
      </c>
      <c r="K697" s="28" t="s">
        <v>5472</v>
      </c>
      <c r="L697" s="28" t="s">
        <v>5473</v>
      </c>
      <c r="M697" s="28" t="s">
        <v>5474</v>
      </c>
      <c r="N697" s="28" t="s">
        <v>5475</v>
      </c>
    </row>
    <row r="698" spans="1:14" x14ac:dyDescent="0.2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35" t="s">
        <v>994</v>
      </c>
      <c r="G698" s="28" t="s">
        <v>1648</v>
      </c>
      <c r="H698" s="28" t="s">
        <v>1641</v>
      </c>
      <c r="I698" s="28" t="s">
        <v>5476</v>
      </c>
      <c r="J698" s="28" t="s">
        <v>5208</v>
      </c>
      <c r="K698" s="28" t="s">
        <v>5477</v>
      </c>
      <c r="L698" s="28" t="s">
        <v>5473</v>
      </c>
      <c r="M698" s="28" t="s">
        <v>5478</v>
      </c>
      <c r="N698" s="28" t="s">
        <v>5475</v>
      </c>
    </row>
    <row r="699" spans="1:14" x14ac:dyDescent="0.2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35" t="s">
        <v>993</v>
      </c>
      <c r="G699" s="28" t="s">
        <v>1642</v>
      </c>
      <c r="H699" s="28" t="s">
        <v>1631</v>
      </c>
      <c r="I699" s="28" t="s">
        <v>5213</v>
      </c>
      <c r="J699" s="28" t="s">
        <v>5214</v>
      </c>
      <c r="K699" s="28" t="s">
        <v>5479</v>
      </c>
      <c r="L699" s="28" t="s">
        <v>5480</v>
      </c>
      <c r="M699" s="28" t="s">
        <v>5481</v>
      </c>
      <c r="N699" s="28" t="s">
        <v>5482</v>
      </c>
    </row>
    <row r="700" spans="1:14" x14ac:dyDescent="0.2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35" t="s">
        <v>993</v>
      </c>
      <c r="G700" s="28" t="s">
        <v>1643</v>
      </c>
      <c r="H700" s="28" t="s">
        <v>1631</v>
      </c>
      <c r="I700" s="28" t="s">
        <v>5218</v>
      </c>
      <c r="J700" s="28" t="s">
        <v>5214</v>
      </c>
      <c r="K700" s="28" t="s">
        <v>5483</v>
      </c>
      <c r="L700" s="28" t="s">
        <v>5480</v>
      </c>
      <c r="M700" s="28" t="s">
        <v>5484</v>
      </c>
      <c r="N700" s="28" t="s">
        <v>5482</v>
      </c>
    </row>
    <row r="701" spans="1:14" x14ac:dyDescent="0.2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35" t="s">
        <v>993</v>
      </c>
      <c r="G701" s="28" t="s">
        <v>1649</v>
      </c>
      <c r="H701" s="28" t="s">
        <v>1631</v>
      </c>
      <c r="I701" s="28" t="s">
        <v>5485</v>
      </c>
      <c r="J701" s="28" t="s">
        <v>5214</v>
      </c>
      <c r="K701" s="28" t="s">
        <v>5486</v>
      </c>
      <c r="L701" s="28" t="s">
        <v>5480</v>
      </c>
      <c r="M701" s="28" t="s">
        <v>5487</v>
      </c>
      <c r="N701" s="28" t="s">
        <v>5482</v>
      </c>
    </row>
    <row r="702" spans="1:14" x14ac:dyDescent="0.2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35" t="s">
        <v>985</v>
      </c>
      <c r="G702" s="28" t="s">
        <v>1633</v>
      </c>
      <c r="H702" s="28" t="s">
        <v>1592</v>
      </c>
      <c r="I702" s="28" t="s">
        <v>5488</v>
      </c>
      <c r="J702" s="28" t="s">
        <v>5222</v>
      </c>
      <c r="K702" s="28" t="s">
        <v>5489</v>
      </c>
      <c r="L702" s="28" t="s">
        <v>5490</v>
      </c>
      <c r="M702" s="28" t="s">
        <v>5491</v>
      </c>
      <c r="N702" s="28" t="s">
        <v>5492</v>
      </c>
    </row>
    <row r="703" spans="1:14" x14ac:dyDescent="0.2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35" t="s">
        <v>985</v>
      </c>
      <c r="G703" s="28" t="s">
        <v>1620</v>
      </c>
      <c r="H703" s="28" t="s">
        <v>1592</v>
      </c>
      <c r="I703" s="28" t="s">
        <v>5225</v>
      </c>
      <c r="J703" s="28" t="s">
        <v>5222</v>
      </c>
      <c r="K703" s="28" t="s">
        <v>5493</v>
      </c>
      <c r="L703" s="28" t="s">
        <v>5490</v>
      </c>
      <c r="M703" s="28" t="s">
        <v>5494</v>
      </c>
      <c r="N703" s="28" t="s">
        <v>5492</v>
      </c>
    </row>
    <row r="704" spans="1:14" x14ac:dyDescent="0.2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35" t="s">
        <v>986</v>
      </c>
      <c r="G704" s="28" t="s">
        <v>1593</v>
      </c>
      <c r="H704" s="28" t="s">
        <v>1594</v>
      </c>
      <c r="I704" s="28" t="s">
        <v>5227</v>
      </c>
      <c r="J704" s="28" t="s">
        <v>5228</v>
      </c>
      <c r="K704" s="28" t="s">
        <v>5495</v>
      </c>
      <c r="L704" s="28" t="s">
        <v>5496</v>
      </c>
      <c r="M704" s="28" t="s">
        <v>5497</v>
      </c>
      <c r="N704" s="28" t="s">
        <v>5498</v>
      </c>
    </row>
    <row r="705" spans="1:14" x14ac:dyDescent="0.2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35" t="s">
        <v>986</v>
      </c>
      <c r="G705" s="28" t="s">
        <v>1595</v>
      </c>
      <c r="H705" s="28" t="s">
        <v>1594</v>
      </c>
      <c r="I705" s="28" t="s">
        <v>5231</v>
      </c>
      <c r="J705" s="28" t="s">
        <v>5228</v>
      </c>
      <c r="K705" s="28" t="s">
        <v>5499</v>
      </c>
      <c r="L705" s="28" t="s">
        <v>5496</v>
      </c>
      <c r="M705" s="28" t="s">
        <v>5500</v>
      </c>
      <c r="N705" s="28" t="s">
        <v>5498</v>
      </c>
    </row>
    <row r="706" spans="1:14" x14ac:dyDescent="0.2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35" t="s">
        <v>986</v>
      </c>
      <c r="G706" s="28" t="s">
        <v>1596</v>
      </c>
      <c r="H706" s="28" t="s">
        <v>1594</v>
      </c>
      <c r="I706" s="28" t="s">
        <v>5233</v>
      </c>
      <c r="J706" s="28" t="s">
        <v>5228</v>
      </c>
      <c r="K706" s="28" t="s">
        <v>5501</v>
      </c>
      <c r="L706" s="28" t="s">
        <v>5496</v>
      </c>
      <c r="M706" s="28" t="s">
        <v>5502</v>
      </c>
      <c r="N706" s="28" t="s">
        <v>5498</v>
      </c>
    </row>
    <row r="707" spans="1:14" x14ac:dyDescent="0.2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35" t="s">
        <v>986</v>
      </c>
      <c r="G707" s="28" t="s">
        <v>1597</v>
      </c>
      <c r="H707" s="28" t="s">
        <v>1594</v>
      </c>
      <c r="I707" s="28" t="s">
        <v>5236</v>
      </c>
      <c r="J707" s="28" t="s">
        <v>5228</v>
      </c>
      <c r="K707" s="28" t="s">
        <v>5503</v>
      </c>
      <c r="L707" s="28" t="s">
        <v>5496</v>
      </c>
      <c r="M707" s="28" t="s">
        <v>5504</v>
      </c>
      <c r="N707" s="28" t="s">
        <v>5498</v>
      </c>
    </row>
    <row r="708" spans="1:14" x14ac:dyDescent="0.2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35" t="s">
        <v>987</v>
      </c>
      <c r="G708" s="28" t="s">
        <v>1600</v>
      </c>
      <c r="H708" s="28" t="s">
        <v>1599</v>
      </c>
      <c r="I708" s="28" t="s">
        <v>5240</v>
      </c>
      <c r="J708" s="28" t="s">
        <v>5241</v>
      </c>
      <c r="K708" s="28" t="s">
        <v>5505</v>
      </c>
      <c r="L708" s="28" t="s">
        <v>5506</v>
      </c>
      <c r="M708" s="28" t="s">
        <v>5507</v>
      </c>
      <c r="N708" s="28" t="s">
        <v>5508</v>
      </c>
    </row>
    <row r="709" spans="1:14" x14ac:dyDescent="0.2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35" t="s">
        <v>987</v>
      </c>
      <c r="G709" s="28" t="s">
        <v>1622</v>
      </c>
      <c r="H709" s="28" t="s">
        <v>1599</v>
      </c>
      <c r="I709" s="28" t="s">
        <v>5247</v>
      </c>
      <c r="J709" s="28" t="s">
        <v>5241</v>
      </c>
      <c r="K709" s="28" t="s">
        <v>5509</v>
      </c>
      <c r="L709" s="28" t="s">
        <v>5506</v>
      </c>
      <c r="M709" s="28" t="s">
        <v>5510</v>
      </c>
      <c r="N709" s="28" t="s">
        <v>5508</v>
      </c>
    </row>
    <row r="710" spans="1:14" x14ac:dyDescent="0.2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35" t="s">
        <v>988</v>
      </c>
      <c r="G710" s="28" t="s">
        <v>1634</v>
      </c>
      <c r="H710" s="28" t="s">
        <v>1603</v>
      </c>
      <c r="I710" s="28" t="s">
        <v>5249</v>
      </c>
      <c r="J710" s="28" t="s">
        <v>5250</v>
      </c>
      <c r="K710" s="28" t="s">
        <v>5511</v>
      </c>
      <c r="L710" s="28" t="s">
        <v>5512</v>
      </c>
      <c r="M710" s="28" t="s">
        <v>5513</v>
      </c>
      <c r="N710" s="28" t="s">
        <v>5514</v>
      </c>
    </row>
    <row r="711" spans="1:14" x14ac:dyDescent="0.2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35" t="s">
        <v>988</v>
      </c>
      <c r="G711" s="28" t="s">
        <v>1602</v>
      </c>
      <c r="H711" s="28" t="s">
        <v>1603</v>
      </c>
      <c r="I711" s="28" t="s">
        <v>5253</v>
      </c>
      <c r="J711" s="28" t="s">
        <v>5250</v>
      </c>
      <c r="K711" s="28" t="s">
        <v>5515</v>
      </c>
      <c r="L711" s="28" t="s">
        <v>5512</v>
      </c>
      <c r="M711" s="28" t="s">
        <v>5516</v>
      </c>
      <c r="N711" s="28" t="s">
        <v>5514</v>
      </c>
    </row>
    <row r="712" spans="1:14" x14ac:dyDescent="0.2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35" t="s">
        <v>988</v>
      </c>
      <c r="G712" s="28" t="s">
        <v>1635</v>
      </c>
      <c r="H712" s="28" t="s">
        <v>1603</v>
      </c>
      <c r="I712" s="28" t="s">
        <v>5256</v>
      </c>
      <c r="J712" s="28" t="s">
        <v>5250</v>
      </c>
      <c r="K712" s="28" t="s">
        <v>5517</v>
      </c>
      <c r="L712" s="28" t="s">
        <v>5512</v>
      </c>
      <c r="M712" s="28" t="s">
        <v>5518</v>
      </c>
      <c r="N712" s="28" t="s">
        <v>5514</v>
      </c>
    </row>
    <row r="713" spans="1:14" x14ac:dyDescent="0.2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35" t="s">
        <v>988</v>
      </c>
      <c r="G713" s="28" t="s">
        <v>1623</v>
      </c>
      <c r="H713" s="28" t="s">
        <v>1603</v>
      </c>
      <c r="I713" s="28" t="s">
        <v>5258</v>
      </c>
      <c r="J713" s="28" t="s">
        <v>5250</v>
      </c>
      <c r="K713" s="28" t="s">
        <v>5519</v>
      </c>
      <c r="L713" s="28" t="s">
        <v>5512</v>
      </c>
      <c r="M713" s="28" t="s">
        <v>5520</v>
      </c>
      <c r="N713" s="28" t="s">
        <v>5514</v>
      </c>
    </row>
    <row r="714" spans="1:14" x14ac:dyDescent="0.2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35" t="s">
        <v>988</v>
      </c>
      <c r="G714" s="28" t="s">
        <v>1604</v>
      </c>
      <c r="H714" s="28" t="s">
        <v>1603</v>
      </c>
      <c r="I714" s="28" t="s">
        <v>5260</v>
      </c>
      <c r="J714" s="28" t="s">
        <v>5250</v>
      </c>
      <c r="K714" s="28" t="s">
        <v>5521</v>
      </c>
      <c r="L714" s="28" t="s">
        <v>5512</v>
      </c>
      <c r="M714" s="28" t="s">
        <v>5522</v>
      </c>
      <c r="N714" s="28" t="s">
        <v>5514</v>
      </c>
    </row>
    <row r="715" spans="1:14" x14ac:dyDescent="0.2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35" t="s">
        <v>989</v>
      </c>
      <c r="G715" s="28" t="s">
        <v>1605</v>
      </c>
      <c r="H715" s="28" t="s">
        <v>1606</v>
      </c>
      <c r="I715" s="28" t="s">
        <v>5262</v>
      </c>
      <c r="J715" s="28" t="s">
        <v>5263</v>
      </c>
      <c r="K715" s="28" t="s">
        <v>5523</v>
      </c>
      <c r="L715" s="28" t="s">
        <v>5524</v>
      </c>
      <c r="M715" s="28" t="s">
        <v>5525</v>
      </c>
      <c r="N715" s="28" t="s">
        <v>5526</v>
      </c>
    </row>
    <row r="716" spans="1:14" x14ac:dyDescent="0.2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35" t="s">
        <v>989</v>
      </c>
      <c r="G716" s="28" t="s">
        <v>1624</v>
      </c>
      <c r="H716" s="28" t="s">
        <v>1606</v>
      </c>
      <c r="I716" s="28" t="s">
        <v>5266</v>
      </c>
      <c r="J716" s="28" t="s">
        <v>5263</v>
      </c>
      <c r="K716" s="28" t="s">
        <v>5527</v>
      </c>
      <c r="L716" s="28" t="s">
        <v>5524</v>
      </c>
      <c r="M716" s="28" t="s">
        <v>5528</v>
      </c>
      <c r="N716" s="28" t="s">
        <v>5526</v>
      </c>
    </row>
    <row r="717" spans="1:14" x14ac:dyDescent="0.2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35" t="s">
        <v>989</v>
      </c>
      <c r="G717" s="28" t="s">
        <v>1625</v>
      </c>
      <c r="H717" s="28" t="s">
        <v>1606</v>
      </c>
      <c r="I717" s="28" t="s">
        <v>5268</v>
      </c>
      <c r="J717" s="28" t="s">
        <v>5263</v>
      </c>
      <c r="K717" s="28" t="s">
        <v>5529</v>
      </c>
      <c r="L717" s="28" t="s">
        <v>5524</v>
      </c>
      <c r="M717" s="28" t="s">
        <v>5530</v>
      </c>
      <c r="N717" s="28" t="s">
        <v>5526</v>
      </c>
    </row>
    <row r="718" spans="1:14" x14ac:dyDescent="0.2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35" t="s">
        <v>989</v>
      </c>
      <c r="G718" s="28" t="s">
        <v>1626</v>
      </c>
      <c r="H718" s="28" t="s">
        <v>1606</v>
      </c>
      <c r="I718" s="28" t="s">
        <v>5270</v>
      </c>
      <c r="J718" s="28" t="s">
        <v>5263</v>
      </c>
      <c r="K718" s="28" t="s">
        <v>5531</v>
      </c>
      <c r="L718" s="28" t="s">
        <v>5524</v>
      </c>
      <c r="M718" s="28" t="s">
        <v>5532</v>
      </c>
      <c r="N718" s="28" t="s">
        <v>5526</v>
      </c>
    </row>
    <row r="719" spans="1:14" x14ac:dyDescent="0.2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35" t="s">
        <v>990</v>
      </c>
      <c r="G719" s="28" t="s">
        <v>1627</v>
      </c>
      <c r="H719" s="28" t="s">
        <v>1608</v>
      </c>
      <c r="I719" s="28" t="s">
        <v>5272</v>
      </c>
      <c r="J719" s="28" t="s">
        <v>5273</v>
      </c>
      <c r="K719" s="28" t="s">
        <v>5533</v>
      </c>
      <c r="L719" s="28" t="s">
        <v>5534</v>
      </c>
      <c r="M719" s="28" t="s">
        <v>5535</v>
      </c>
      <c r="N719" s="28" t="s">
        <v>5536</v>
      </c>
    </row>
    <row r="720" spans="1:14" x14ac:dyDescent="0.2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35" t="s">
        <v>990</v>
      </c>
      <c r="G720" s="28" t="s">
        <v>1607</v>
      </c>
      <c r="H720" s="28" t="s">
        <v>1608</v>
      </c>
      <c r="I720" s="28" t="s">
        <v>5276</v>
      </c>
      <c r="J720" s="28" t="s">
        <v>5273</v>
      </c>
      <c r="K720" s="28" t="s">
        <v>5537</v>
      </c>
      <c r="L720" s="28" t="s">
        <v>5534</v>
      </c>
      <c r="M720" s="28" t="s">
        <v>5538</v>
      </c>
      <c r="N720" s="28" t="s">
        <v>5536</v>
      </c>
    </row>
    <row r="721" spans="1:14" x14ac:dyDescent="0.2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35" t="s">
        <v>990</v>
      </c>
      <c r="G721" s="28" t="s">
        <v>1628</v>
      </c>
      <c r="H721" s="28" t="s">
        <v>1608</v>
      </c>
      <c r="I721" s="28" t="s">
        <v>5280</v>
      </c>
      <c r="J721" s="28" t="s">
        <v>5273</v>
      </c>
      <c r="K721" s="28" t="s">
        <v>5539</v>
      </c>
      <c r="L721" s="28" t="s">
        <v>5534</v>
      </c>
      <c r="M721" s="28" t="s">
        <v>5540</v>
      </c>
      <c r="N721" s="28" t="s">
        <v>5536</v>
      </c>
    </row>
    <row r="722" spans="1:14" x14ac:dyDescent="0.2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35" t="s">
        <v>991</v>
      </c>
      <c r="G722" s="28" t="s">
        <v>1638</v>
      </c>
      <c r="H722" s="28" t="s">
        <v>1611</v>
      </c>
      <c r="I722" s="28" t="s">
        <v>5288</v>
      </c>
      <c r="J722" s="28" t="s">
        <v>5283</v>
      </c>
      <c r="K722" s="28" t="s">
        <v>5541</v>
      </c>
      <c r="L722" s="28" t="s">
        <v>5542</v>
      </c>
      <c r="M722" s="28" t="s">
        <v>5543</v>
      </c>
      <c r="N722" s="28" t="s">
        <v>5544</v>
      </c>
    </row>
    <row r="723" spans="1:14" x14ac:dyDescent="0.2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35" t="s">
        <v>992</v>
      </c>
      <c r="G723" s="28" t="s">
        <v>1614</v>
      </c>
      <c r="H723" s="28" t="s">
        <v>1615</v>
      </c>
      <c r="I723" s="28" t="s">
        <v>5291</v>
      </c>
      <c r="J723" s="28" t="s">
        <v>5292</v>
      </c>
      <c r="K723" s="28" t="s">
        <v>5545</v>
      </c>
      <c r="L723" s="28" t="s">
        <v>5546</v>
      </c>
      <c r="M723" s="28" t="s">
        <v>5547</v>
      </c>
      <c r="N723" s="28" t="s">
        <v>5548</v>
      </c>
    </row>
    <row r="724" spans="1:14" x14ac:dyDescent="0.2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35" t="s">
        <v>992</v>
      </c>
      <c r="G724" s="28" t="s">
        <v>1616</v>
      </c>
      <c r="H724" s="28" t="s">
        <v>1615</v>
      </c>
      <c r="I724" s="28" t="s">
        <v>5295</v>
      </c>
      <c r="J724" s="28" t="s">
        <v>5292</v>
      </c>
      <c r="K724" s="28" t="s">
        <v>5549</v>
      </c>
      <c r="L724" s="28" t="s">
        <v>5546</v>
      </c>
      <c r="M724" s="28" t="s">
        <v>5550</v>
      </c>
      <c r="N724" s="28" t="s">
        <v>5548</v>
      </c>
    </row>
    <row r="725" spans="1:14" x14ac:dyDescent="0.2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35" t="s">
        <v>992</v>
      </c>
      <c r="G725" s="28" t="s">
        <v>1617</v>
      </c>
      <c r="H725" s="28" t="s">
        <v>1615</v>
      </c>
      <c r="I725" s="28" t="s">
        <v>5297</v>
      </c>
      <c r="J725" s="28" t="s">
        <v>5292</v>
      </c>
      <c r="K725" s="28" t="s">
        <v>5551</v>
      </c>
      <c r="L725" s="28" t="s">
        <v>5546</v>
      </c>
      <c r="M725" s="28" t="s">
        <v>5552</v>
      </c>
      <c r="N725" s="28" t="s">
        <v>5548</v>
      </c>
    </row>
    <row r="726" spans="1:14" x14ac:dyDescent="0.2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35" t="s">
        <v>983</v>
      </c>
      <c r="G726" s="28" t="s">
        <v>1644</v>
      </c>
      <c r="H726" s="28" t="s">
        <v>1556</v>
      </c>
      <c r="I726" s="28" t="s">
        <v>5299</v>
      </c>
      <c r="J726" s="28" t="s">
        <v>5300</v>
      </c>
      <c r="K726" s="28" t="s">
        <v>5553</v>
      </c>
      <c r="L726" s="28" t="s">
        <v>5554</v>
      </c>
      <c r="M726" s="28" t="s">
        <v>5555</v>
      </c>
      <c r="N726" s="28" t="s">
        <v>4134</v>
      </c>
    </row>
    <row r="727" spans="1:14" x14ac:dyDescent="0.2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35" t="s">
        <v>983</v>
      </c>
      <c r="G727" s="28" t="s">
        <v>1573</v>
      </c>
      <c r="H727" s="28" t="s">
        <v>1556</v>
      </c>
      <c r="I727" s="28" t="s">
        <v>5304</v>
      </c>
      <c r="J727" s="28" t="s">
        <v>5300</v>
      </c>
      <c r="K727" s="28" t="s">
        <v>5556</v>
      </c>
      <c r="L727" s="28" t="s">
        <v>5554</v>
      </c>
      <c r="M727" s="28" t="s">
        <v>4133</v>
      </c>
      <c r="N727" s="28" t="s">
        <v>4134</v>
      </c>
    </row>
    <row r="728" spans="1:14" x14ac:dyDescent="0.2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35" t="s">
        <v>983</v>
      </c>
      <c r="G728" s="28" t="s">
        <v>1555</v>
      </c>
      <c r="H728" s="28" t="s">
        <v>1556</v>
      </c>
      <c r="I728" s="28" t="s">
        <v>5306</v>
      </c>
      <c r="J728" s="28" t="s">
        <v>5300</v>
      </c>
      <c r="K728" s="28" t="s">
        <v>5557</v>
      </c>
      <c r="L728" s="28" t="s">
        <v>5554</v>
      </c>
      <c r="M728" s="28" t="s">
        <v>4136</v>
      </c>
      <c r="N728" s="28" t="s">
        <v>4134</v>
      </c>
    </row>
    <row r="729" spans="1:14" x14ac:dyDescent="0.2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35" t="s">
        <v>983</v>
      </c>
      <c r="G729" s="28" t="s">
        <v>1557</v>
      </c>
      <c r="H729" s="28" t="s">
        <v>1556</v>
      </c>
      <c r="I729" s="28" t="s">
        <v>5308</v>
      </c>
      <c r="J729" s="28" t="s">
        <v>5300</v>
      </c>
      <c r="K729" s="28" t="s">
        <v>5558</v>
      </c>
      <c r="L729" s="28" t="s">
        <v>5554</v>
      </c>
      <c r="M729" s="28" t="s">
        <v>4138</v>
      </c>
      <c r="N729" s="28" t="s">
        <v>4134</v>
      </c>
    </row>
    <row r="730" spans="1:14" x14ac:dyDescent="0.2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35" t="s">
        <v>983</v>
      </c>
      <c r="G730" s="28" t="s">
        <v>1558</v>
      </c>
      <c r="H730" s="28" t="s">
        <v>1556</v>
      </c>
      <c r="I730" s="28" t="s">
        <v>5310</v>
      </c>
      <c r="J730" s="28" t="s">
        <v>5300</v>
      </c>
      <c r="K730" s="28" t="s">
        <v>5559</v>
      </c>
      <c r="L730" s="28" t="s">
        <v>5554</v>
      </c>
      <c r="M730" s="28" t="s">
        <v>4140</v>
      </c>
      <c r="N730" s="28" t="s">
        <v>4134</v>
      </c>
    </row>
    <row r="731" spans="1:14" x14ac:dyDescent="0.2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35" t="s">
        <v>982</v>
      </c>
      <c r="G731" s="28" t="s">
        <v>1561</v>
      </c>
      <c r="H731" s="28" t="s">
        <v>1560</v>
      </c>
      <c r="I731" s="28" t="s">
        <v>5316</v>
      </c>
      <c r="J731" s="28" t="s">
        <v>5313</v>
      </c>
      <c r="K731" s="28" t="s">
        <v>5560</v>
      </c>
      <c r="L731" s="28" t="s">
        <v>5561</v>
      </c>
      <c r="M731" s="28" t="s">
        <v>4146</v>
      </c>
      <c r="N731" s="28" t="s">
        <v>4144</v>
      </c>
    </row>
    <row r="732" spans="1:14" x14ac:dyDescent="0.2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35" t="s">
        <v>982</v>
      </c>
      <c r="G732" s="28" t="s">
        <v>1562</v>
      </c>
      <c r="H732" s="28" t="s">
        <v>1560</v>
      </c>
      <c r="I732" s="28" t="s">
        <v>5318</v>
      </c>
      <c r="J732" s="28" t="s">
        <v>5313</v>
      </c>
      <c r="K732" s="28" t="s">
        <v>5562</v>
      </c>
      <c r="L732" s="28" t="s">
        <v>5561</v>
      </c>
      <c r="M732" s="28" t="s">
        <v>4148</v>
      </c>
      <c r="N732" s="28" t="s">
        <v>4144</v>
      </c>
    </row>
    <row r="733" spans="1:14" x14ac:dyDescent="0.2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35" t="s">
        <v>982</v>
      </c>
      <c r="G733" s="28" t="s">
        <v>1563</v>
      </c>
      <c r="H733" s="28" t="s">
        <v>1560</v>
      </c>
      <c r="I733" s="28" t="s">
        <v>5320</v>
      </c>
      <c r="J733" s="28" t="s">
        <v>5313</v>
      </c>
      <c r="K733" s="28" t="s">
        <v>5563</v>
      </c>
      <c r="L733" s="28" t="s">
        <v>5561</v>
      </c>
      <c r="M733" s="28" t="s">
        <v>4150</v>
      </c>
      <c r="N733" s="28" t="s">
        <v>4144</v>
      </c>
    </row>
    <row r="734" spans="1:14" x14ac:dyDescent="0.2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35" t="s">
        <v>976</v>
      </c>
      <c r="G734" s="28" t="s">
        <v>1564</v>
      </c>
      <c r="H734" s="28" t="s">
        <v>1565</v>
      </c>
      <c r="I734" s="28" t="s">
        <v>5322</v>
      </c>
      <c r="J734" s="28" t="s">
        <v>5323</v>
      </c>
      <c r="K734" s="28" t="s">
        <v>5564</v>
      </c>
      <c r="L734" s="28" t="s">
        <v>5565</v>
      </c>
      <c r="M734" s="28" t="s">
        <v>4153</v>
      </c>
      <c r="N734" s="28" t="s">
        <v>4154</v>
      </c>
    </row>
    <row r="735" spans="1:14" x14ac:dyDescent="0.2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35" t="s">
        <v>976</v>
      </c>
      <c r="G735" s="28" t="s">
        <v>1566</v>
      </c>
      <c r="H735" s="28" t="s">
        <v>1565</v>
      </c>
      <c r="I735" s="28" t="s">
        <v>5326</v>
      </c>
      <c r="J735" s="28" t="s">
        <v>5323</v>
      </c>
      <c r="K735" s="28" t="s">
        <v>5566</v>
      </c>
      <c r="L735" s="28" t="s">
        <v>5565</v>
      </c>
      <c r="M735" s="28" t="s">
        <v>4156</v>
      </c>
      <c r="N735" s="28" t="s">
        <v>4154</v>
      </c>
    </row>
    <row r="736" spans="1:14" x14ac:dyDescent="0.2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35" t="s">
        <v>976</v>
      </c>
      <c r="G736" s="28" t="s">
        <v>1567</v>
      </c>
      <c r="H736" s="28" t="s">
        <v>1565</v>
      </c>
      <c r="I736" s="28" t="s">
        <v>5328</v>
      </c>
      <c r="J736" s="28" t="s">
        <v>5323</v>
      </c>
      <c r="K736" s="28" t="s">
        <v>5567</v>
      </c>
      <c r="L736" s="28" t="s">
        <v>5565</v>
      </c>
      <c r="M736" s="28" t="s">
        <v>4158</v>
      </c>
      <c r="N736" s="28" t="s">
        <v>4154</v>
      </c>
    </row>
    <row r="737" spans="1:14" x14ac:dyDescent="0.2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35" t="s">
        <v>976</v>
      </c>
      <c r="G737" s="28" t="s">
        <v>1568</v>
      </c>
      <c r="H737" s="28" t="s">
        <v>1565</v>
      </c>
      <c r="I737" s="28" t="s">
        <v>5425</v>
      </c>
      <c r="J737" s="28" t="s">
        <v>5323</v>
      </c>
      <c r="K737" s="28" t="s">
        <v>5568</v>
      </c>
      <c r="L737" s="28" t="s">
        <v>5565</v>
      </c>
      <c r="M737" s="28" t="s">
        <v>4160</v>
      </c>
      <c r="N737" s="28" t="s">
        <v>4154</v>
      </c>
    </row>
    <row r="738" spans="1:14" x14ac:dyDescent="0.2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35" t="s">
        <v>976</v>
      </c>
      <c r="G738" s="28" t="s">
        <v>1569</v>
      </c>
      <c r="H738" s="28" t="s">
        <v>1565</v>
      </c>
      <c r="I738" s="28" t="s">
        <v>5330</v>
      </c>
      <c r="J738" s="28" t="s">
        <v>5323</v>
      </c>
      <c r="K738" s="28" t="s">
        <v>5569</v>
      </c>
      <c r="L738" s="28" t="s">
        <v>5565</v>
      </c>
      <c r="M738" s="28" t="s">
        <v>4162</v>
      </c>
      <c r="N738" s="28" t="s">
        <v>4154</v>
      </c>
    </row>
    <row r="739" spans="1:14" x14ac:dyDescent="0.2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35" t="s">
        <v>977</v>
      </c>
      <c r="G739" s="28" t="s">
        <v>1570</v>
      </c>
      <c r="H739" s="28" t="s">
        <v>1541</v>
      </c>
      <c r="I739" s="28" t="s">
        <v>5333</v>
      </c>
      <c r="J739" s="28" t="s">
        <v>5334</v>
      </c>
      <c r="K739" s="28" t="s">
        <v>5570</v>
      </c>
      <c r="L739" s="28" t="s">
        <v>5571</v>
      </c>
      <c r="M739" s="28" t="s">
        <v>4165</v>
      </c>
      <c r="N739" s="28" t="s">
        <v>4166</v>
      </c>
    </row>
    <row r="740" spans="1:14" x14ac:dyDescent="0.2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35" t="s">
        <v>977</v>
      </c>
      <c r="G740" s="28" t="s">
        <v>1571</v>
      </c>
      <c r="H740" s="28" t="s">
        <v>1541</v>
      </c>
      <c r="I740" s="28" t="s">
        <v>5431</v>
      </c>
      <c r="J740" s="28" t="s">
        <v>5334</v>
      </c>
      <c r="K740" s="28" t="s">
        <v>5572</v>
      </c>
      <c r="L740" s="28" t="s">
        <v>5571</v>
      </c>
      <c r="M740" s="28" t="s">
        <v>5573</v>
      </c>
      <c r="N740" s="28" t="s">
        <v>4166</v>
      </c>
    </row>
    <row r="741" spans="1:14" x14ac:dyDescent="0.2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35" t="s">
        <v>977</v>
      </c>
      <c r="G741" s="28" t="s">
        <v>1572</v>
      </c>
      <c r="H741" s="28" t="s">
        <v>1541</v>
      </c>
      <c r="I741" s="28" t="s">
        <v>5337</v>
      </c>
      <c r="J741" s="28" t="s">
        <v>5334</v>
      </c>
      <c r="K741" s="28" t="s">
        <v>5574</v>
      </c>
      <c r="L741" s="28" t="s">
        <v>5571</v>
      </c>
      <c r="M741" s="28" t="s">
        <v>4170</v>
      </c>
      <c r="N741" s="28" t="s">
        <v>4166</v>
      </c>
    </row>
    <row r="742" spans="1:14" x14ac:dyDescent="0.2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35" t="s">
        <v>978</v>
      </c>
      <c r="G742" s="28" t="s">
        <v>1545</v>
      </c>
      <c r="H742" s="28" t="s">
        <v>1543</v>
      </c>
      <c r="I742" s="28" t="s">
        <v>5440</v>
      </c>
      <c r="J742" s="28" t="s">
        <v>5341</v>
      </c>
      <c r="K742" s="28" t="s">
        <v>5575</v>
      </c>
      <c r="L742" s="28" t="s">
        <v>5576</v>
      </c>
      <c r="M742" s="28" t="s">
        <v>4178</v>
      </c>
      <c r="N742" s="28" t="s">
        <v>4174</v>
      </c>
    </row>
    <row r="743" spans="1:14" x14ac:dyDescent="0.2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35" t="s">
        <v>978</v>
      </c>
      <c r="G743" s="28" t="s">
        <v>1546</v>
      </c>
      <c r="H743" s="28" t="s">
        <v>1543</v>
      </c>
      <c r="I743" s="28" t="s">
        <v>5442</v>
      </c>
      <c r="J743" s="28" t="s">
        <v>5341</v>
      </c>
      <c r="K743" s="28" t="s">
        <v>5577</v>
      </c>
      <c r="L743" s="28" t="s">
        <v>5576</v>
      </c>
      <c r="M743" s="28" t="s">
        <v>4180</v>
      </c>
      <c r="N743" s="28" t="s">
        <v>4174</v>
      </c>
    </row>
    <row r="744" spans="1:14" x14ac:dyDescent="0.2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35" t="s">
        <v>979</v>
      </c>
      <c r="G744" s="28" t="s">
        <v>1551</v>
      </c>
      <c r="H744" s="28" t="s">
        <v>1548</v>
      </c>
      <c r="I744" s="28" t="s">
        <v>5578</v>
      </c>
      <c r="J744" s="28" t="s">
        <v>5446</v>
      </c>
      <c r="K744" s="28" t="s">
        <v>5579</v>
      </c>
      <c r="L744" s="28" t="s">
        <v>5580</v>
      </c>
      <c r="M744" s="28" t="s">
        <v>4190</v>
      </c>
      <c r="N744" s="28" t="s">
        <v>4184</v>
      </c>
    </row>
    <row r="745" spans="1:14" x14ac:dyDescent="0.2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35" t="s">
        <v>980</v>
      </c>
      <c r="G745" s="28" t="s">
        <v>1639</v>
      </c>
      <c r="H745" s="28" t="s">
        <v>1553</v>
      </c>
      <c r="I745" s="28" t="s">
        <v>5345</v>
      </c>
      <c r="J745" s="28" t="s">
        <v>5346</v>
      </c>
      <c r="K745" s="28" t="s">
        <v>5581</v>
      </c>
      <c r="L745" s="28" t="s">
        <v>5582</v>
      </c>
      <c r="M745" s="28" t="s">
        <v>5583</v>
      </c>
      <c r="N745" s="28" t="s">
        <v>5584</v>
      </c>
    </row>
    <row r="746" spans="1:14" x14ac:dyDescent="0.2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35" t="s">
        <v>981</v>
      </c>
      <c r="G746" s="28" t="s">
        <v>1578</v>
      </c>
      <c r="H746" s="28" t="s">
        <v>1575</v>
      </c>
      <c r="I746" s="28" t="s">
        <v>5351</v>
      </c>
      <c r="J746" s="28" t="s">
        <v>5352</v>
      </c>
      <c r="K746" s="28" t="s">
        <v>5585</v>
      </c>
      <c r="L746" s="28" t="s">
        <v>5586</v>
      </c>
      <c r="M746" s="28" t="s">
        <v>5587</v>
      </c>
      <c r="N746" s="28" t="s">
        <v>4196</v>
      </c>
    </row>
    <row r="747" spans="1:14" x14ac:dyDescent="0.2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35" t="s">
        <v>981</v>
      </c>
      <c r="G747" s="28" t="s">
        <v>1574</v>
      </c>
      <c r="H747" s="28" t="s">
        <v>1575</v>
      </c>
      <c r="I747" s="28" t="s">
        <v>5356</v>
      </c>
      <c r="J747" s="28" t="s">
        <v>5352</v>
      </c>
      <c r="K747" s="28" t="s">
        <v>5588</v>
      </c>
      <c r="L747" s="28" t="s">
        <v>5586</v>
      </c>
      <c r="M747" s="28" t="s">
        <v>4195</v>
      </c>
      <c r="N747" s="28" t="s">
        <v>4196</v>
      </c>
    </row>
    <row r="748" spans="1:14" x14ac:dyDescent="0.2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35" t="s">
        <v>986</v>
      </c>
      <c r="G748" s="28" t="s">
        <v>1621</v>
      </c>
      <c r="H748" s="28" t="s">
        <v>1594</v>
      </c>
      <c r="I748" s="28" t="s">
        <v>5238</v>
      </c>
      <c r="J748" s="28" t="s">
        <v>5228</v>
      </c>
      <c r="K748" s="28" t="s">
        <v>5589</v>
      </c>
      <c r="L748" s="28" t="s">
        <v>5590</v>
      </c>
      <c r="M748" s="28" t="s">
        <v>5591</v>
      </c>
      <c r="N748" s="28" t="s">
        <v>5592</v>
      </c>
    </row>
    <row r="749" spans="1:14" x14ac:dyDescent="0.2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35" t="s">
        <v>987</v>
      </c>
      <c r="G749" s="28" t="s">
        <v>1600</v>
      </c>
      <c r="H749" s="28" t="s">
        <v>1599</v>
      </c>
      <c r="I749" s="28" t="s">
        <v>5240</v>
      </c>
      <c r="J749" s="28" t="s">
        <v>5241</v>
      </c>
      <c r="K749" s="28" t="s">
        <v>5593</v>
      </c>
      <c r="L749" s="28" t="s">
        <v>5594</v>
      </c>
      <c r="M749" s="28" t="s">
        <v>5595</v>
      </c>
      <c r="N749" s="28" t="s">
        <v>5596</v>
      </c>
    </row>
    <row r="750" spans="1:14" x14ac:dyDescent="0.2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35" t="s">
        <v>987</v>
      </c>
      <c r="G750" s="28" t="s">
        <v>1601</v>
      </c>
      <c r="H750" s="28" t="s">
        <v>1599</v>
      </c>
      <c r="I750" s="28" t="s">
        <v>5244</v>
      </c>
      <c r="J750" s="28" t="s">
        <v>5241</v>
      </c>
      <c r="K750" s="28" t="s">
        <v>5597</v>
      </c>
      <c r="L750" s="28" t="s">
        <v>5594</v>
      </c>
      <c r="M750" s="28" t="s">
        <v>5598</v>
      </c>
      <c r="N750" s="28" t="s">
        <v>5596</v>
      </c>
    </row>
    <row r="751" spans="1:14" x14ac:dyDescent="0.2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35" t="s">
        <v>987</v>
      </c>
      <c r="G751" s="28" t="s">
        <v>1622</v>
      </c>
      <c r="H751" s="28" t="s">
        <v>1599</v>
      </c>
      <c r="I751" s="28" t="s">
        <v>5247</v>
      </c>
      <c r="J751" s="28" t="s">
        <v>5241</v>
      </c>
      <c r="K751" s="28" t="s">
        <v>5599</v>
      </c>
      <c r="L751" s="28" t="s">
        <v>5594</v>
      </c>
      <c r="M751" s="28" t="s">
        <v>5600</v>
      </c>
      <c r="N751" s="28" t="s">
        <v>5596</v>
      </c>
    </row>
    <row r="752" spans="1:14" x14ac:dyDescent="0.2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35" t="s">
        <v>988</v>
      </c>
      <c r="G752" s="28" t="s">
        <v>1634</v>
      </c>
      <c r="H752" s="28" t="s">
        <v>1603</v>
      </c>
      <c r="I752" s="28" t="s">
        <v>5249</v>
      </c>
      <c r="J752" s="28" t="s">
        <v>5250</v>
      </c>
      <c r="K752" s="28" t="s">
        <v>5601</v>
      </c>
      <c r="L752" s="28" t="s">
        <v>5602</v>
      </c>
      <c r="M752" s="28" t="s">
        <v>5603</v>
      </c>
      <c r="N752" s="28" t="s">
        <v>5604</v>
      </c>
    </row>
    <row r="753" spans="1:14" x14ac:dyDescent="0.2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35" t="s">
        <v>988</v>
      </c>
      <c r="G753" s="28" t="s">
        <v>1602</v>
      </c>
      <c r="H753" s="28" t="s">
        <v>1603</v>
      </c>
      <c r="I753" s="28" t="s">
        <v>5253</v>
      </c>
      <c r="J753" s="28" t="s">
        <v>5250</v>
      </c>
      <c r="K753" s="28" t="s">
        <v>5605</v>
      </c>
      <c r="L753" s="28" t="s">
        <v>5602</v>
      </c>
      <c r="M753" s="28" t="s">
        <v>5606</v>
      </c>
      <c r="N753" s="28" t="s">
        <v>5604</v>
      </c>
    </row>
    <row r="754" spans="1:14" x14ac:dyDescent="0.2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35" t="s">
        <v>988</v>
      </c>
      <c r="G754" s="28" t="s">
        <v>1635</v>
      </c>
      <c r="H754" s="28" t="s">
        <v>1603</v>
      </c>
      <c r="I754" s="28" t="s">
        <v>5256</v>
      </c>
      <c r="J754" s="28" t="s">
        <v>5250</v>
      </c>
      <c r="K754" s="28" t="s">
        <v>5607</v>
      </c>
      <c r="L754" s="28" t="s">
        <v>5602</v>
      </c>
      <c r="M754" s="28" t="s">
        <v>5608</v>
      </c>
      <c r="N754" s="28" t="s">
        <v>5604</v>
      </c>
    </row>
    <row r="755" spans="1:14" x14ac:dyDescent="0.2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35" t="s">
        <v>988</v>
      </c>
      <c r="G755" s="28" t="s">
        <v>1623</v>
      </c>
      <c r="H755" s="28" t="s">
        <v>1603</v>
      </c>
      <c r="I755" s="28" t="s">
        <v>5258</v>
      </c>
      <c r="J755" s="28" t="s">
        <v>5250</v>
      </c>
      <c r="K755" s="28" t="s">
        <v>5609</v>
      </c>
      <c r="L755" s="28" t="s">
        <v>5602</v>
      </c>
      <c r="M755" s="28" t="s">
        <v>5610</v>
      </c>
      <c r="N755" s="28" t="s">
        <v>5604</v>
      </c>
    </row>
    <row r="756" spans="1:14" x14ac:dyDescent="0.2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35" t="s">
        <v>988</v>
      </c>
      <c r="G756" s="28" t="s">
        <v>1604</v>
      </c>
      <c r="H756" s="28" t="s">
        <v>1603</v>
      </c>
      <c r="I756" s="28" t="s">
        <v>5260</v>
      </c>
      <c r="J756" s="28" t="s">
        <v>5250</v>
      </c>
      <c r="K756" s="28" t="s">
        <v>5611</v>
      </c>
      <c r="L756" s="28" t="s">
        <v>5602</v>
      </c>
      <c r="M756" s="28" t="s">
        <v>5612</v>
      </c>
      <c r="N756" s="28" t="s">
        <v>5604</v>
      </c>
    </row>
    <row r="757" spans="1:14" x14ac:dyDescent="0.2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35" t="s">
        <v>989</v>
      </c>
      <c r="G757" s="28" t="s">
        <v>1605</v>
      </c>
      <c r="H757" s="28" t="s">
        <v>1606</v>
      </c>
      <c r="I757" s="28" t="s">
        <v>5262</v>
      </c>
      <c r="J757" s="28" t="s">
        <v>5263</v>
      </c>
      <c r="K757" s="28" t="s">
        <v>5613</v>
      </c>
      <c r="L757" s="28" t="s">
        <v>5614</v>
      </c>
      <c r="M757" s="28" t="s">
        <v>5615</v>
      </c>
      <c r="N757" s="28" t="s">
        <v>5616</v>
      </c>
    </row>
    <row r="758" spans="1:14" x14ac:dyDescent="0.2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35" t="s">
        <v>989</v>
      </c>
      <c r="G758" s="28" t="s">
        <v>1624</v>
      </c>
      <c r="H758" s="28" t="s">
        <v>1606</v>
      </c>
      <c r="I758" s="28" t="s">
        <v>5266</v>
      </c>
      <c r="J758" s="28" t="s">
        <v>5263</v>
      </c>
      <c r="K758" s="28" t="s">
        <v>5617</v>
      </c>
      <c r="L758" s="28" t="s">
        <v>5614</v>
      </c>
      <c r="M758" s="28" t="s">
        <v>5618</v>
      </c>
      <c r="N758" s="28" t="s">
        <v>5616</v>
      </c>
    </row>
    <row r="759" spans="1:14" x14ac:dyDescent="0.2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35" t="s">
        <v>989</v>
      </c>
      <c r="G759" s="28" t="s">
        <v>1626</v>
      </c>
      <c r="H759" s="28" t="s">
        <v>1606</v>
      </c>
      <c r="I759" s="28" t="s">
        <v>5270</v>
      </c>
      <c r="J759" s="28" t="s">
        <v>5263</v>
      </c>
      <c r="K759" s="28" t="s">
        <v>5619</v>
      </c>
      <c r="L759" s="28" t="s">
        <v>5614</v>
      </c>
      <c r="M759" s="28" t="s">
        <v>5620</v>
      </c>
      <c r="N759" s="28" t="s">
        <v>5616</v>
      </c>
    </row>
    <row r="760" spans="1:14" x14ac:dyDescent="0.2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35" t="s">
        <v>990</v>
      </c>
      <c r="G760" s="28" t="s">
        <v>1627</v>
      </c>
      <c r="H760" s="28" t="s">
        <v>1608</v>
      </c>
      <c r="I760" s="28" t="s">
        <v>5272</v>
      </c>
      <c r="J760" s="28" t="s">
        <v>5273</v>
      </c>
      <c r="K760" s="28" t="s">
        <v>5621</v>
      </c>
      <c r="L760" s="28" t="s">
        <v>5622</v>
      </c>
      <c r="M760" s="28" t="s">
        <v>5623</v>
      </c>
      <c r="N760" s="28" t="s">
        <v>5624</v>
      </c>
    </row>
    <row r="761" spans="1:14" x14ac:dyDescent="0.2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35" t="s">
        <v>990</v>
      </c>
      <c r="G761" s="28" t="s">
        <v>1607</v>
      </c>
      <c r="H761" s="28" t="s">
        <v>1608</v>
      </c>
      <c r="I761" s="28" t="s">
        <v>5276</v>
      </c>
      <c r="J761" s="28" t="s">
        <v>5273</v>
      </c>
      <c r="K761" s="28" t="s">
        <v>5625</v>
      </c>
      <c r="L761" s="28" t="s">
        <v>5622</v>
      </c>
      <c r="M761" s="28" t="s">
        <v>5626</v>
      </c>
      <c r="N761" s="28" t="s">
        <v>5624</v>
      </c>
    </row>
    <row r="762" spans="1:14" x14ac:dyDescent="0.2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35" t="s">
        <v>990</v>
      </c>
      <c r="G762" s="28" t="s">
        <v>1609</v>
      </c>
      <c r="H762" s="28" t="s">
        <v>1608</v>
      </c>
      <c r="I762" s="28" t="s">
        <v>5278</v>
      </c>
      <c r="J762" s="28" t="s">
        <v>5273</v>
      </c>
      <c r="K762" s="28" t="s">
        <v>5627</v>
      </c>
      <c r="L762" s="28" t="s">
        <v>5622</v>
      </c>
      <c r="M762" s="28" t="s">
        <v>5628</v>
      </c>
      <c r="N762" s="28" t="s">
        <v>5624</v>
      </c>
    </row>
    <row r="763" spans="1:14" x14ac:dyDescent="0.2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35" t="s">
        <v>990</v>
      </c>
      <c r="G763" s="28" t="s">
        <v>1628</v>
      </c>
      <c r="H763" s="28" t="s">
        <v>1608</v>
      </c>
      <c r="I763" s="28" t="s">
        <v>5280</v>
      </c>
      <c r="J763" s="28" t="s">
        <v>5273</v>
      </c>
      <c r="K763" s="28" t="s">
        <v>5629</v>
      </c>
      <c r="L763" s="28" t="s">
        <v>5622</v>
      </c>
      <c r="M763" s="28" t="s">
        <v>5630</v>
      </c>
      <c r="N763" s="28" t="s">
        <v>5624</v>
      </c>
    </row>
    <row r="764" spans="1:14" x14ac:dyDescent="0.2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35" t="s">
        <v>992</v>
      </c>
      <c r="G764" s="28" t="s">
        <v>1614</v>
      </c>
      <c r="H764" s="28" t="s">
        <v>1615</v>
      </c>
      <c r="I764" s="28" t="s">
        <v>5291</v>
      </c>
      <c r="J764" s="28" t="s">
        <v>5292</v>
      </c>
      <c r="K764" s="28" t="s">
        <v>5631</v>
      </c>
      <c r="L764" s="28" t="s">
        <v>5632</v>
      </c>
      <c r="M764" s="28" t="s">
        <v>5633</v>
      </c>
      <c r="N764" s="28" t="s">
        <v>5634</v>
      </c>
    </row>
    <row r="765" spans="1:14" x14ac:dyDescent="0.2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35" t="s">
        <v>992</v>
      </c>
      <c r="G765" s="28" t="s">
        <v>1629</v>
      </c>
      <c r="H765" s="28" t="s">
        <v>1615</v>
      </c>
      <c r="I765" s="28" t="s">
        <v>5405</v>
      </c>
      <c r="J765" s="28" t="s">
        <v>5292</v>
      </c>
      <c r="K765" s="28" t="s">
        <v>5635</v>
      </c>
      <c r="L765" s="28" t="s">
        <v>5632</v>
      </c>
      <c r="M765" s="28" t="s">
        <v>5636</v>
      </c>
      <c r="N765" s="28" t="s">
        <v>5634</v>
      </c>
    </row>
    <row r="766" spans="1:14" x14ac:dyDescent="0.2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35" t="s">
        <v>992</v>
      </c>
      <c r="G766" s="28" t="s">
        <v>1616</v>
      </c>
      <c r="H766" s="28" t="s">
        <v>1615</v>
      </c>
      <c r="I766" s="28" t="s">
        <v>5295</v>
      </c>
      <c r="J766" s="28" t="s">
        <v>5292</v>
      </c>
      <c r="K766" s="28" t="s">
        <v>5637</v>
      </c>
      <c r="L766" s="28" t="s">
        <v>5632</v>
      </c>
      <c r="M766" s="28" t="s">
        <v>5638</v>
      </c>
      <c r="N766" s="28" t="s">
        <v>5634</v>
      </c>
    </row>
    <row r="767" spans="1:14" x14ac:dyDescent="0.2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35" t="s">
        <v>992</v>
      </c>
      <c r="G767" s="28" t="s">
        <v>1617</v>
      </c>
      <c r="H767" s="28" t="s">
        <v>1615</v>
      </c>
      <c r="I767" s="28" t="s">
        <v>5297</v>
      </c>
      <c r="J767" s="28" t="s">
        <v>5292</v>
      </c>
      <c r="K767" s="28" t="s">
        <v>5639</v>
      </c>
      <c r="L767" s="28" t="s">
        <v>5632</v>
      </c>
      <c r="M767" s="28" t="s">
        <v>5640</v>
      </c>
      <c r="N767" s="28" t="s">
        <v>5634</v>
      </c>
    </row>
    <row r="768" spans="1:14" x14ac:dyDescent="0.2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35" t="s">
        <v>983</v>
      </c>
      <c r="G768" s="28" t="s">
        <v>1644</v>
      </c>
      <c r="H768" s="28" t="s">
        <v>1556</v>
      </c>
      <c r="I768" s="28" t="s">
        <v>5299</v>
      </c>
      <c r="J768" s="28" t="s">
        <v>5300</v>
      </c>
      <c r="K768" s="28" t="s">
        <v>5641</v>
      </c>
      <c r="L768" s="28" t="s">
        <v>5642</v>
      </c>
      <c r="M768" s="28" t="s">
        <v>5643</v>
      </c>
      <c r="N768" s="28" t="s">
        <v>4380</v>
      </c>
    </row>
    <row r="769" spans="1:14" x14ac:dyDescent="0.2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35" t="s">
        <v>983</v>
      </c>
      <c r="G769" s="28" t="s">
        <v>1573</v>
      </c>
      <c r="H769" s="28" t="s">
        <v>1556</v>
      </c>
      <c r="I769" s="28" t="s">
        <v>5304</v>
      </c>
      <c r="J769" s="28" t="s">
        <v>5300</v>
      </c>
      <c r="K769" s="28" t="s">
        <v>5644</v>
      </c>
      <c r="L769" s="28" t="s">
        <v>5642</v>
      </c>
      <c r="M769" s="28" t="s">
        <v>4379</v>
      </c>
      <c r="N769" s="28" t="s">
        <v>4380</v>
      </c>
    </row>
    <row r="770" spans="1:14" x14ac:dyDescent="0.2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35" t="s">
        <v>983</v>
      </c>
      <c r="G770" s="28" t="s">
        <v>1555</v>
      </c>
      <c r="H770" s="28" t="s">
        <v>1556</v>
      </c>
      <c r="I770" s="28" t="s">
        <v>5306</v>
      </c>
      <c r="J770" s="28" t="s">
        <v>5300</v>
      </c>
      <c r="K770" s="28" t="s">
        <v>5645</v>
      </c>
      <c r="L770" s="28" t="s">
        <v>5642</v>
      </c>
      <c r="M770" s="28" t="s">
        <v>4382</v>
      </c>
      <c r="N770" s="28" t="s">
        <v>4380</v>
      </c>
    </row>
    <row r="771" spans="1:14" x14ac:dyDescent="0.2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35" t="s">
        <v>983</v>
      </c>
      <c r="G771" s="28" t="s">
        <v>1558</v>
      </c>
      <c r="H771" s="28" t="s">
        <v>1556</v>
      </c>
      <c r="I771" s="28" t="s">
        <v>5310</v>
      </c>
      <c r="J771" s="28" t="s">
        <v>5300</v>
      </c>
      <c r="K771" s="28" t="s">
        <v>5646</v>
      </c>
      <c r="L771" s="28" t="s">
        <v>5642</v>
      </c>
      <c r="M771" s="28" t="s">
        <v>5647</v>
      </c>
      <c r="N771" s="28" t="s">
        <v>4380</v>
      </c>
    </row>
    <row r="772" spans="1:14" x14ac:dyDescent="0.2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35" t="s">
        <v>982</v>
      </c>
      <c r="G772" s="28" t="s">
        <v>1561</v>
      </c>
      <c r="H772" s="28" t="s">
        <v>1560</v>
      </c>
      <c r="I772" s="28" t="s">
        <v>5316</v>
      </c>
      <c r="J772" s="28" t="s">
        <v>5313</v>
      </c>
      <c r="K772" s="28" t="s">
        <v>5648</v>
      </c>
      <c r="L772" s="28" t="s">
        <v>5649</v>
      </c>
      <c r="M772" s="28" t="s">
        <v>4390</v>
      </c>
      <c r="N772" s="28" t="s">
        <v>4388</v>
      </c>
    </row>
    <row r="773" spans="1:14" x14ac:dyDescent="0.2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35" t="s">
        <v>982</v>
      </c>
      <c r="G773" s="28" t="s">
        <v>1562</v>
      </c>
      <c r="H773" s="28" t="s">
        <v>1560</v>
      </c>
      <c r="I773" s="28" t="s">
        <v>5318</v>
      </c>
      <c r="J773" s="28" t="s">
        <v>5313</v>
      </c>
      <c r="K773" s="28" t="s">
        <v>5650</v>
      </c>
      <c r="L773" s="28" t="s">
        <v>5649</v>
      </c>
      <c r="M773" s="28" t="s">
        <v>4392</v>
      </c>
      <c r="N773" s="28" t="s">
        <v>4388</v>
      </c>
    </row>
    <row r="774" spans="1:14" x14ac:dyDescent="0.2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35" t="s">
        <v>982</v>
      </c>
      <c r="G774" s="28" t="s">
        <v>1563</v>
      </c>
      <c r="H774" s="28" t="s">
        <v>1560</v>
      </c>
      <c r="I774" s="28" t="s">
        <v>5320</v>
      </c>
      <c r="J774" s="28" t="s">
        <v>5313</v>
      </c>
      <c r="K774" s="28" t="s">
        <v>5651</v>
      </c>
      <c r="L774" s="28" t="s">
        <v>5649</v>
      </c>
      <c r="M774" s="28" t="s">
        <v>4394</v>
      </c>
      <c r="N774" s="28" t="s">
        <v>4388</v>
      </c>
    </row>
    <row r="775" spans="1:14" x14ac:dyDescent="0.2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35" t="s">
        <v>976</v>
      </c>
      <c r="G775" s="28" t="s">
        <v>1564</v>
      </c>
      <c r="H775" s="28" t="s">
        <v>1565</v>
      </c>
      <c r="I775" s="28" t="s">
        <v>5322</v>
      </c>
      <c r="J775" s="28" t="s">
        <v>5323</v>
      </c>
      <c r="K775" s="28" t="s">
        <v>5652</v>
      </c>
      <c r="L775" s="28" t="s">
        <v>5653</v>
      </c>
      <c r="M775" s="28" t="s">
        <v>4397</v>
      </c>
      <c r="N775" s="28" t="s">
        <v>4398</v>
      </c>
    </row>
    <row r="776" spans="1:14" x14ac:dyDescent="0.2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35" t="s">
        <v>976</v>
      </c>
      <c r="G776" s="28" t="s">
        <v>1566</v>
      </c>
      <c r="H776" s="28" t="s">
        <v>1565</v>
      </c>
      <c r="I776" s="28" t="s">
        <v>5326</v>
      </c>
      <c r="J776" s="28" t="s">
        <v>5323</v>
      </c>
      <c r="K776" s="28" t="s">
        <v>5654</v>
      </c>
      <c r="L776" s="28" t="s">
        <v>5653</v>
      </c>
      <c r="M776" s="28" t="s">
        <v>4400</v>
      </c>
      <c r="N776" s="28" t="s">
        <v>4398</v>
      </c>
    </row>
    <row r="777" spans="1:14" x14ac:dyDescent="0.2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35" t="s">
        <v>976</v>
      </c>
      <c r="G777" s="28" t="s">
        <v>1567</v>
      </c>
      <c r="H777" s="28" t="s">
        <v>1565</v>
      </c>
      <c r="I777" s="28" t="s">
        <v>5328</v>
      </c>
      <c r="J777" s="28" t="s">
        <v>5323</v>
      </c>
      <c r="K777" s="28" t="s">
        <v>5655</v>
      </c>
      <c r="L777" s="28" t="s">
        <v>5653</v>
      </c>
      <c r="M777" s="28" t="s">
        <v>4402</v>
      </c>
      <c r="N777" s="28" t="s">
        <v>4398</v>
      </c>
    </row>
    <row r="778" spans="1:14" x14ac:dyDescent="0.2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35" t="s">
        <v>976</v>
      </c>
      <c r="G778" s="28" t="s">
        <v>1568</v>
      </c>
      <c r="H778" s="28" t="s">
        <v>1565</v>
      </c>
      <c r="I778" s="28" t="s">
        <v>5425</v>
      </c>
      <c r="J778" s="28" t="s">
        <v>5323</v>
      </c>
      <c r="K778" s="28" t="s">
        <v>5656</v>
      </c>
      <c r="L778" s="28" t="s">
        <v>5653</v>
      </c>
      <c r="M778" s="28" t="s">
        <v>4404</v>
      </c>
      <c r="N778" s="28" t="s">
        <v>4398</v>
      </c>
    </row>
    <row r="779" spans="1:14" x14ac:dyDescent="0.2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35" t="s">
        <v>976</v>
      </c>
      <c r="G779" s="28" t="s">
        <v>1569</v>
      </c>
      <c r="H779" s="28" t="s">
        <v>1565</v>
      </c>
      <c r="I779" s="28" t="s">
        <v>5330</v>
      </c>
      <c r="J779" s="28" t="s">
        <v>5323</v>
      </c>
      <c r="K779" s="28" t="s">
        <v>5657</v>
      </c>
      <c r="L779" s="28" t="s">
        <v>5653</v>
      </c>
      <c r="M779" s="28" t="s">
        <v>4406</v>
      </c>
      <c r="N779" s="28" t="s">
        <v>4398</v>
      </c>
    </row>
    <row r="780" spans="1:14" x14ac:dyDescent="0.2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35" t="s">
        <v>977</v>
      </c>
      <c r="G780" s="28" t="s">
        <v>1570</v>
      </c>
      <c r="H780" s="28" t="s">
        <v>1541</v>
      </c>
      <c r="I780" s="28" t="s">
        <v>5333</v>
      </c>
      <c r="J780" s="28" t="s">
        <v>5334</v>
      </c>
      <c r="K780" s="28" t="s">
        <v>5658</v>
      </c>
      <c r="L780" s="28" t="s">
        <v>5659</v>
      </c>
      <c r="M780" s="28" t="s">
        <v>4409</v>
      </c>
      <c r="N780" s="28" t="s">
        <v>4410</v>
      </c>
    </row>
    <row r="781" spans="1:14" x14ac:dyDescent="0.2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35" t="s">
        <v>977</v>
      </c>
      <c r="G781" s="28" t="s">
        <v>1571</v>
      </c>
      <c r="H781" s="28" t="s">
        <v>1541</v>
      </c>
      <c r="I781" s="28" t="s">
        <v>5431</v>
      </c>
      <c r="J781" s="28" t="s">
        <v>5334</v>
      </c>
      <c r="K781" s="28" t="s">
        <v>5660</v>
      </c>
      <c r="L781" s="28" t="s">
        <v>5659</v>
      </c>
      <c r="M781" s="28" t="s">
        <v>4412</v>
      </c>
      <c r="N781" s="28" t="s">
        <v>4410</v>
      </c>
    </row>
    <row r="782" spans="1:14" x14ac:dyDescent="0.2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35" t="s">
        <v>977</v>
      </c>
      <c r="G782" s="28" t="s">
        <v>1540</v>
      </c>
      <c r="H782" s="28" t="s">
        <v>1541</v>
      </c>
      <c r="I782" s="28" t="s">
        <v>5433</v>
      </c>
      <c r="J782" s="28" t="s">
        <v>5334</v>
      </c>
      <c r="K782" s="28" t="s">
        <v>5661</v>
      </c>
      <c r="L782" s="28" t="s">
        <v>5659</v>
      </c>
      <c r="M782" s="28" t="s">
        <v>4414</v>
      </c>
      <c r="N782" s="28" t="s">
        <v>4410</v>
      </c>
    </row>
    <row r="783" spans="1:14" x14ac:dyDescent="0.2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35" t="s">
        <v>978</v>
      </c>
      <c r="G783" s="28" t="s">
        <v>1542</v>
      </c>
      <c r="H783" s="28" t="s">
        <v>1543</v>
      </c>
      <c r="I783" s="28" t="s">
        <v>5436</v>
      </c>
      <c r="J783" s="28" t="s">
        <v>5341</v>
      </c>
      <c r="K783" s="28" t="s">
        <v>5662</v>
      </c>
      <c r="L783" s="28" t="s">
        <v>5663</v>
      </c>
      <c r="M783" s="28" t="s">
        <v>4419</v>
      </c>
      <c r="N783" s="28" t="s">
        <v>4420</v>
      </c>
    </row>
    <row r="784" spans="1:14" x14ac:dyDescent="0.2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35" t="s">
        <v>978</v>
      </c>
      <c r="G784" s="28" t="s">
        <v>1545</v>
      </c>
      <c r="H784" s="28" t="s">
        <v>1543</v>
      </c>
      <c r="I784" s="28" t="s">
        <v>5440</v>
      </c>
      <c r="J784" s="28" t="s">
        <v>5341</v>
      </c>
      <c r="K784" s="28" t="s">
        <v>5664</v>
      </c>
      <c r="L784" s="28" t="s">
        <v>5663</v>
      </c>
      <c r="M784" s="28" t="s">
        <v>4426</v>
      </c>
      <c r="N784" s="28" t="s">
        <v>4420</v>
      </c>
    </row>
    <row r="785" spans="1:14" x14ac:dyDescent="0.2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35" t="s">
        <v>978</v>
      </c>
      <c r="G785" s="28" t="s">
        <v>1546</v>
      </c>
      <c r="H785" s="28" t="s">
        <v>1543</v>
      </c>
      <c r="I785" s="28" t="s">
        <v>5442</v>
      </c>
      <c r="J785" s="28" t="s">
        <v>5341</v>
      </c>
      <c r="K785" s="28" t="s">
        <v>5665</v>
      </c>
      <c r="L785" s="28" t="s">
        <v>5663</v>
      </c>
      <c r="M785" s="28" t="s">
        <v>4428</v>
      </c>
      <c r="N785" s="28" t="s">
        <v>4420</v>
      </c>
    </row>
    <row r="786" spans="1:14" x14ac:dyDescent="0.2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35" t="s">
        <v>979</v>
      </c>
      <c r="G786" s="28" t="s">
        <v>1547</v>
      </c>
      <c r="H786" s="28" t="s">
        <v>1548</v>
      </c>
      <c r="I786" s="28" t="s">
        <v>5445</v>
      </c>
      <c r="J786" s="28" t="s">
        <v>5446</v>
      </c>
      <c r="K786" s="28" t="s">
        <v>5666</v>
      </c>
      <c r="L786" s="28" t="s">
        <v>5667</v>
      </c>
      <c r="M786" s="28" t="s">
        <v>4431</v>
      </c>
      <c r="N786" s="28" t="s">
        <v>4432</v>
      </c>
    </row>
    <row r="787" spans="1:14" x14ac:dyDescent="0.2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35" t="s">
        <v>979</v>
      </c>
      <c r="G787" s="28" t="s">
        <v>1550</v>
      </c>
      <c r="H787" s="28" t="s">
        <v>1548</v>
      </c>
      <c r="I787" s="28" t="s">
        <v>5451</v>
      </c>
      <c r="J787" s="28" t="s">
        <v>5446</v>
      </c>
      <c r="K787" s="28" t="s">
        <v>5668</v>
      </c>
      <c r="L787" s="28" t="s">
        <v>5667</v>
      </c>
      <c r="M787" s="28" t="s">
        <v>4434</v>
      </c>
      <c r="N787" s="28" t="s">
        <v>4432</v>
      </c>
    </row>
    <row r="788" spans="1:14" x14ac:dyDescent="0.2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35" t="s">
        <v>980</v>
      </c>
      <c r="G788" s="28" t="s">
        <v>1552</v>
      </c>
      <c r="H788" s="28" t="s">
        <v>1553</v>
      </c>
      <c r="I788" s="28" t="s">
        <v>5669</v>
      </c>
      <c r="J788" s="28" t="s">
        <v>5346</v>
      </c>
      <c r="K788" s="28" t="s">
        <v>5670</v>
      </c>
      <c r="L788" s="28" t="s">
        <v>5671</v>
      </c>
      <c r="M788" s="28" t="s">
        <v>4442</v>
      </c>
      <c r="N788" s="28" t="s">
        <v>4440</v>
      </c>
    </row>
    <row r="789" spans="1:14" x14ac:dyDescent="0.2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35" t="s">
        <v>980</v>
      </c>
      <c r="G789" s="28" t="s">
        <v>1554</v>
      </c>
      <c r="H789" s="28" t="s">
        <v>1553</v>
      </c>
      <c r="I789" s="28" t="s">
        <v>5453</v>
      </c>
      <c r="J789" s="28" t="s">
        <v>5346</v>
      </c>
      <c r="K789" s="28" t="s">
        <v>5672</v>
      </c>
      <c r="L789" s="28" t="s">
        <v>5671</v>
      </c>
      <c r="M789" s="28" t="s">
        <v>4444</v>
      </c>
      <c r="N789" s="28" t="s">
        <v>4440</v>
      </c>
    </row>
    <row r="790" spans="1:14" x14ac:dyDescent="0.2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35" t="s">
        <v>980</v>
      </c>
      <c r="G790" s="28" t="s">
        <v>1639</v>
      </c>
      <c r="H790" s="28" t="s">
        <v>1553</v>
      </c>
      <c r="I790" s="28" t="s">
        <v>5345</v>
      </c>
      <c r="J790" s="28" t="s">
        <v>5346</v>
      </c>
      <c r="K790" s="28" t="s">
        <v>5673</v>
      </c>
      <c r="L790" s="28" t="s">
        <v>5671</v>
      </c>
      <c r="M790" s="28" t="s">
        <v>5674</v>
      </c>
      <c r="N790" s="28" t="s">
        <v>4440</v>
      </c>
    </row>
    <row r="791" spans="1:14" x14ac:dyDescent="0.2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35" t="s">
        <v>981</v>
      </c>
      <c r="G791" s="28" t="s">
        <v>1578</v>
      </c>
      <c r="H791" s="28" t="s">
        <v>1575</v>
      </c>
      <c r="I791" s="28" t="s">
        <v>5351</v>
      </c>
      <c r="J791" s="28" t="s">
        <v>5352</v>
      </c>
      <c r="K791" s="28" t="s">
        <v>5675</v>
      </c>
      <c r="L791" s="28" t="s">
        <v>5676</v>
      </c>
      <c r="M791" s="28" t="s">
        <v>4448</v>
      </c>
      <c r="N791" s="28" t="s">
        <v>4449</v>
      </c>
    </row>
    <row r="792" spans="1:14" x14ac:dyDescent="0.2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35" t="s">
        <v>981</v>
      </c>
      <c r="G792" s="28" t="s">
        <v>1574</v>
      </c>
      <c r="H792" s="28" t="s">
        <v>1575</v>
      </c>
      <c r="I792" s="28" t="s">
        <v>5356</v>
      </c>
      <c r="J792" s="28" t="s">
        <v>5352</v>
      </c>
      <c r="K792" s="28" t="s">
        <v>5677</v>
      </c>
      <c r="L792" s="28" t="s">
        <v>5676</v>
      </c>
      <c r="M792" s="28" t="s">
        <v>4451</v>
      </c>
      <c r="N792" s="28" t="s">
        <v>4449</v>
      </c>
    </row>
    <row r="793" spans="1:14" x14ac:dyDescent="0.2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35" t="s">
        <v>987</v>
      </c>
      <c r="G793" s="28" t="s">
        <v>1622</v>
      </c>
      <c r="H793" s="28" t="s">
        <v>1599</v>
      </c>
      <c r="I793" s="28" t="s">
        <v>5247</v>
      </c>
      <c r="J793" s="28" t="s">
        <v>5241</v>
      </c>
      <c r="K793" s="28" t="s">
        <v>5678</v>
      </c>
      <c r="L793" s="28" t="s">
        <v>5679</v>
      </c>
      <c r="M793" s="28" t="s">
        <v>5680</v>
      </c>
      <c r="N793" s="28" t="s">
        <v>5681</v>
      </c>
    </row>
    <row r="794" spans="1:14" x14ac:dyDescent="0.2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35" t="s">
        <v>988</v>
      </c>
      <c r="G794" s="28" t="s">
        <v>1634</v>
      </c>
      <c r="H794" s="28" t="s">
        <v>1603</v>
      </c>
      <c r="I794" s="28" t="s">
        <v>5249</v>
      </c>
      <c r="J794" s="28" t="s">
        <v>5250</v>
      </c>
      <c r="K794" s="28" t="s">
        <v>5682</v>
      </c>
      <c r="L794" s="28" t="s">
        <v>5683</v>
      </c>
      <c r="M794" s="28" t="s">
        <v>5684</v>
      </c>
      <c r="N794" s="28" t="s">
        <v>5685</v>
      </c>
    </row>
    <row r="795" spans="1:14" x14ac:dyDescent="0.2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35" t="s">
        <v>988</v>
      </c>
      <c r="G795" s="28" t="s">
        <v>1602</v>
      </c>
      <c r="H795" s="28" t="s">
        <v>1603</v>
      </c>
      <c r="I795" s="28" t="s">
        <v>5253</v>
      </c>
      <c r="J795" s="28" t="s">
        <v>5250</v>
      </c>
      <c r="K795" s="28" t="s">
        <v>5686</v>
      </c>
      <c r="L795" s="28" t="s">
        <v>5683</v>
      </c>
      <c r="M795" s="28" t="s">
        <v>5687</v>
      </c>
      <c r="N795" s="28" t="s">
        <v>5685</v>
      </c>
    </row>
    <row r="796" spans="1:14" x14ac:dyDescent="0.2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35" t="s">
        <v>989</v>
      </c>
      <c r="G796" s="28" t="s">
        <v>1605</v>
      </c>
      <c r="H796" s="28" t="s">
        <v>1606</v>
      </c>
      <c r="I796" s="28" t="s">
        <v>5262</v>
      </c>
      <c r="J796" s="28" t="s">
        <v>5263</v>
      </c>
      <c r="K796" s="28" t="s">
        <v>5688</v>
      </c>
      <c r="L796" s="28" t="s">
        <v>5689</v>
      </c>
      <c r="M796" s="28" t="s">
        <v>5690</v>
      </c>
      <c r="N796" s="28" t="s">
        <v>5691</v>
      </c>
    </row>
    <row r="797" spans="1:14" x14ac:dyDescent="0.2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35" t="s">
        <v>989</v>
      </c>
      <c r="G797" s="28" t="s">
        <v>1624</v>
      </c>
      <c r="H797" s="28" t="s">
        <v>1606</v>
      </c>
      <c r="I797" s="28" t="s">
        <v>5266</v>
      </c>
      <c r="J797" s="28" t="s">
        <v>5263</v>
      </c>
      <c r="K797" s="28" t="s">
        <v>5692</v>
      </c>
      <c r="L797" s="28" t="s">
        <v>5689</v>
      </c>
      <c r="M797" s="28" t="s">
        <v>5693</v>
      </c>
      <c r="N797" s="28" t="s">
        <v>5691</v>
      </c>
    </row>
    <row r="798" spans="1:14" x14ac:dyDescent="0.2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35" t="s">
        <v>990</v>
      </c>
      <c r="G798" s="28" t="s">
        <v>1607</v>
      </c>
      <c r="H798" s="28" t="s">
        <v>1608</v>
      </c>
      <c r="I798" s="28" t="s">
        <v>5276</v>
      </c>
      <c r="J798" s="28" t="s">
        <v>5273</v>
      </c>
      <c r="K798" s="28" t="s">
        <v>5694</v>
      </c>
      <c r="L798" s="28" t="s">
        <v>5695</v>
      </c>
      <c r="M798" s="28" t="s">
        <v>5696</v>
      </c>
      <c r="N798" s="28" t="s">
        <v>5697</v>
      </c>
    </row>
    <row r="799" spans="1:14" x14ac:dyDescent="0.2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35" t="s">
        <v>992</v>
      </c>
      <c r="G799" s="28" t="s">
        <v>1614</v>
      </c>
      <c r="H799" s="28" t="s">
        <v>1615</v>
      </c>
      <c r="I799" s="28" t="s">
        <v>5291</v>
      </c>
      <c r="J799" s="28" t="s">
        <v>5292</v>
      </c>
      <c r="K799" s="28" t="s">
        <v>5698</v>
      </c>
      <c r="L799" s="28" t="s">
        <v>5699</v>
      </c>
      <c r="M799" s="28" t="s">
        <v>5700</v>
      </c>
      <c r="N799" s="28" t="s">
        <v>5701</v>
      </c>
    </row>
    <row r="800" spans="1:14" x14ac:dyDescent="0.2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35" t="s">
        <v>992</v>
      </c>
      <c r="G800" s="28" t="s">
        <v>1629</v>
      </c>
      <c r="H800" s="28" t="s">
        <v>1615</v>
      </c>
      <c r="I800" s="28" t="s">
        <v>5405</v>
      </c>
      <c r="J800" s="28" t="s">
        <v>5292</v>
      </c>
      <c r="K800" s="28" t="s">
        <v>5702</v>
      </c>
      <c r="L800" s="28" t="s">
        <v>5699</v>
      </c>
      <c r="M800" s="28" t="s">
        <v>5703</v>
      </c>
      <c r="N800" s="28" t="s">
        <v>5701</v>
      </c>
    </row>
    <row r="801" spans="1:14" x14ac:dyDescent="0.2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35" t="s">
        <v>983</v>
      </c>
      <c r="G801" s="28" t="s">
        <v>1555</v>
      </c>
      <c r="H801" s="28" t="s">
        <v>1556</v>
      </c>
      <c r="I801" s="28" t="s">
        <v>5306</v>
      </c>
      <c r="J801" s="28" t="s">
        <v>5300</v>
      </c>
      <c r="K801" s="28" t="s">
        <v>5704</v>
      </c>
      <c r="L801" s="28" t="s">
        <v>5705</v>
      </c>
      <c r="M801" s="28" t="s">
        <v>4494</v>
      </c>
      <c r="N801" s="28" t="s">
        <v>4495</v>
      </c>
    </row>
    <row r="802" spans="1:14" x14ac:dyDescent="0.2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35" t="s">
        <v>982</v>
      </c>
      <c r="G802" s="28" t="s">
        <v>1559</v>
      </c>
      <c r="H802" s="28" t="s">
        <v>1560</v>
      </c>
      <c r="I802" s="28" t="s">
        <v>5312</v>
      </c>
      <c r="J802" s="28" t="s">
        <v>5313</v>
      </c>
      <c r="K802" s="28" t="s">
        <v>5706</v>
      </c>
      <c r="L802" s="28" t="s">
        <v>5707</v>
      </c>
      <c r="M802" s="28" t="s">
        <v>5708</v>
      </c>
      <c r="N802" s="28" t="s">
        <v>4501</v>
      </c>
    </row>
    <row r="803" spans="1:14" x14ac:dyDescent="0.2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35" t="s">
        <v>978</v>
      </c>
      <c r="G803" s="28" t="s">
        <v>1546</v>
      </c>
      <c r="H803" s="28" t="s">
        <v>1543</v>
      </c>
      <c r="I803" s="28" t="s">
        <v>5442</v>
      </c>
      <c r="J803" s="28" t="s">
        <v>5341</v>
      </c>
      <c r="K803" s="28" t="s">
        <v>5709</v>
      </c>
      <c r="L803" s="28" t="s">
        <v>5710</v>
      </c>
      <c r="M803" s="28" t="s">
        <v>4525</v>
      </c>
      <c r="N803" s="28" t="s">
        <v>4523</v>
      </c>
    </row>
    <row r="804" spans="1:14" x14ac:dyDescent="0.2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35" t="s">
        <v>980</v>
      </c>
      <c r="G804" s="28" t="s">
        <v>1554</v>
      </c>
      <c r="H804" s="28" t="s">
        <v>1553</v>
      </c>
      <c r="I804" s="28" t="s">
        <v>5453</v>
      </c>
      <c r="J804" s="28" t="s">
        <v>5346</v>
      </c>
      <c r="K804" s="28" t="s">
        <v>5711</v>
      </c>
      <c r="L804" s="28" t="s">
        <v>5712</v>
      </c>
      <c r="M804" s="28" t="s">
        <v>4539</v>
      </c>
      <c r="N804" s="28" t="s">
        <v>4535</v>
      </c>
    </row>
    <row r="805" spans="1:14" x14ac:dyDescent="0.2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35" t="s">
        <v>981</v>
      </c>
      <c r="G805" s="28" t="s">
        <v>1637</v>
      </c>
      <c r="H805" s="28" t="s">
        <v>1575</v>
      </c>
      <c r="I805" s="28" t="s">
        <v>5457</v>
      </c>
      <c r="J805" s="28" t="s">
        <v>5352</v>
      </c>
      <c r="K805" s="28" t="s">
        <v>5713</v>
      </c>
      <c r="L805" s="28" t="s">
        <v>5714</v>
      </c>
      <c r="M805" s="28" t="s">
        <v>5715</v>
      </c>
      <c r="N805" s="28" t="s">
        <v>4543</v>
      </c>
    </row>
    <row r="806" spans="1:14" x14ac:dyDescent="0.2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35" t="s">
        <v>981</v>
      </c>
      <c r="G806" s="28" t="s">
        <v>1574</v>
      </c>
      <c r="H806" s="28" t="s">
        <v>1575</v>
      </c>
      <c r="I806" s="28" t="s">
        <v>5356</v>
      </c>
      <c r="J806" s="28" t="s">
        <v>5352</v>
      </c>
      <c r="K806" s="28" t="s">
        <v>5716</v>
      </c>
      <c r="L806" s="28" t="s">
        <v>5714</v>
      </c>
      <c r="M806" s="28" t="s">
        <v>4542</v>
      </c>
      <c r="N806" s="28" t="s">
        <v>4543</v>
      </c>
    </row>
    <row r="807" spans="1:14" x14ac:dyDescent="0.2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35" t="s">
        <v>980</v>
      </c>
      <c r="G807" s="28" t="s">
        <v>1522</v>
      </c>
      <c r="H807" s="28" t="s">
        <v>1520</v>
      </c>
      <c r="I807" s="28" t="s">
        <v>5717</v>
      </c>
      <c r="J807" s="28" t="s">
        <v>5718</v>
      </c>
      <c r="K807" s="28" t="s">
        <v>5719</v>
      </c>
      <c r="L807" s="28" t="s">
        <v>5720</v>
      </c>
      <c r="M807" s="28" t="s">
        <v>3661</v>
      </c>
      <c r="N807" s="28" t="s">
        <v>3662</v>
      </c>
    </row>
    <row r="808" spans="1:14" x14ac:dyDescent="0.2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35" t="s">
        <v>981</v>
      </c>
      <c r="G808" s="28" t="s">
        <v>1527</v>
      </c>
      <c r="H808" s="28" t="s">
        <v>1525</v>
      </c>
      <c r="I808" s="28" t="s">
        <v>5721</v>
      </c>
      <c r="J808" s="28" t="s">
        <v>5722</v>
      </c>
      <c r="K808" s="28" t="s">
        <v>5723</v>
      </c>
      <c r="L808" s="28" t="s">
        <v>5724</v>
      </c>
      <c r="M808" s="28" t="s">
        <v>3667</v>
      </c>
      <c r="N808" s="28" t="s">
        <v>3668</v>
      </c>
    </row>
    <row r="809" spans="1:14" x14ac:dyDescent="0.2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35" t="s">
        <v>981</v>
      </c>
      <c r="G809" s="28" t="s">
        <v>1528</v>
      </c>
      <c r="H809" s="28" t="s">
        <v>1525</v>
      </c>
      <c r="I809" s="28" t="s">
        <v>5725</v>
      </c>
      <c r="J809" s="28" t="s">
        <v>5722</v>
      </c>
      <c r="K809" s="28" t="s">
        <v>5726</v>
      </c>
      <c r="L809" s="28" t="s">
        <v>5724</v>
      </c>
      <c r="M809" s="28" t="s">
        <v>3671</v>
      </c>
      <c r="N809" s="28" t="s">
        <v>3668</v>
      </c>
    </row>
    <row r="810" spans="1:14" x14ac:dyDescent="0.2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35" t="s">
        <v>981</v>
      </c>
      <c r="G810" s="28" t="s">
        <v>1524</v>
      </c>
      <c r="H810" s="28" t="s">
        <v>1525</v>
      </c>
      <c r="I810" s="28" t="s">
        <v>5727</v>
      </c>
      <c r="J810" s="28" t="s">
        <v>5722</v>
      </c>
      <c r="K810" s="28" t="s">
        <v>5728</v>
      </c>
      <c r="L810" s="28" t="s">
        <v>5724</v>
      </c>
      <c r="M810" s="28" t="s">
        <v>3674</v>
      </c>
      <c r="N810" s="28" t="s">
        <v>3668</v>
      </c>
    </row>
    <row r="811" spans="1:14" x14ac:dyDescent="0.2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35" t="s">
        <v>978</v>
      </c>
      <c r="G811" s="28" t="s">
        <v>1530</v>
      </c>
      <c r="H811" s="28" t="s">
        <v>1515</v>
      </c>
      <c r="I811" s="28" t="s">
        <v>5729</v>
      </c>
      <c r="J811" s="28" t="s">
        <v>5730</v>
      </c>
      <c r="K811" s="28" t="s">
        <v>5731</v>
      </c>
      <c r="L811" s="28" t="s">
        <v>5732</v>
      </c>
      <c r="M811" s="28" t="s">
        <v>3683</v>
      </c>
      <c r="N811" s="28" t="s">
        <v>3680</v>
      </c>
    </row>
    <row r="812" spans="1:14" x14ac:dyDescent="0.2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35" t="s">
        <v>978</v>
      </c>
      <c r="G812" s="28" t="s">
        <v>1531</v>
      </c>
      <c r="H812" s="28" t="s">
        <v>1515</v>
      </c>
      <c r="I812" s="28" t="s">
        <v>5733</v>
      </c>
      <c r="J812" s="28" t="s">
        <v>5730</v>
      </c>
      <c r="K812" s="28" t="s">
        <v>5734</v>
      </c>
      <c r="L812" s="28" t="s">
        <v>5732</v>
      </c>
      <c r="M812" s="28" t="s">
        <v>3686</v>
      </c>
      <c r="N812" s="28" t="s">
        <v>3680</v>
      </c>
    </row>
    <row r="813" spans="1:14" x14ac:dyDescent="0.2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35" t="s">
        <v>979</v>
      </c>
      <c r="G813" s="28" t="s">
        <v>1517</v>
      </c>
      <c r="H813" s="28" t="s">
        <v>1518</v>
      </c>
      <c r="I813" s="28" t="s">
        <v>5735</v>
      </c>
      <c r="J813" s="28" t="s">
        <v>5736</v>
      </c>
      <c r="K813" s="28" t="s">
        <v>5737</v>
      </c>
      <c r="L813" s="28" t="s">
        <v>5738</v>
      </c>
      <c r="M813" s="28" t="s">
        <v>3691</v>
      </c>
      <c r="N813" s="28" t="s">
        <v>3692</v>
      </c>
    </row>
    <row r="814" spans="1:14" x14ac:dyDescent="0.2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35" t="s">
        <v>979</v>
      </c>
      <c r="G814" s="28" t="s">
        <v>1534</v>
      </c>
      <c r="H814" s="28" t="s">
        <v>1518</v>
      </c>
      <c r="I814" s="28" t="s">
        <v>5739</v>
      </c>
      <c r="J814" s="28" t="s">
        <v>5736</v>
      </c>
      <c r="K814" s="28" t="s">
        <v>5740</v>
      </c>
      <c r="L814" s="28" t="s">
        <v>5738</v>
      </c>
      <c r="M814" s="28" t="s">
        <v>3815</v>
      </c>
      <c r="N814" s="28" t="s">
        <v>3692</v>
      </c>
    </row>
    <row r="815" spans="1:14" x14ac:dyDescent="0.2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35" t="s">
        <v>980</v>
      </c>
      <c r="G815" s="28" t="s">
        <v>1521</v>
      </c>
      <c r="H815" s="28" t="s">
        <v>1520</v>
      </c>
      <c r="I815" s="28" t="s">
        <v>5741</v>
      </c>
      <c r="J815" s="28" t="s">
        <v>5718</v>
      </c>
      <c r="K815" s="28" t="s">
        <v>5742</v>
      </c>
      <c r="L815" s="28" t="s">
        <v>5743</v>
      </c>
      <c r="M815" s="28" t="s">
        <v>3696</v>
      </c>
      <c r="N815" s="28" t="s">
        <v>3697</v>
      </c>
    </row>
    <row r="816" spans="1:14" x14ac:dyDescent="0.2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35" t="s">
        <v>980</v>
      </c>
      <c r="G816" s="28" t="s">
        <v>1522</v>
      </c>
      <c r="H816" s="28" t="s">
        <v>1520</v>
      </c>
      <c r="I816" s="28" t="s">
        <v>5717</v>
      </c>
      <c r="J816" s="28" t="s">
        <v>5718</v>
      </c>
      <c r="K816" s="28" t="s">
        <v>5744</v>
      </c>
      <c r="L816" s="28" t="s">
        <v>5743</v>
      </c>
      <c r="M816" s="28" t="s">
        <v>3820</v>
      </c>
      <c r="N816" s="28" t="s">
        <v>3697</v>
      </c>
    </row>
    <row r="817" spans="1:14" x14ac:dyDescent="0.2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35" t="s">
        <v>980</v>
      </c>
      <c r="G817" s="28" t="s">
        <v>1523</v>
      </c>
      <c r="H817" s="28" t="s">
        <v>1520</v>
      </c>
      <c r="I817" s="28" t="s">
        <v>5745</v>
      </c>
      <c r="J817" s="28" t="s">
        <v>5718</v>
      </c>
      <c r="K817" s="28" t="s">
        <v>5746</v>
      </c>
      <c r="L817" s="28" t="s">
        <v>5743</v>
      </c>
      <c r="M817" s="28" t="s">
        <v>3700</v>
      </c>
      <c r="N817" s="28" t="s">
        <v>3697</v>
      </c>
    </row>
    <row r="818" spans="1:14" x14ac:dyDescent="0.2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35" t="s">
        <v>981</v>
      </c>
      <c r="G818" s="28" t="s">
        <v>1527</v>
      </c>
      <c r="H818" s="28" t="s">
        <v>1525</v>
      </c>
      <c r="I818" s="28" t="s">
        <v>5721</v>
      </c>
      <c r="J818" s="28" t="s">
        <v>5722</v>
      </c>
      <c r="K818" s="28" t="s">
        <v>5747</v>
      </c>
      <c r="L818" s="28" t="s">
        <v>5748</v>
      </c>
      <c r="M818" s="28" t="s">
        <v>5136</v>
      </c>
      <c r="N818" s="28" t="s">
        <v>3704</v>
      </c>
    </row>
    <row r="819" spans="1:14" x14ac:dyDescent="0.2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35" t="s">
        <v>977</v>
      </c>
      <c r="G819" s="28" t="s">
        <v>1511</v>
      </c>
      <c r="H819" s="28" t="s">
        <v>1512</v>
      </c>
      <c r="I819" s="28" t="s">
        <v>5749</v>
      </c>
      <c r="J819" s="28" t="s">
        <v>5750</v>
      </c>
      <c r="K819" s="28" t="s">
        <v>5751</v>
      </c>
      <c r="L819" s="28" t="s">
        <v>5752</v>
      </c>
      <c r="M819" s="28" t="s">
        <v>5753</v>
      </c>
      <c r="N819" s="28" t="s">
        <v>3992</v>
      </c>
    </row>
    <row r="820" spans="1:14" x14ac:dyDescent="0.2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35" t="s">
        <v>977</v>
      </c>
      <c r="G820" s="28" t="s">
        <v>1532</v>
      </c>
      <c r="H820" s="28" t="s">
        <v>1512</v>
      </c>
      <c r="I820" s="28" t="s">
        <v>5754</v>
      </c>
      <c r="J820" s="28" t="s">
        <v>5750</v>
      </c>
      <c r="K820" s="28" t="s">
        <v>5755</v>
      </c>
      <c r="L820" s="28" t="s">
        <v>5752</v>
      </c>
      <c r="M820" s="28" t="s">
        <v>5756</v>
      </c>
      <c r="N820" s="28" t="s">
        <v>3992</v>
      </c>
    </row>
    <row r="821" spans="1:14" x14ac:dyDescent="0.2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35" t="s">
        <v>977</v>
      </c>
      <c r="G821" s="28" t="s">
        <v>1513</v>
      </c>
      <c r="H821" s="28" t="s">
        <v>1512</v>
      </c>
      <c r="I821" s="28" t="s">
        <v>5757</v>
      </c>
      <c r="J821" s="28" t="s">
        <v>5750</v>
      </c>
      <c r="K821" s="28" t="s">
        <v>5758</v>
      </c>
      <c r="L821" s="28" t="s">
        <v>5752</v>
      </c>
      <c r="M821" s="28" t="s">
        <v>3991</v>
      </c>
      <c r="N821" s="28" t="s">
        <v>3992</v>
      </c>
    </row>
    <row r="822" spans="1:14" x14ac:dyDescent="0.2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35" t="s">
        <v>977</v>
      </c>
      <c r="G822" s="28" t="s">
        <v>1539</v>
      </c>
      <c r="H822" s="28" t="s">
        <v>1512</v>
      </c>
      <c r="I822" s="28" t="s">
        <v>5759</v>
      </c>
      <c r="J822" s="28" t="s">
        <v>5750</v>
      </c>
      <c r="K822" s="28" t="s">
        <v>5760</v>
      </c>
      <c r="L822" s="28" t="s">
        <v>5752</v>
      </c>
      <c r="M822" s="28" t="s">
        <v>3994</v>
      </c>
      <c r="N822" s="28" t="s">
        <v>3992</v>
      </c>
    </row>
    <row r="823" spans="1:14" x14ac:dyDescent="0.2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35" t="s">
        <v>978</v>
      </c>
      <c r="G823" s="28" t="s">
        <v>1514</v>
      </c>
      <c r="H823" s="28" t="s">
        <v>1515</v>
      </c>
      <c r="I823" s="28" t="s">
        <v>5761</v>
      </c>
      <c r="J823" s="28" t="s">
        <v>5730</v>
      </c>
      <c r="K823" s="28" t="s">
        <v>5762</v>
      </c>
      <c r="L823" s="28" t="s">
        <v>5763</v>
      </c>
      <c r="M823" s="28" t="s">
        <v>3997</v>
      </c>
      <c r="N823" s="28" t="s">
        <v>3998</v>
      </c>
    </row>
    <row r="824" spans="1:14" x14ac:dyDescent="0.2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35" t="s">
        <v>978</v>
      </c>
      <c r="G824" s="28" t="s">
        <v>1516</v>
      </c>
      <c r="H824" s="28" t="s">
        <v>1515</v>
      </c>
      <c r="I824" s="28" t="s">
        <v>5764</v>
      </c>
      <c r="J824" s="28" t="s">
        <v>5730</v>
      </c>
      <c r="K824" s="28" t="s">
        <v>5765</v>
      </c>
      <c r="L824" s="28" t="s">
        <v>5763</v>
      </c>
      <c r="M824" s="28" t="s">
        <v>4002</v>
      </c>
      <c r="N824" s="28" t="s">
        <v>3998</v>
      </c>
    </row>
    <row r="825" spans="1:14" x14ac:dyDescent="0.2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35" t="s">
        <v>978</v>
      </c>
      <c r="G825" s="28" t="s">
        <v>1530</v>
      </c>
      <c r="H825" s="28" t="s">
        <v>1515</v>
      </c>
      <c r="I825" s="28" t="s">
        <v>5729</v>
      </c>
      <c r="J825" s="28" t="s">
        <v>5730</v>
      </c>
      <c r="K825" s="28" t="s">
        <v>5766</v>
      </c>
      <c r="L825" s="28" t="s">
        <v>5763</v>
      </c>
      <c r="M825" s="28" t="s">
        <v>4004</v>
      </c>
      <c r="N825" s="28" t="s">
        <v>3998</v>
      </c>
    </row>
    <row r="826" spans="1:14" x14ac:dyDescent="0.2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35" t="s">
        <v>978</v>
      </c>
      <c r="G826" s="28" t="s">
        <v>1531</v>
      </c>
      <c r="H826" s="28" t="s">
        <v>1515</v>
      </c>
      <c r="I826" s="28" t="s">
        <v>5733</v>
      </c>
      <c r="J826" s="28" t="s">
        <v>5730</v>
      </c>
      <c r="K826" s="28" t="s">
        <v>5767</v>
      </c>
      <c r="L826" s="28" t="s">
        <v>5763</v>
      </c>
      <c r="M826" s="28" t="s">
        <v>4006</v>
      </c>
      <c r="N826" s="28" t="s">
        <v>3998</v>
      </c>
    </row>
    <row r="827" spans="1:14" x14ac:dyDescent="0.2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35" t="s">
        <v>979</v>
      </c>
      <c r="G827" s="28" t="s">
        <v>1517</v>
      </c>
      <c r="H827" s="28" t="s">
        <v>1518</v>
      </c>
      <c r="I827" s="28" t="s">
        <v>5735</v>
      </c>
      <c r="J827" s="28" t="s">
        <v>5736</v>
      </c>
      <c r="K827" s="28" t="s">
        <v>5768</v>
      </c>
      <c r="L827" s="28" t="s">
        <v>5769</v>
      </c>
      <c r="M827" s="28" t="s">
        <v>4009</v>
      </c>
      <c r="N827" s="28" t="s">
        <v>4010</v>
      </c>
    </row>
    <row r="828" spans="1:14" x14ac:dyDescent="0.2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35" t="s">
        <v>979</v>
      </c>
      <c r="G828" s="28" t="s">
        <v>1533</v>
      </c>
      <c r="H828" s="28" t="s">
        <v>1518</v>
      </c>
      <c r="I828" s="28" t="s">
        <v>5770</v>
      </c>
      <c r="J828" s="28" t="s">
        <v>5736</v>
      </c>
      <c r="K828" s="28" t="s">
        <v>5771</v>
      </c>
      <c r="L828" s="28" t="s">
        <v>5769</v>
      </c>
      <c r="M828" s="28" t="s">
        <v>4012</v>
      </c>
      <c r="N828" s="28" t="s">
        <v>4010</v>
      </c>
    </row>
    <row r="829" spans="1:14" x14ac:dyDescent="0.2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35" t="s">
        <v>979</v>
      </c>
      <c r="G829" s="28" t="s">
        <v>1534</v>
      </c>
      <c r="H829" s="28" t="s">
        <v>1518</v>
      </c>
      <c r="I829" s="28" t="s">
        <v>5739</v>
      </c>
      <c r="J829" s="28" t="s">
        <v>5736</v>
      </c>
      <c r="K829" s="28" t="s">
        <v>5772</v>
      </c>
      <c r="L829" s="28" t="s">
        <v>5769</v>
      </c>
      <c r="M829" s="28" t="s">
        <v>4014</v>
      </c>
      <c r="N829" s="28" t="s">
        <v>4010</v>
      </c>
    </row>
    <row r="830" spans="1:14" x14ac:dyDescent="0.2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35" t="s">
        <v>979</v>
      </c>
      <c r="G830" s="28" t="s">
        <v>1526</v>
      </c>
      <c r="H830" s="28" t="s">
        <v>1518</v>
      </c>
      <c r="I830" s="28" t="s">
        <v>5773</v>
      </c>
      <c r="J830" s="28" t="s">
        <v>5736</v>
      </c>
      <c r="K830" s="28" t="s">
        <v>5774</v>
      </c>
      <c r="L830" s="28" t="s">
        <v>5769</v>
      </c>
      <c r="M830" s="28" t="s">
        <v>4016</v>
      </c>
      <c r="N830" s="28" t="s">
        <v>4010</v>
      </c>
    </row>
    <row r="831" spans="1:14" x14ac:dyDescent="0.2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35" t="s">
        <v>980</v>
      </c>
      <c r="G831" s="28" t="s">
        <v>1521</v>
      </c>
      <c r="H831" s="28" t="s">
        <v>1520</v>
      </c>
      <c r="I831" s="28" t="s">
        <v>5741</v>
      </c>
      <c r="J831" s="28" t="s">
        <v>5718</v>
      </c>
      <c r="K831" s="28" t="s">
        <v>5775</v>
      </c>
      <c r="L831" s="28" t="s">
        <v>5776</v>
      </c>
      <c r="M831" s="28" t="s">
        <v>4022</v>
      </c>
      <c r="N831" s="28" t="s">
        <v>4020</v>
      </c>
    </row>
    <row r="832" spans="1:14" x14ac:dyDescent="0.2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35" t="s">
        <v>980</v>
      </c>
      <c r="G832" s="28" t="s">
        <v>1522</v>
      </c>
      <c r="H832" s="28" t="s">
        <v>1520</v>
      </c>
      <c r="I832" s="28" t="s">
        <v>5717</v>
      </c>
      <c r="J832" s="28" t="s">
        <v>5718</v>
      </c>
      <c r="K832" s="28" t="s">
        <v>5777</v>
      </c>
      <c r="L832" s="28" t="s">
        <v>5776</v>
      </c>
      <c r="M832" s="28" t="s">
        <v>4024</v>
      </c>
      <c r="N832" s="28" t="s">
        <v>4020</v>
      </c>
    </row>
    <row r="833" spans="1:14" x14ac:dyDescent="0.2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35" t="s">
        <v>980</v>
      </c>
      <c r="G833" s="28" t="s">
        <v>1523</v>
      </c>
      <c r="H833" s="28" t="s">
        <v>1520</v>
      </c>
      <c r="I833" s="28" t="s">
        <v>5745</v>
      </c>
      <c r="J833" s="28" t="s">
        <v>5718</v>
      </c>
      <c r="K833" s="28" t="s">
        <v>5778</v>
      </c>
      <c r="L833" s="28" t="s">
        <v>5776</v>
      </c>
      <c r="M833" s="28" t="s">
        <v>5779</v>
      </c>
      <c r="N833" s="28" t="s">
        <v>4020</v>
      </c>
    </row>
    <row r="834" spans="1:14" x14ac:dyDescent="0.2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35" t="s">
        <v>981</v>
      </c>
      <c r="G834" s="28" t="s">
        <v>1524</v>
      </c>
      <c r="H834" s="28" t="s">
        <v>1525</v>
      </c>
      <c r="I834" s="28" t="s">
        <v>5727</v>
      </c>
      <c r="J834" s="28" t="s">
        <v>5722</v>
      </c>
      <c r="K834" s="28" t="s">
        <v>5780</v>
      </c>
      <c r="L834" s="28" t="s">
        <v>5781</v>
      </c>
      <c r="M834" s="28" t="s">
        <v>4030</v>
      </c>
      <c r="N834" s="28" t="s">
        <v>4028</v>
      </c>
    </row>
    <row r="835" spans="1:14" x14ac:dyDescent="0.2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35" t="s">
        <v>989</v>
      </c>
      <c r="G835" s="28" t="s">
        <v>1605</v>
      </c>
      <c r="H835" s="28" t="s">
        <v>1606</v>
      </c>
      <c r="I835" s="28" t="s">
        <v>5262</v>
      </c>
      <c r="J835" s="28" t="s">
        <v>5263</v>
      </c>
      <c r="K835" s="28" t="s">
        <v>5782</v>
      </c>
      <c r="L835" s="28" t="s">
        <v>5783</v>
      </c>
      <c r="M835" s="28" t="s">
        <v>5784</v>
      </c>
      <c r="N835" s="28" t="s">
        <v>5785</v>
      </c>
    </row>
    <row r="836" spans="1:14" x14ac:dyDescent="0.2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35" t="s">
        <v>989</v>
      </c>
      <c r="G836" s="28" t="s">
        <v>1624</v>
      </c>
      <c r="H836" s="28" t="s">
        <v>1606</v>
      </c>
      <c r="I836" s="28" t="s">
        <v>5266</v>
      </c>
      <c r="J836" s="28" t="s">
        <v>5263</v>
      </c>
      <c r="K836" s="28" t="s">
        <v>5786</v>
      </c>
      <c r="L836" s="28" t="s">
        <v>5783</v>
      </c>
      <c r="M836" s="28" t="s">
        <v>5787</v>
      </c>
      <c r="N836" s="28" t="s">
        <v>5785</v>
      </c>
    </row>
    <row r="837" spans="1:14" x14ac:dyDescent="0.2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35" t="s">
        <v>989</v>
      </c>
      <c r="G837" s="28" t="s">
        <v>1625</v>
      </c>
      <c r="H837" s="28" t="s">
        <v>1606</v>
      </c>
      <c r="I837" s="28" t="s">
        <v>5268</v>
      </c>
      <c r="J837" s="28" t="s">
        <v>5263</v>
      </c>
      <c r="K837" s="28" t="s">
        <v>5788</v>
      </c>
      <c r="L837" s="28" t="s">
        <v>5783</v>
      </c>
      <c r="M837" s="28" t="s">
        <v>5789</v>
      </c>
      <c r="N837" s="28" t="s">
        <v>5785</v>
      </c>
    </row>
    <row r="838" spans="1:14" x14ac:dyDescent="0.2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35" t="s">
        <v>989</v>
      </c>
      <c r="G838" s="28" t="s">
        <v>1626</v>
      </c>
      <c r="H838" s="28" t="s">
        <v>1606</v>
      </c>
      <c r="I838" s="28" t="s">
        <v>5270</v>
      </c>
      <c r="J838" s="28" t="s">
        <v>5263</v>
      </c>
      <c r="K838" s="28" t="s">
        <v>5790</v>
      </c>
      <c r="L838" s="28" t="s">
        <v>5783</v>
      </c>
      <c r="M838" s="28" t="s">
        <v>5791</v>
      </c>
      <c r="N838" s="28" t="s">
        <v>5785</v>
      </c>
    </row>
    <row r="839" spans="1:14" x14ac:dyDescent="0.2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35" t="s">
        <v>990</v>
      </c>
      <c r="G839" s="28" t="s">
        <v>1627</v>
      </c>
      <c r="H839" s="28" t="s">
        <v>1608</v>
      </c>
      <c r="I839" s="28" t="s">
        <v>5272</v>
      </c>
      <c r="J839" s="28" t="s">
        <v>5273</v>
      </c>
      <c r="K839" s="28" t="s">
        <v>5792</v>
      </c>
      <c r="L839" s="28" t="s">
        <v>5793</v>
      </c>
      <c r="M839" s="28" t="s">
        <v>5794</v>
      </c>
      <c r="N839" s="28" t="s">
        <v>5795</v>
      </c>
    </row>
    <row r="840" spans="1:14" x14ac:dyDescent="0.2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35" t="s">
        <v>990</v>
      </c>
      <c r="G840" s="28" t="s">
        <v>1607</v>
      </c>
      <c r="H840" s="28" t="s">
        <v>1608</v>
      </c>
      <c r="I840" s="28" t="s">
        <v>5276</v>
      </c>
      <c r="J840" s="28" t="s">
        <v>5273</v>
      </c>
      <c r="K840" s="28" t="s">
        <v>5796</v>
      </c>
      <c r="L840" s="28" t="s">
        <v>5793</v>
      </c>
      <c r="M840" s="28" t="s">
        <v>5797</v>
      </c>
      <c r="N840" s="28" t="s">
        <v>5795</v>
      </c>
    </row>
    <row r="841" spans="1:14" x14ac:dyDescent="0.2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35" t="s">
        <v>990</v>
      </c>
      <c r="G841" s="28" t="s">
        <v>1609</v>
      </c>
      <c r="H841" s="28" t="s">
        <v>1608</v>
      </c>
      <c r="I841" s="28" t="s">
        <v>5278</v>
      </c>
      <c r="J841" s="28" t="s">
        <v>5273</v>
      </c>
      <c r="K841" s="28" t="s">
        <v>5798</v>
      </c>
      <c r="L841" s="28" t="s">
        <v>5793</v>
      </c>
      <c r="M841" s="28" t="s">
        <v>5799</v>
      </c>
      <c r="N841" s="28" t="s">
        <v>5795</v>
      </c>
    </row>
    <row r="842" spans="1:14" x14ac:dyDescent="0.2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35" t="s">
        <v>990</v>
      </c>
      <c r="G842" s="28" t="s">
        <v>1628</v>
      </c>
      <c r="H842" s="28" t="s">
        <v>1608</v>
      </c>
      <c r="I842" s="28" t="s">
        <v>5280</v>
      </c>
      <c r="J842" s="28" t="s">
        <v>5273</v>
      </c>
      <c r="K842" s="28" t="s">
        <v>5800</v>
      </c>
      <c r="L842" s="28" t="s">
        <v>5793</v>
      </c>
      <c r="M842" s="28" t="s">
        <v>5801</v>
      </c>
      <c r="N842" s="28" t="s">
        <v>5795</v>
      </c>
    </row>
    <row r="843" spans="1:14" x14ac:dyDescent="0.2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35" t="s">
        <v>991</v>
      </c>
      <c r="G843" s="28" t="s">
        <v>1610</v>
      </c>
      <c r="H843" s="28" t="s">
        <v>1611</v>
      </c>
      <c r="I843" s="28" t="s">
        <v>5282</v>
      </c>
      <c r="J843" s="28" t="s">
        <v>5283</v>
      </c>
      <c r="K843" s="28" t="s">
        <v>5802</v>
      </c>
      <c r="L843" s="28" t="s">
        <v>5803</v>
      </c>
      <c r="M843" s="28" t="s">
        <v>5804</v>
      </c>
      <c r="N843" s="28" t="s">
        <v>5805</v>
      </c>
    </row>
    <row r="844" spans="1:14" x14ac:dyDescent="0.2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35" t="s">
        <v>992</v>
      </c>
      <c r="G844" s="28" t="s">
        <v>1614</v>
      </c>
      <c r="H844" s="28" t="s">
        <v>1615</v>
      </c>
      <c r="I844" s="28" t="s">
        <v>5291</v>
      </c>
      <c r="J844" s="28" t="s">
        <v>5292</v>
      </c>
      <c r="K844" s="28" t="s">
        <v>5806</v>
      </c>
      <c r="L844" s="28" t="s">
        <v>5807</v>
      </c>
      <c r="M844" s="28" t="s">
        <v>5808</v>
      </c>
      <c r="N844" s="28" t="s">
        <v>5809</v>
      </c>
    </row>
    <row r="845" spans="1:14" x14ac:dyDescent="0.2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35" t="s">
        <v>992</v>
      </c>
      <c r="G845" s="28" t="s">
        <v>1629</v>
      </c>
      <c r="H845" s="28" t="s">
        <v>1615</v>
      </c>
      <c r="I845" s="28" t="s">
        <v>5405</v>
      </c>
      <c r="J845" s="28" t="s">
        <v>5292</v>
      </c>
      <c r="K845" s="28" t="s">
        <v>5810</v>
      </c>
      <c r="L845" s="28" t="s">
        <v>5807</v>
      </c>
      <c r="M845" s="28" t="s">
        <v>5811</v>
      </c>
      <c r="N845" s="28" t="s">
        <v>5809</v>
      </c>
    </row>
    <row r="846" spans="1:14" x14ac:dyDescent="0.2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35" t="s">
        <v>992</v>
      </c>
      <c r="G846" s="28" t="s">
        <v>1616</v>
      </c>
      <c r="H846" s="28" t="s">
        <v>1615</v>
      </c>
      <c r="I846" s="28" t="s">
        <v>5295</v>
      </c>
      <c r="J846" s="28" t="s">
        <v>5292</v>
      </c>
      <c r="K846" s="28" t="s">
        <v>5812</v>
      </c>
      <c r="L846" s="28" t="s">
        <v>5807</v>
      </c>
      <c r="M846" s="28" t="s">
        <v>5813</v>
      </c>
      <c r="N846" s="28" t="s">
        <v>5809</v>
      </c>
    </row>
    <row r="847" spans="1:14" x14ac:dyDescent="0.2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35" t="s">
        <v>992</v>
      </c>
      <c r="G847" s="28" t="s">
        <v>1617</v>
      </c>
      <c r="H847" s="28" t="s">
        <v>1615</v>
      </c>
      <c r="I847" s="28" t="s">
        <v>5297</v>
      </c>
      <c r="J847" s="28" t="s">
        <v>5292</v>
      </c>
      <c r="K847" s="28" t="s">
        <v>5814</v>
      </c>
      <c r="L847" s="28" t="s">
        <v>5807</v>
      </c>
      <c r="M847" s="28" t="s">
        <v>5815</v>
      </c>
      <c r="N847" s="28" t="s">
        <v>5809</v>
      </c>
    </row>
    <row r="848" spans="1:14" x14ac:dyDescent="0.2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35" t="s">
        <v>983</v>
      </c>
      <c r="G848" s="28" t="s">
        <v>1644</v>
      </c>
      <c r="H848" s="28" t="s">
        <v>1556</v>
      </c>
      <c r="I848" s="28" t="s">
        <v>5299</v>
      </c>
      <c r="J848" s="28" t="s">
        <v>5300</v>
      </c>
      <c r="K848" s="28" t="s">
        <v>5816</v>
      </c>
      <c r="L848" s="28" t="s">
        <v>5817</v>
      </c>
      <c r="M848" s="28" t="s">
        <v>5818</v>
      </c>
      <c r="N848" s="28" t="s">
        <v>4081</v>
      </c>
    </row>
    <row r="849" spans="1:14" x14ac:dyDescent="0.2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35" t="s">
        <v>983</v>
      </c>
      <c r="G849" s="28" t="s">
        <v>1573</v>
      </c>
      <c r="H849" s="28" t="s">
        <v>1556</v>
      </c>
      <c r="I849" s="28" t="s">
        <v>5304</v>
      </c>
      <c r="J849" s="28" t="s">
        <v>5300</v>
      </c>
      <c r="K849" s="28" t="s">
        <v>5819</v>
      </c>
      <c r="L849" s="28" t="s">
        <v>5817</v>
      </c>
      <c r="M849" s="28" t="s">
        <v>5820</v>
      </c>
      <c r="N849" s="28" t="s">
        <v>4081</v>
      </c>
    </row>
    <row r="850" spans="1:14" x14ac:dyDescent="0.2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35" t="s">
        <v>983</v>
      </c>
      <c r="G850" s="28" t="s">
        <v>1555</v>
      </c>
      <c r="H850" s="28" t="s">
        <v>1556</v>
      </c>
      <c r="I850" s="28" t="s">
        <v>5306</v>
      </c>
      <c r="J850" s="28" t="s">
        <v>5300</v>
      </c>
      <c r="K850" s="28" t="s">
        <v>5821</v>
      </c>
      <c r="L850" s="28" t="s">
        <v>5817</v>
      </c>
      <c r="M850" s="28" t="s">
        <v>4080</v>
      </c>
      <c r="N850" s="28" t="s">
        <v>4081</v>
      </c>
    </row>
    <row r="851" spans="1:14" x14ac:dyDescent="0.2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35" t="s">
        <v>982</v>
      </c>
      <c r="G851" s="28" t="s">
        <v>1559</v>
      </c>
      <c r="H851" s="28" t="s">
        <v>1560</v>
      </c>
      <c r="I851" s="28" t="s">
        <v>5312</v>
      </c>
      <c r="J851" s="28" t="s">
        <v>5313</v>
      </c>
      <c r="K851" s="28" t="s">
        <v>5822</v>
      </c>
      <c r="L851" s="28" t="s">
        <v>5823</v>
      </c>
      <c r="M851" s="28" t="s">
        <v>4092</v>
      </c>
      <c r="N851" s="28" t="s">
        <v>4093</v>
      </c>
    </row>
    <row r="852" spans="1:14" x14ac:dyDescent="0.2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35" t="s">
        <v>982</v>
      </c>
      <c r="G852" s="28" t="s">
        <v>1561</v>
      </c>
      <c r="H852" s="28" t="s">
        <v>1560</v>
      </c>
      <c r="I852" s="28" t="s">
        <v>5316</v>
      </c>
      <c r="J852" s="28" t="s">
        <v>5313</v>
      </c>
      <c r="K852" s="28" t="s">
        <v>5824</v>
      </c>
      <c r="L852" s="28" t="s">
        <v>5823</v>
      </c>
      <c r="M852" s="28" t="s">
        <v>4096</v>
      </c>
      <c r="N852" s="28" t="s">
        <v>4093</v>
      </c>
    </row>
    <row r="853" spans="1:14" x14ac:dyDescent="0.2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35" t="s">
        <v>982</v>
      </c>
      <c r="G853" s="28" t="s">
        <v>1562</v>
      </c>
      <c r="H853" s="28" t="s">
        <v>1560</v>
      </c>
      <c r="I853" s="28" t="s">
        <v>5318</v>
      </c>
      <c r="J853" s="28" t="s">
        <v>5313</v>
      </c>
      <c r="K853" s="28" t="s">
        <v>5825</v>
      </c>
      <c r="L853" s="28" t="s">
        <v>5823</v>
      </c>
      <c r="M853" s="28" t="s">
        <v>4099</v>
      </c>
      <c r="N853" s="28" t="s">
        <v>4093</v>
      </c>
    </row>
    <row r="854" spans="1:14" x14ac:dyDescent="0.2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35" t="s">
        <v>982</v>
      </c>
      <c r="G854" s="28" t="s">
        <v>1563</v>
      </c>
      <c r="H854" s="28" t="s">
        <v>1560</v>
      </c>
      <c r="I854" s="28" t="s">
        <v>5320</v>
      </c>
      <c r="J854" s="28" t="s">
        <v>5313</v>
      </c>
      <c r="K854" s="28" t="s">
        <v>5826</v>
      </c>
      <c r="L854" s="28" t="s">
        <v>5823</v>
      </c>
      <c r="M854" s="28" t="s">
        <v>4102</v>
      </c>
      <c r="N854" s="28" t="s">
        <v>4093</v>
      </c>
    </row>
    <row r="855" spans="1:14" x14ac:dyDescent="0.2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35" t="s">
        <v>976</v>
      </c>
      <c r="G855" s="28" t="s">
        <v>1564</v>
      </c>
      <c r="H855" s="28" t="s">
        <v>1565</v>
      </c>
      <c r="I855" s="28" t="s">
        <v>5322</v>
      </c>
      <c r="J855" s="28" t="s">
        <v>5323</v>
      </c>
      <c r="K855" s="28" t="s">
        <v>5827</v>
      </c>
      <c r="L855" s="28" t="s">
        <v>5828</v>
      </c>
      <c r="M855" s="28" t="s">
        <v>4107</v>
      </c>
      <c r="N855" s="28" t="s">
        <v>4108</v>
      </c>
    </row>
    <row r="856" spans="1:14" x14ac:dyDescent="0.2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35" t="s">
        <v>976</v>
      </c>
      <c r="G856" s="28" t="s">
        <v>1566</v>
      </c>
      <c r="H856" s="28" t="s">
        <v>1565</v>
      </c>
      <c r="I856" s="28" t="s">
        <v>5326</v>
      </c>
      <c r="J856" s="28" t="s">
        <v>5323</v>
      </c>
      <c r="K856" s="28" t="s">
        <v>5829</v>
      </c>
      <c r="L856" s="28" t="s">
        <v>5828</v>
      </c>
      <c r="M856" s="28" t="s">
        <v>4111</v>
      </c>
      <c r="N856" s="28" t="s">
        <v>4108</v>
      </c>
    </row>
    <row r="857" spans="1:14" x14ac:dyDescent="0.2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35" t="s">
        <v>976</v>
      </c>
      <c r="G857" s="28" t="s">
        <v>1567</v>
      </c>
      <c r="H857" s="28" t="s">
        <v>1565</v>
      </c>
      <c r="I857" s="28" t="s">
        <v>5328</v>
      </c>
      <c r="J857" s="28" t="s">
        <v>5323</v>
      </c>
      <c r="K857" s="28" t="s">
        <v>5830</v>
      </c>
      <c r="L857" s="28" t="s">
        <v>5828</v>
      </c>
      <c r="M857" s="28" t="s">
        <v>4114</v>
      </c>
      <c r="N857" s="28" t="s">
        <v>4108</v>
      </c>
    </row>
    <row r="858" spans="1:14" x14ac:dyDescent="0.2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35" t="s">
        <v>976</v>
      </c>
      <c r="G858" s="28" t="s">
        <v>1568</v>
      </c>
      <c r="H858" s="28" t="s">
        <v>1565</v>
      </c>
      <c r="I858" s="28" t="s">
        <v>5425</v>
      </c>
      <c r="J858" s="28" t="s">
        <v>5323</v>
      </c>
      <c r="K858" s="28" t="s">
        <v>5831</v>
      </c>
      <c r="L858" s="28" t="s">
        <v>5828</v>
      </c>
      <c r="M858" s="28" t="s">
        <v>4117</v>
      </c>
      <c r="N858" s="28" t="s">
        <v>4108</v>
      </c>
    </row>
    <row r="859" spans="1:14" x14ac:dyDescent="0.2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35" t="s">
        <v>976</v>
      </c>
      <c r="G859" s="28" t="s">
        <v>1569</v>
      </c>
      <c r="H859" s="28" t="s">
        <v>1565</v>
      </c>
      <c r="I859" s="28" t="s">
        <v>5330</v>
      </c>
      <c r="J859" s="28" t="s">
        <v>5323</v>
      </c>
      <c r="K859" s="28" t="s">
        <v>5832</v>
      </c>
      <c r="L859" s="28" t="s">
        <v>5828</v>
      </c>
      <c r="M859" s="28" t="s">
        <v>4120</v>
      </c>
      <c r="N859" s="28" t="s">
        <v>4108</v>
      </c>
    </row>
    <row r="860" spans="1:14" x14ac:dyDescent="0.2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35" t="s">
        <v>977</v>
      </c>
      <c r="G860" s="28" t="s">
        <v>1571</v>
      </c>
      <c r="H860" s="28" t="s">
        <v>1541</v>
      </c>
      <c r="I860" s="28" t="s">
        <v>5431</v>
      </c>
      <c r="J860" s="28" t="s">
        <v>5334</v>
      </c>
      <c r="K860" s="28" t="s">
        <v>5833</v>
      </c>
      <c r="L860" s="28" t="s">
        <v>5834</v>
      </c>
      <c r="M860" s="28" t="s">
        <v>4126</v>
      </c>
      <c r="N860" s="28" t="s">
        <v>4036</v>
      </c>
    </row>
    <row r="861" spans="1:14" x14ac:dyDescent="0.2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35" t="s">
        <v>977</v>
      </c>
      <c r="G861" s="28" t="s">
        <v>1540</v>
      </c>
      <c r="H861" s="28" t="s">
        <v>1541</v>
      </c>
      <c r="I861" s="28" t="s">
        <v>5433</v>
      </c>
      <c r="J861" s="28" t="s">
        <v>5334</v>
      </c>
      <c r="K861" s="28" t="s">
        <v>5835</v>
      </c>
      <c r="L861" s="28" t="s">
        <v>5834</v>
      </c>
      <c r="M861" s="28" t="s">
        <v>4035</v>
      </c>
      <c r="N861" s="28" t="s">
        <v>4036</v>
      </c>
    </row>
    <row r="862" spans="1:14" x14ac:dyDescent="0.2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35" t="s">
        <v>977</v>
      </c>
      <c r="G862" s="28" t="s">
        <v>1572</v>
      </c>
      <c r="H862" s="28" t="s">
        <v>1541</v>
      </c>
      <c r="I862" s="28" t="s">
        <v>5337</v>
      </c>
      <c r="J862" s="28" t="s">
        <v>5334</v>
      </c>
      <c r="K862" s="28" t="s">
        <v>5836</v>
      </c>
      <c r="L862" s="28" t="s">
        <v>5834</v>
      </c>
      <c r="M862" s="28" t="s">
        <v>4129</v>
      </c>
      <c r="N862" s="28" t="s">
        <v>4036</v>
      </c>
    </row>
    <row r="863" spans="1:14" x14ac:dyDescent="0.2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35" t="s">
        <v>976</v>
      </c>
      <c r="G863" s="28" t="s">
        <v>1537</v>
      </c>
      <c r="H863" s="28" t="s">
        <v>1509</v>
      </c>
      <c r="I863" s="28" t="s">
        <v>5837</v>
      </c>
      <c r="J863" s="28" t="s">
        <v>5838</v>
      </c>
      <c r="K863" s="28" t="s">
        <v>5839</v>
      </c>
      <c r="L863" s="28" t="s">
        <v>5840</v>
      </c>
      <c r="M863" s="28" t="s">
        <v>3835</v>
      </c>
      <c r="N863" s="28" t="s">
        <v>3595</v>
      </c>
    </row>
    <row r="864" spans="1:14" x14ac:dyDescent="0.2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35" t="s">
        <v>976</v>
      </c>
      <c r="G864" s="28" t="s">
        <v>1538</v>
      </c>
      <c r="H864" s="28" t="s">
        <v>1509</v>
      </c>
      <c r="I864" s="28" t="s">
        <v>5841</v>
      </c>
      <c r="J864" s="28" t="s">
        <v>5838</v>
      </c>
      <c r="K864" s="28" t="s">
        <v>5842</v>
      </c>
      <c r="L864" s="28" t="s">
        <v>5840</v>
      </c>
      <c r="M864" s="28" t="s">
        <v>3838</v>
      </c>
      <c r="N864" s="28" t="s">
        <v>3595</v>
      </c>
    </row>
    <row r="865" spans="1:14" x14ac:dyDescent="0.2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35" t="s">
        <v>976</v>
      </c>
      <c r="G865" s="28" t="s">
        <v>1508</v>
      </c>
      <c r="H865" s="28" t="s">
        <v>1509</v>
      </c>
      <c r="I865" s="28" t="s">
        <v>5843</v>
      </c>
      <c r="J865" s="28" t="s">
        <v>5838</v>
      </c>
      <c r="K865" s="28" t="s">
        <v>5844</v>
      </c>
      <c r="L865" s="28" t="s">
        <v>5840</v>
      </c>
      <c r="M865" s="28" t="s">
        <v>3594</v>
      </c>
      <c r="N865" s="28" t="s">
        <v>3595</v>
      </c>
    </row>
    <row r="866" spans="1:14" x14ac:dyDescent="0.2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35" t="s">
        <v>976</v>
      </c>
      <c r="G866" s="28" t="s">
        <v>1510</v>
      </c>
      <c r="H866" s="28" t="s">
        <v>1509</v>
      </c>
      <c r="I866" s="28" t="s">
        <v>5845</v>
      </c>
      <c r="J866" s="28" t="s">
        <v>5838</v>
      </c>
      <c r="K866" s="28" t="s">
        <v>5846</v>
      </c>
      <c r="L866" s="28" t="s">
        <v>5840</v>
      </c>
      <c r="M866" s="28" t="s">
        <v>3598</v>
      </c>
      <c r="N866" s="28" t="s">
        <v>3595</v>
      </c>
    </row>
    <row r="867" spans="1:14" x14ac:dyDescent="0.2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35" t="s">
        <v>977</v>
      </c>
      <c r="G867" s="28" t="s">
        <v>1511</v>
      </c>
      <c r="H867" s="28" t="s">
        <v>1512</v>
      </c>
      <c r="I867" s="28" t="s">
        <v>5749</v>
      </c>
      <c r="J867" s="28" t="s">
        <v>5750</v>
      </c>
      <c r="K867" s="28" t="s">
        <v>5847</v>
      </c>
      <c r="L867" s="28" t="s">
        <v>5848</v>
      </c>
      <c r="M867" s="28" t="s">
        <v>3603</v>
      </c>
      <c r="N867" s="28" t="s">
        <v>3604</v>
      </c>
    </row>
    <row r="868" spans="1:14" x14ac:dyDescent="0.2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35" t="s">
        <v>977</v>
      </c>
      <c r="G868" s="28" t="s">
        <v>1532</v>
      </c>
      <c r="H868" s="28" t="s">
        <v>1512</v>
      </c>
      <c r="I868" s="28" t="s">
        <v>5754</v>
      </c>
      <c r="J868" s="28" t="s">
        <v>5750</v>
      </c>
      <c r="K868" s="28" t="s">
        <v>5849</v>
      </c>
      <c r="L868" s="28" t="s">
        <v>5848</v>
      </c>
      <c r="M868" s="28" t="s">
        <v>3849</v>
      </c>
      <c r="N868" s="28" t="s">
        <v>3604</v>
      </c>
    </row>
    <row r="869" spans="1:14" x14ac:dyDescent="0.2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35" t="s">
        <v>977</v>
      </c>
      <c r="G869" s="28" t="s">
        <v>1513</v>
      </c>
      <c r="H869" s="28" t="s">
        <v>1512</v>
      </c>
      <c r="I869" s="28" t="s">
        <v>5757</v>
      </c>
      <c r="J869" s="28" t="s">
        <v>5750</v>
      </c>
      <c r="K869" s="28" t="s">
        <v>5850</v>
      </c>
      <c r="L869" s="28" t="s">
        <v>5848</v>
      </c>
      <c r="M869" s="28" t="s">
        <v>3607</v>
      </c>
      <c r="N869" s="28" t="s">
        <v>3604</v>
      </c>
    </row>
    <row r="870" spans="1:14" x14ac:dyDescent="0.2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35" t="s">
        <v>977</v>
      </c>
      <c r="G870" s="28" t="s">
        <v>1539</v>
      </c>
      <c r="H870" s="28" t="s">
        <v>1512</v>
      </c>
      <c r="I870" s="28" t="s">
        <v>5759</v>
      </c>
      <c r="J870" s="28" t="s">
        <v>5750</v>
      </c>
      <c r="K870" s="28" t="s">
        <v>5851</v>
      </c>
      <c r="L870" s="28" t="s">
        <v>5848</v>
      </c>
      <c r="M870" s="28" t="s">
        <v>3854</v>
      </c>
      <c r="N870" s="28" t="s">
        <v>3604</v>
      </c>
    </row>
    <row r="871" spans="1:14" x14ac:dyDescent="0.2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35" t="s">
        <v>978</v>
      </c>
      <c r="G871" s="28" t="s">
        <v>1514</v>
      </c>
      <c r="H871" s="28" t="s">
        <v>1515</v>
      </c>
      <c r="I871" s="28" t="s">
        <v>5761</v>
      </c>
      <c r="J871" s="28" t="s">
        <v>5730</v>
      </c>
      <c r="K871" s="28" t="s">
        <v>5852</v>
      </c>
      <c r="L871" s="28" t="s">
        <v>5853</v>
      </c>
      <c r="M871" s="28" t="s">
        <v>3612</v>
      </c>
      <c r="N871" s="28" t="s">
        <v>3613</v>
      </c>
    </row>
    <row r="872" spans="1:14" x14ac:dyDescent="0.2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35" t="s">
        <v>978</v>
      </c>
      <c r="G872" s="28" t="s">
        <v>1516</v>
      </c>
      <c r="H872" s="28" t="s">
        <v>1515</v>
      </c>
      <c r="I872" s="28" t="s">
        <v>5764</v>
      </c>
      <c r="J872" s="28" t="s">
        <v>5730</v>
      </c>
      <c r="K872" s="28" t="s">
        <v>5854</v>
      </c>
      <c r="L872" s="28" t="s">
        <v>5853</v>
      </c>
      <c r="M872" s="28" t="s">
        <v>3616</v>
      </c>
      <c r="N872" s="28" t="s">
        <v>3613</v>
      </c>
    </row>
    <row r="873" spans="1:14" x14ac:dyDescent="0.2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35" t="s">
        <v>978</v>
      </c>
      <c r="G873" s="28" t="s">
        <v>1530</v>
      </c>
      <c r="H873" s="28" t="s">
        <v>1515</v>
      </c>
      <c r="I873" s="28" t="s">
        <v>5729</v>
      </c>
      <c r="J873" s="28" t="s">
        <v>5730</v>
      </c>
      <c r="K873" s="28" t="s">
        <v>5855</v>
      </c>
      <c r="L873" s="28" t="s">
        <v>5853</v>
      </c>
      <c r="M873" s="28" t="s">
        <v>3863</v>
      </c>
      <c r="N873" s="28" t="s">
        <v>3613</v>
      </c>
    </row>
    <row r="874" spans="1:14" x14ac:dyDescent="0.2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35" t="s">
        <v>978</v>
      </c>
      <c r="G874" s="28" t="s">
        <v>1531</v>
      </c>
      <c r="H874" s="28" t="s">
        <v>1515</v>
      </c>
      <c r="I874" s="28" t="s">
        <v>5733</v>
      </c>
      <c r="J874" s="28" t="s">
        <v>5730</v>
      </c>
      <c r="K874" s="28" t="s">
        <v>5856</v>
      </c>
      <c r="L874" s="28" t="s">
        <v>5853</v>
      </c>
      <c r="M874" s="28" t="s">
        <v>3865</v>
      </c>
      <c r="N874" s="28" t="s">
        <v>3613</v>
      </c>
    </row>
    <row r="875" spans="1:14" x14ac:dyDescent="0.2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35" t="s">
        <v>979</v>
      </c>
      <c r="G875" s="28" t="s">
        <v>1517</v>
      </c>
      <c r="H875" s="28" t="s">
        <v>1518</v>
      </c>
      <c r="I875" s="28" t="s">
        <v>5735</v>
      </c>
      <c r="J875" s="28" t="s">
        <v>5736</v>
      </c>
      <c r="K875" s="28" t="s">
        <v>5857</v>
      </c>
      <c r="L875" s="28" t="s">
        <v>5858</v>
      </c>
      <c r="M875" s="28" t="s">
        <v>3621</v>
      </c>
      <c r="N875" s="28" t="s">
        <v>3622</v>
      </c>
    </row>
    <row r="876" spans="1:14" x14ac:dyDescent="0.2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35" t="s">
        <v>979</v>
      </c>
      <c r="G876" s="28" t="s">
        <v>1533</v>
      </c>
      <c r="H876" s="28" t="s">
        <v>1518</v>
      </c>
      <c r="I876" s="28" t="s">
        <v>5770</v>
      </c>
      <c r="J876" s="28" t="s">
        <v>5736</v>
      </c>
      <c r="K876" s="28" t="s">
        <v>5859</v>
      </c>
      <c r="L876" s="28" t="s">
        <v>5858</v>
      </c>
      <c r="M876" s="28" t="s">
        <v>3869</v>
      </c>
      <c r="N876" s="28" t="s">
        <v>3622</v>
      </c>
    </row>
    <row r="877" spans="1:14" x14ac:dyDescent="0.2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35" t="s">
        <v>979</v>
      </c>
      <c r="G877" s="28" t="s">
        <v>1534</v>
      </c>
      <c r="H877" s="28" t="s">
        <v>1518</v>
      </c>
      <c r="I877" s="28" t="s">
        <v>5739</v>
      </c>
      <c r="J877" s="28" t="s">
        <v>5736</v>
      </c>
      <c r="K877" s="28" t="s">
        <v>5860</v>
      </c>
      <c r="L877" s="28" t="s">
        <v>5858</v>
      </c>
      <c r="M877" s="28" t="s">
        <v>3871</v>
      </c>
      <c r="N877" s="28" t="s">
        <v>3622</v>
      </c>
    </row>
    <row r="878" spans="1:14" x14ac:dyDescent="0.2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35" t="s">
        <v>979</v>
      </c>
      <c r="G878" s="28" t="s">
        <v>1526</v>
      </c>
      <c r="H878" s="28" t="s">
        <v>1518</v>
      </c>
      <c r="I878" s="28" t="s">
        <v>5773</v>
      </c>
      <c r="J878" s="28" t="s">
        <v>5736</v>
      </c>
      <c r="K878" s="28" t="s">
        <v>5861</v>
      </c>
      <c r="L878" s="28" t="s">
        <v>5858</v>
      </c>
      <c r="M878" s="28" t="s">
        <v>3873</v>
      </c>
      <c r="N878" s="28" t="s">
        <v>3622</v>
      </c>
    </row>
    <row r="879" spans="1:14" x14ac:dyDescent="0.2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35" t="s">
        <v>980</v>
      </c>
      <c r="G879" s="28" t="s">
        <v>1521</v>
      </c>
      <c r="H879" s="28" t="s">
        <v>1520</v>
      </c>
      <c r="I879" s="28" t="s">
        <v>5741</v>
      </c>
      <c r="J879" s="28" t="s">
        <v>5718</v>
      </c>
      <c r="K879" s="28" t="s">
        <v>5862</v>
      </c>
      <c r="L879" s="28" t="s">
        <v>5863</v>
      </c>
      <c r="M879" s="28" t="s">
        <v>3631</v>
      </c>
      <c r="N879" s="28" t="s">
        <v>3628</v>
      </c>
    </row>
    <row r="880" spans="1:14" x14ac:dyDescent="0.2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35" t="s">
        <v>980</v>
      </c>
      <c r="G880" s="28" t="s">
        <v>1522</v>
      </c>
      <c r="H880" s="28" t="s">
        <v>1520</v>
      </c>
      <c r="I880" s="28" t="s">
        <v>5717</v>
      </c>
      <c r="J880" s="28" t="s">
        <v>5718</v>
      </c>
      <c r="K880" s="28" t="s">
        <v>5864</v>
      </c>
      <c r="L880" s="28" t="s">
        <v>5863</v>
      </c>
      <c r="M880" s="28" t="s">
        <v>3634</v>
      </c>
      <c r="N880" s="28" t="s">
        <v>3628</v>
      </c>
    </row>
    <row r="881" spans="1:14" x14ac:dyDescent="0.2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35" t="s">
        <v>980</v>
      </c>
      <c r="G881" s="28" t="s">
        <v>1523</v>
      </c>
      <c r="H881" s="28" t="s">
        <v>1520</v>
      </c>
      <c r="I881" s="28" t="s">
        <v>5745</v>
      </c>
      <c r="J881" s="28" t="s">
        <v>5718</v>
      </c>
      <c r="K881" s="28" t="s">
        <v>5865</v>
      </c>
      <c r="L881" s="28" t="s">
        <v>5863</v>
      </c>
      <c r="M881" s="28" t="s">
        <v>3637</v>
      </c>
      <c r="N881" s="28" t="s">
        <v>3628</v>
      </c>
    </row>
    <row r="882" spans="1:14" x14ac:dyDescent="0.2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35" t="s">
        <v>981</v>
      </c>
      <c r="G882" s="28" t="s">
        <v>1527</v>
      </c>
      <c r="H882" s="28" t="s">
        <v>1525</v>
      </c>
      <c r="I882" s="28" t="s">
        <v>5721</v>
      </c>
      <c r="J882" s="28" t="s">
        <v>5722</v>
      </c>
      <c r="K882" s="28" t="s">
        <v>5866</v>
      </c>
      <c r="L882" s="28" t="s">
        <v>5867</v>
      </c>
      <c r="M882" s="28" t="s">
        <v>5868</v>
      </c>
      <c r="N882" s="28" t="s">
        <v>3643</v>
      </c>
    </row>
    <row r="883" spans="1:14" x14ac:dyDescent="0.2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35" t="s">
        <v>981</v>
      </c>
      <c r="G883" s="28" t="s">
        <v>1528</v>
      </c>
      <c r="H883" s="28" t="s">
        <v>1525</v>
      </c>
      <c r="I883" s="28" t="s">
        <v>5725</v>
      </c>
      <c r="J883" s="28" t="s">
        <v>5722</v>
      </c>
      <c r="K883" s="28" t="s">
        <v>5869</v>
      </c>
      <c r="L883" s="28" t="s">
        <v>5867</v>
      </c>
      <c r="M883" s="28" t="s">
        <v>3881</v>
      </c>
      <c r="N883" s="28" t="s">
        <v>3643</v>
      </c>
    </row>
    <row r="884" spans="1:14" x14ac:dyDescent="0.2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35" t="s">
        <v>981</v>
      </c>
      <c r="G884" s="28" t="s">
        <v>1524</v>
      </c>
      <c r="H884" s="28" t="s">
        <v>1525</v>
      </c>
      <c r="I884" s="28" t="s">
        <v>5727</v>
      </c>
      <c r="J884" s="28" t="s">
        <v>5722</v>
      </c>
      <c r="K884" s="28" t="s">
        <v>5870</v>
      </c>
      <c r="L884" s="28" t="s">
        <v>5867</v>
      </c>
      <c r="M884" s="28" t="s">
        <v>3642</v>
      </c>
      <c r="N884" s="28" t="s">
        <v>3643</v>
      </c>
    </row>
    <row r="885" spans="1:14" x14ac:dyDescent="0.2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35" t="s">
        <v>978</v>
      </c>
      <c r="G885" s="28" t="s">
        <v>1576</v>
      </c>
      <c r="H885" s="28" t="s">
        <v>1543</v>
      </c>
      <c r="I885" s="28" t="s">
        <v>5340</v>
      </c>
      <c r="J885" s="28" t="s">
        <v>5341</v>
      </c>
      <c r="K885" s="28" t="s">
        <v>5871</v>
      </c>
      <c r="L885" s="28" t="s">
        <v>5872</v>
      </c>
      <c r="M885" s="28" t="s">
        <v>4351</v>
      </c>
      <c r="N885" s="28" t="s">
        <v>4346</v>
      </c>
    </row>
    <row r="886" spans="1:14" x14ac:dyDescent="0.2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35" t="s">
        <v>978</v>
      </c>
      <c r="G886" s="28" t="s">
        <v>1545</v>
      </c>
      <c r="H886" s="28" t="s">
        <v>1543</v>
      </c>
      <c r="I886" s="28" t="s">
        <v>5440</v>
      </c>
      <c r="J886" s="28" t="s">
        <v>5341</v>
      </c>
      <c r="K886" s="28" t="s">
        <v>5873</v>
      </c>
      <c r="L886" s="28" t="s">
        <v>5872</v>
      </c>
      <c r="M886" s="28" t="s">
        <v>4353</v>
      </c>
      <c r="N886" s="28" t="s">
        <v>4346</v>
      </c>
    </row>
    <row r="887" spans="1:14" x14ac:dyDescent="0.2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35" t="s">
        <v>978</v>
      </c>
      <c r="G887" s="28" t="s">
        <v>1546</v>
      </c>
      <c r="H887" s="28" t="s">
        <v>1543</v>
      </c>
      <c r="I887" s="28" t="s">
        <v>5442</v>
      </c>
      <c r="J887" s="28" t="s">
        <v>5341</v>
      </c>
      <c r="K887" s="28" t="s">
        <v>5874</v>
      </c>
      <c r="L887" s="28" t="s">
        <v>5875</v>
      </c>
      <c r="M887" s="28" t="s">
        <v>5876</v>
      </c>
      <c r="N887" s="28" t="s">
        <v>5877</v>
      </c>
    </row>
    <row r="888" spans="1:14" x14ac:dyDescent="0.2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35" t="s">
        <v>979</v>
      </c>
      <c r="G888" s="28" t="s">
        <v>1551</v>
      </c>
      <c r="H888" s="28" t="s">
        <v>1548</v>
      </c>
      <c r="I888" s="28" t="s">
        <v>5578</v>
      </c>
      <c r="J888" s="28" t="s">
        <v>5446</v>
      </c>
      <c r="K888" s="28" t="s">
        <v>5878</v>
      </c>
      <c r="L888" s="28" t="s">
        <v>5879</v>
      </c>
      <c r="M888" s="28" t="s">
        <v>5880</v>
      </c>
      <c r="N888" s="28" t="s">
        <v>4477</v>
      </c>
    </row>
    <row r="889" spans="1:14" x14ac:dyDescent="0.2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35" t="s">
        <v>980</v>
      </c>
      <c r="G889" s="28" t="s">
        <v>1554</v>
      </c>
      <c r="H889" s="28" t="s">
        <v>1553</v>
      </c>
      <c r="I889" s="28" t="s">
        <v>5453</v>
      </c>
      <c r="J889" s="28" t="s">
        <v>5346</v>
      </c>
      <c r="K889" s="28" t="s">
        <v>5881</v>
      </c>
      <c r="L889" s="28" t="s">
        <v>5882</v>
      </c>
      <c r="M889" s="28" t="s">
        <v>4487</v>
      </c>
      <c r="N889" s="28" t="s">
        <v>4483</v>
      </c>
    </row>
    <row r="890" spans="1:14" x14ac:dyDescent="0.2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35" t="s">
        <v>981</v>
      </c>
      <c r="G890" s="28" t="s">
        <v>1637</v>
      </c>
      <c r="H890" s="28" t="s">
        <v>1575</v>
      </c>
      <c r="I890" s="28" t="s">
        <v>5457</v>
      </c>
      <c r="J890" s="28" t="s">
        <v>5352</v>
      </c>
      <c r="K890" s="28" t="s">
        <v>5883</v>
      </c>
      <c r="L890" s="28" t="s">
        <v>5884</v>
      </c>
      <c r="M890" s="28" t="s">
        <v>5885</v>
      </c>
      <c r="N890" s="28" t="s">
        <v>4491</v>
      </c>
    </row>
    <row r="891" spans="1:14" x14ac:dyDescent="0.2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35" t="s">
        <v>981</v>
      </c>
      <c r="G891" s="28" t="s">
        <v>1574</v>
      </c>
      <c r="H891" s="28" t="s">
        <v>1575</v>
      </c>
      <c r="I891" s="28" t="s">
        <v>5356</v>
      </c>
      <c r="J891" s="28" t="s">
        <v>5352</v>
      </c>
      <c r="K891" s="28" t="s">
        <v>5886</v>
      </c>
      <c r="L891" s="28" t="s">
        <v>5884</v>
      </c>
      <c r="M891" s="28" t="s">
        <v>4490</v>
      </c>
      <c r="N891" s="28" t="s">
        <v>4491</v>
      </c>
    </row>
    <row r="892" spans="1:14" x14ac:dyDescent="0.2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35" t="s">
        <v>979</v>
      </c>
      <c r="G892" s="28" t="s">
        <v>1517</v>
      </c>
      <c r="H892" s="28" t="s">
        <v>1518</v>
      </c>
      <c r="I892" s="28" t="s">
        <v>5735</v>
      </c>
      <c r="J892" s="28" t="s">
        <v>5736</v>
      </c>
      <c r="K892" s="28" t="s">
        <v>5887</v>
      </c>
      <c r="L892" s="28" t="s">
        <v>5888</v>
      </c>
      <c r="M892" s="28" t="s">
        <v>3751</v>
      </c>
      <c r="N892" s="28" t="s">
        <v>3752</v>
      </c>
    </row>
    <row r="893" spans="1:14" x14ac:dyDescent="0.2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35" t="s">
        <v>979</v>
      </c>
      <c r="G893" s="28" t="s">
        <v>1534</v>
      </c>
      <c r="H893" s="28" t="s">
        <v>1518</v>
      </c>
      <c r="I893" s="28" t="s">
        <v>5739</v>
      </c>
      <c r="J893" s="28" t="s">
        <v>5736</v>
      </c>
      <c r="K893" s="28" t="s">
        <v>5889</v>
      </c>
      <c r="L893" s="28" t="s">
        <v>5888</v>
      </c>
      <c r="M893" s="28" t="s">
        <v>3797</v>
      </c>
      <c r="N893" s="28" t="s">
        <v>3752</v>
      </c>
    </row>
    <row r="894" spans="1:14" x14ac:dyDescent="0.2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35" t="s">
        <v>980</v>
      </c>
      <c r="G894" s="28" t="s">
        <v>1523</v>
      </c>
      <c r="H894" s="28" t="s">
        <v>1520</v>
      </c>
      <c r="I894" s="28" t="s">
        <v>5745</v>
      </c>
      <c r="J894" s="28" t="s">
        <v>5718</v>
      </c>
      <c r="K894" s="28" t="s">
        <v>5890</v>
      </c>
      <c r="L894" s="28" t="s">
        <v>5891</v>
      </c>
      <c r="M894" s="28" t="s">
        <v>3763</v>
      </c>
      <c r="N894" s="28" t="s">
        <v>3759</v>
      </c>
    </row>
    <row r="895" spans="1:14" x14ac:dyDescent="0.2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35" t="s">
        <v>981</v>
      </c>
      <c r="G895" s="28" t="s">
        <v>1527</v>
      </c>
      <c r="H895" s="28" t="s">
        <v>1525</v>
      </c>
      <c r="I895" s="28" t="s">
        <v>5721</v>
      </c>
      <c r="J895" s="28" t="s">
        <v>5722</v>
      </c>
      <c r="K895" s="28" t="s">
        <v>5892</v>
      </c>
      <c r="L895" s="28" t="s">
        <v>5893</v>
      </c>
      <c r="M895" s="28" t="s">
        <v>3766</v>
      </c>
      <c r="N895" s="28" t="s">
        <v>3767</v>
      </c>
    </row>
    <row r="896" spans="1:14" x14ac:dyDescent="0.2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35" t="s">
        <v>981</v>
      </c>
      <c r="G896" s="28" t="s">
        <v>1524</v>
      </c>
      <c r="H896" s="28" t="s">
        <v>1525</v>
      </c>
      <c r="I896" s="28" t="s">
        <v>5727</v>
      </c>
      <c r="J896" s="28" t="s">
        <v>5722</v>
      </c>
      <c r="K896" s="28" t="s">
        <v>5894</v>
      </c>
      <c r="L896" s="28" t="s">
        <v>5893</v>
      </c>
      <c r="M896" s="28" t="s">
        <v>3771</v>
      </c>
      <c r="N896" s="28" t="s">
        <v>3767</v>
      </c>
    </row>
    <row r="897" spans="1:14" x14ac:dyDescent="0.2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35" t="s">
        <v>977</v>
      </c>
      <c r="G897" s="28" t="s">
        <v>1532</v>
      </c>
      <c r="H897" s="28" t="s">
        <v>1512</v>
      </c>
      <c r="I897" s="28" t="s">
        <v>5754</v>
      </c>
      <c r="J897" s="28" t="s">
        <v>5750</v>
      </c>
      <c r="K897" s="28" t="s">
        <v>5895</v>
      </c>
      <c r="L897" s="28" t="s">
        <v>5896</v>
      </c>
      <c r="M897" s="28" t="s">
        <v>5897</v>
      </c>
      <c r="N897" s="28" t="s">
        <v>3647</v>
      </c>
    </row>
    <row r="898" spans="1:14" x14ac:dyDescent="0.2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35" t="s">
        <v>977</v>
      </c>
      <c r="G898" s="28" t="s">
        <v>1539</v>
      </c>
      <c r="H898" s="28" t="s">
        <v>1512</v>
      </c>
      <c r="I898" s="28" t="s">
        <v>5759</v>
      </c>
      <c r="J898" s="28" t="s">
        <v>5750</v>
      </c>
      <c r="K898" s="28" t="s">
        <v>5898</v>
      </c>
      <c r="L898" s="28" t="s">
        <v>5896</v>
      </c>
      <c r="M898" s="28" t="s">
        <v>3950</v>
      </c>
      <c r="N898" s="28" t="s">
        <v>3647</v>
      </c>
    </row>
    <row r="899" spans="1:14" x14ac:dyDescent="0.2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35" t="s">
        <v>978</v>
      </c>
      <c r="G899" s="28" t="s">
        <v>1514</v>
      </c>
      <c r="H899" s="28" t="s">
        <v>1515</v>
      </c>
      <c r="I899" s="28" t="s">
        <v>5761</v>
      </c>
      <c r="J899" s="28" t="s">
        <v>5730</v>
      </c>
      <c r="K899" s="28" t="s">
        <v>5899</v>
      </c>
      <c r="L899" s="28" t="s">
        <v>5900</v>
      </c>
      <c r="M899" s="28" t="s">
        <v>3922</v>
      </c>
      <c r="N899" s="28" t="s">
        <v>3923</v>
      </c>
    </row>
    <row r="900" spans="1:14" x14ac:dyDescent="0.2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35" t="s">
        <v>978</v>
      </c>
      <c r="G900" s="28" t="s">
        <v>1516</v>
      </c>
      <c r="H900" s="28" t="s">
        <v>1515</v>
      </c>
      <c r="I900" s="28" t="s">
        <v>5764</v>
      </c>
      <c r="J900" s="28" t="s">
        <v>5730</v>
      </c>
      <c r="K900" s="28" t="s">
        <v>5901</v>
      </c>
      <c r="L900" s="28" t="s">
        <v>5900</v>
      </c>
      <c r="M900" s="28" t="s">
        <v>3925</v>
      </c>
      <c r="N900" s="28" t="s">
        <v>3923</v>
      </c>
    </row>
    <row r="901" spans="1:14" x14ac:dyDescent="0.2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35" t="s">
        <v>978</v>
      </c>
      <c r="G901" s="28" t="s">
        <v>1530</v>
      </c>
      <c r="H901" s="28" t="s">
        <v>1515</v>
      </c>
      <c r="I901" s="28" t="s">
        <v>5729</v>
      </c>
      <c r="J901" s="28" t="s">
        <v>5730</v>
      </c>
      <c r="K901" s="28" t="s">
        <v>5902</v>
      </c>
      <c r="L901" s="28" t="s">
        <v>5900</v>
      </c>
      <c r="M901" s="28" t="s">
        <v>3927</v>
      </c>
      <c r="N901" s="28" t="s">
        <v>3923</v>
      </c>
    </row>
    <row r="902" spans="1:14" x14ac:dyDescent="0.2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35" t="s">
        <v>978</v>
      </c>
      <c r="G902" s="28" t="s">
        <v>1531</v>
      </c>
      <c r="H902" s="28" t="s">
        <v>1515</v>
      </c>
      <c r="I902" s="28" t="s">
        <v>5733</v>
      </c>
      <c r="J902" s="28" t="s">
        <v>5730</v>
      </c>
      <c r="K902" s="28" t="s">
        <v>5903</v>
      </c>
      <c r="L902" s="28" t="s">
        <v>5900</v>
      </c>
      <c r="M902" s="28" t="s">
        <v>3954</v>
      </c>
      <c r="N902" s="28" t="s">
        <v>3923</v>
      </c>
    </row>
    <row r="903" spans="1:14" x14ac:dyDescent="0.2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35" t="s">
        <v>979</v>
      </c>
      <c r="G903" s="28" t="s">
        <v>1517</v>
      </c>
      <c r="H903" s="28" t="s">
        <v>1518</v>
      </c>
      <c r="I903" s="28" t="s">
        <v>5735</v>
      </c>
      <c r="J903" s="28" t="s">
        <v>5736</v>
      </c>
      <c r="K903" s="28" t="s">
        <v>5904</v>
      </c>
      <c r="L903" s="28" t="s">
        <v>5905</v>
      </c>
      <c r="M903" s="28" t="s">
        <v>3930</v>
      </c>
      <c r="N903" s="28" t="s">
        <v>3652</v>
      </c>
    </row>
    <row r="904" spans="1:14" x14ac:dyDescent="0.2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35" t="s">
        <v>979</v>
      </c>
      <c r="G904" s="28" t="s">
        <v>1533</v>
      </c>
      <c r="H904" s="28" t="s">
        <v>1518</v>
      </c>
      <c r="I904" s="28" t="s">
        <v>5770</v>
      </c>
      <c r="J904" s="28" t="s">
        <v>5736</v>
      </c>
      <c r="K904" s="28" t="s">
        <v>5906</v>
      </c>
      <c r="L904" s="28" t="s">
        <v>5905</v>
      </c>
      <c r="M904" s="28" t="s">
        <v>3932</v>
      </c>
      <c r="N904" s="28" t="s">
        <v>3652</v>
      </c>
    </row>
    <row r="905" spans="1:14" x14ac:dyDescent="0.2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35" t="s">
        <v>980</v>
      </c>
      <c r="G905" s="28" t="s">
        <v>1521</v>
      </c>
      <c r="H905" s="28" t="s">
        <v>1520</v>
      </c>
      <c r="I905" s="28" t="s">
        <v>5741</v>
      </c>
      <c r="J905" s="28" t="s">
        <v>5718</v>
      </c>
      <c r="K905" s="28" t="s">
        <v>5907</v>
      </c>
      <c r="L905" s="28" t="s">
        <v>5908</v>
      </c>
      <c r="M905" s="28" t="s">
        <v>3939</v>
      </c>
      <c r="N905" s="28" t="s">
        <v>3656</v>
      </c>
    </row>
    <row r="906" spans="1:14" x14ac:dyDescent="0.2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35" t="s">
        <v>980</v>
      </c>
      <c r="G906" s="28" t="s">
        <v>1522</v>
      </c>
      <c r="H906" s="28" t="s">
        <v>1520</v>
      </c>
      <c r="I906" s="28" t="s">
        <v>5717</v>
      </c>
      <c r="J906" s="28" t="s">
        <v>5718</v>
      </c>
      <c r="K906" s="28" t="s">
        <v>5909</v>
      </c>
      <c r="L906" s="28" t="s">
        <v>5908</v>
      </c>
      <c r="M906" s="28" t="s">
        <v>3941</v>
      </c>
      <c r="N906" s="28" t="s">
        <v>3656</v>
      </c>
    </row>
    <row r="907" spans="1:14" x14ac:dyDescent="0.2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35" t="s">
        <v>980</v>
      </c>
      <c r="G907" s="28" t="s">
        <v>1523</v>
      </c>
      <c r="H907" s="28" t="s">
        <v>1520</v>
      </c>
      <c r="I907" s="28" t="s">
        <v>5745</v>
      </c>
      <c r="J907" s="28" t="s">
        <v>5718</v>
      </c>
      <c r="K907" s="28" t="s">
        <v>5910</v>
      </c>
      <c r="L907" s="28" t="s">
        <v>5908</v>
      </c>
      <c r="M907" s="28" t="s">
        <v>5202</v>
      </c>
      <c r="N907" s="28" t="s">
        <v>3656</v>
      </c>
    </row>
    <row r="908" spans="1:14" x14ac:dyDescent="0.2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35" t="s">
        <v>981</v>
      </c>
      <c r="G908" s="28" t="s">
        <v>1527</v>
      </c>
      <c r="H908" s="28" t="s">
        <v>1525</v>
      </c>
      <c r="I908" s="28" t="s">
        <v>5721</v>
      </c>
      <c r="J908" s="28" t="s">
        <v>5722</v>
      </c>
      <c r="K908" s="28" t="s">
        <v>5911</v>
      </c>
      <c r="L908" s="28" t="s">
        <v>5912</v>
      </c>
      <c r="M908" s="28" t="s">
        <v>5205</v>
      </c>
      <c r="N908" s="28" t="s">
        <v>3945</v>
      </c>
    </row>
    <row r="909" spans="1:14" x14ac:dyDescent="0.2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35" t="s">
        <v>981</v>
      </c>
      <c r="G909" s="28" t="s">
        <v>1528</v>
      </c>
      <c r="H909" s="28" t="s">
        <v>1525</v>
      </c>
      <c r="I909" s="28" t="s">
        <v>5725</v>
      </c>
      <c r="J909" s="28" t="s">
        <v>5722</v>
      </c>
      <c r="K909" s="28" t="s">
        <v>5913</v>
      </c>
      <c r="L909" s="28" t="s">
        <v>5912</v>
      </c>
      <c r="M909" s="28" t="s">
        <v>3944</v>
      </c>
      <c r="N909" s="28" t="s">
        <v>3945</v>
      </c>
    </row>
    <row r="910" spans="1:14" x14ac:dyDescent="0.2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35" t="s">
        <v>977</v>
      </c>
      <c r="G910" s="28" t="s">
        <v>1511</v>
      </c>
      <c r="H910" s="28" t="s">
        <v>1512</v>
      </c>
      <c r="I910" s="28" t="s">
        <v>5749</v>
      </c>
      <c r="J910" s="28" t="s">
        <v>5750</v>
      </c>
      <c r="K910" s="28" t="s">
        <v>5914</v>
      </c>
      <c r="L910" s="28" t="s">
        <v>5915</v>
      </c>
      <c r="M910" s="28" t="s">
        <v>5916</v>
      </c>
      <c r="N910" s="28" t="s">
        <v>5917</v>
      </c>
    </row>
    <row r="911" spans="1:14" x14ac:dyDescent="0.2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35" t="s">
        <v>977</v>
      </c>
      <c r="G911" s="28" t="s">
        <v>1513</v>
      </c>
      <c r="H911" s="28" t="s">
        <v>1512</v>
      </c>
      <c r="I911" s="28" t="s">
        <v>5757</v>
      </c>
      <c r="J911" s="28" t="s">
        <v>5750</v>
      </c>
      <c r="K911" s="28" t="s">
        <v>5918</v>
      </c>
      <c r="L911" s="28" t="s">
        <v>5915</v>
      </c>
      <c r="M911" s="28" t="s">
        <v>5919</v>
      </c>
      <c r="N911" s="28" t="s">
        <v>5917</v>
      </c>
    </row>
    <row r="912" spans="1:14" x14ac:dyDescent="0.2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35" t="s">
        <v>977</v>
      </c>
      <c r="G912" s="28" t="s">
        <v>1539</v>
      </c>
      <c r="H912" s="28" t="s">
        <v>1512</v>
      </c>
      <c r="I912" s="28" t="s">
        <v>5759</v>
      </c>
      <c r="J912" s="28" t="s">
        <v>5750</v>
      </c>
      <c r="K912" s="28" t="s">
        <v>5920</v>
      </c>
      <c r="L912" s="28" t="s">
        <v>5915</v>
      </c>
      <c r="M912" s="28" t="s">
        <v>5921</v>
      </c>
      <c r="N912" s="28" t="s">
        <v>5917</v>
      </c>
    </row>
    <row r="913" spans="1:14" x14ac:dyDescent="0.2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35" t="s">
        <v>978</v>
      </c>
      <c r="G913" s="28" t="s">
        <v>1514</v>
      </c>
      <c r="H913" s="28" t="s">
        <v>1515</v>
      </c>
      <c r="I913" s="28" t="s">
        <v>5761</v>
      </c>
      <c r="J913" s="28" t="s">
        <v>5730</v>
      </c>
      <c r="K913" s="28" t="s">
        <v>5922</v>
      </c>
      <c r="L913" s="28" t="s">
        <v>5923</v>
      </c>
      <c r="M913" s="28" t="s">
        <v>3986</v>
      </c>
      <c r="N913" s="28" t="s">
        <v>3958</v>
      </c>
    </row>
    <row r="914" spans="1:14" x14ac:dyDescent="0.2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35" t="s">
        <v>978</v>
      </c>
      <c r="G914" s="28" t="s">
        <v>1516</v>
      </c>
      <c r="H914" s="28" t="s">
        <v>1515</v>
      </c>
      <c r="I914" s="28" t="s">
        <v>5764</v>
      </c>
      <c r="J914" s="28" t="s">
        <v>5730</v>
      </c>
      <c r="K914" s="28" t="s">
        <v>5924</v>
      </c>
      <c r="L914" s="28" t="s">
        <v>5923</v>
      </c>
      <c r="M914" s="28" t="s">
        <v>5925</v>
      </c>
      <c r="N914" s="28" t="s">
        <v>3958</v>
      </c>
    </row>
    <row r="915" spans="1:14" x14ac:dyDescent="0.2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35" t="s">
        <v>978</v>
      </c>
      <c r="G915" s="28" t="s">
        <v>1530</v>
      </c>
      <c r="H915" s="28" t="s">
        <v>1515</v>
      </c>
      <c r="I915" s="28" t="s">
        <v>5729</v>
      </c>
      <c r="J915" s="28" t="s">
        <v>5730</v>
      </c>
      <c r="K915" s="28" t="s">
        <v>5926</v>
      </c>
      <c r="L915" s="28" t="s">
        <v>5923</v>
      </c>
      <c r="M915" s="28" t="s">
        <v>3960</v>
      </c>
      <c r="N915" s="28" t="s">
        <v>3958</v>
      </c>
    </row>
    <row r="916" spans="1:14" x14ac:dyDescent="0.2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35" t="s">
        <v>978</v>
      </c>
      <c r="G916" s="28" t="s">
        <v>1531</v>
      </c>
      <c r="H916" s="28" t="s">
        <v>1515</v>
      </c>
      <c r="I916" s="28" t="s">
        <v>5733</v>
      </c>
      <c r="J916" s="28" t="s">
        <v>5730</v>
      </c>
      <c r="K916" s="28" t="s">
        <v>5927</v>
      </c>
      <c r="L916" s="28" t="s">
        <v>5923</v>
      </c>
      <c r="M916" s="28" t="s">
        <v>3962</v>
      </c>
      <c r="N916" s="28" t="s">
        <v>3958</v>
      </c>
    </row>
    <row r="917" spans="1:14" x14ac:dyDescent="0.2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35" t="s">
        <v>979</v>
      </c>
      <c r="G917" s="28" t="s">
        <v>1517</v>
      </c>
      <c r="H917" s="28" t="s">
        <v>1518</v>
      </c>
      <c r="I917" s="28" t="s">
        <v>5735</v>
      </c>
      <c r="J917" s="28" t="s">
        <v>5736</v>
      </c>
      <c r="K917" s="28" t="s">
        <v>5928</v>
      </c>
      <c r="L917" s="28" t="s">
        <v>5929</v>
      </c>
      <c r="M917" s="28" t="s">
        <v>3965</v>
      </c>
      <c r="N917" s="28" t="s">
        <v>3966</v>
      </c>
    </row>
    <row r="918" spans="1:14" x14ac:dyDescent="0.2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35" t="s">
        <v>979</v>
      </c>
      <c r="G918" s="28" t="s">
        <v>1533</v>
      </c>
      <c r="H918" s="28" t="s">
        <v>1518</v>
      </c>
      <c r="I918" s="28" t="s">
        <v>5770</v>
      </c>
      <c r="J918" s="28" t="s">
        <v>5736</v>
      </c>
      <c r="K918" s="28" t="s">
        <v>5930</v>
      </c>
      <c r="L918" s="28" t="s">
        <v>5929</v>
      </c>
      <c r="M918" s="28" t="s">
        <v>3968</v>
      </c>
      <c r="N918" s="28" t="s">
        <v>3966</v>
      </c>
    </row>
    <row r="919" spans="1:14" x14ac:dyDescent="0.2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35" t="s">
        <v>979</v>
      </c>
      <c r="G919" s="28" t="s">
        <v>1526</v>
      </c>
      <c r="H919" s="28" t="s">
        <v>1518</v>
      </c>
      <c r="I919" s="28" t="s">
        <v>5773</v>
      </c>
      <c r="J919" s="28" t="s">
        <v>5736</v>
      </c>
      <c r="K919" s="28" t="s">
        <v>5931</v>
      </c>
      <c r="L919" s="28" t="s">
        <v>5929</v>
      </c>
      <c r="M919" s="28" t="s">
        <v>3972</v>
      </c>
      <c r="N919" s="28" t="s">
        <v>3966</v>
      </c>
    </row>
    <row r="920" spans="1:14" x14ac:dyDescent="0.2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35" t="s">
        <v>980</v>
      </c>
      <c r="G920" s="28" t="s">
        <v>1521</v>
      </c>
      <c r="H920" s="28" t="s">
        <v>1520</v>
      </c>
      <c r="I920" s="28" t="s">
        <v>5741</v>
      </c>
      <c r="J920" s="28" t="s">
        <v>5718</v>
      </c>
      <c r="K920" s="28" t="s">
        <v>5932</v>
      </c>
      <c r="L920" s="28" t="s">
        <v>5933</v>
      </c>
      <c r="M920" s="28" t="s">
        <v>3988</v>
      </c>
      <c r="N920" s="28" t="s">
        <v>3976</v>
      </c>
    </row>
    <row r="921" spans="1:14" x14ac:dyDescent="0.2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35" t="s">
        <v>980</v>
      </c>
      <c r="G921" s="28" t="s">
        <v>1523</v>
      </c>
      <c r="H921" s="28" t="s">
        <v>1520</v>
      </c>
      <c r="I921" s="28" t="s">
        <v>5745</v>
      </c>
      <c r="J921" s="28" t="s">
        <v>5718</v>
      </c>
      <c r="K921" s="28" t="s">
        <v>5934</v>
      </c>
      <c r="L921" s="28" t="s">
        <v>5933</v>
      </c>
      <c r="M921" s="28" t="s">
        <v>5935</v>
      </c>
      <c r="N921" s="28" t="s">
        <v>3976</v>
      </c>
    </row>
    <row r="922" spans="1:14" x14ac:dyDescent="0.2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35" t="s">
        <v>981</v>
      </c>
      <c r="G922" s="28" t="s">
        <v>1528</v>
      </c>
      <c r="H922" s="28" t="s">
        <v>1525</v>
      </c>
      <c r="I922" s="28" t="s">
        <v>5725</v>
      </c>
      <c r="J922" s="28" t="s">
        <v>5722</v>
      </c>
      <c r="K922" s="28" t="s">
        <v>5936</v>
      </c>
      <c r="L922" s="28" t="s">
        <v>5937</v>
      </c>
      <c r="M922" s="28" t="s">
        <v>3981</v>
      </c>
      <c r="N922" s="28" t="s">
        <v>3982</v>
      </c>
    </row>
    <row r="923" spans="1:14" x14ac:dyDescent="0.2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35" t="s">
        <v>981</v>
      </c>
      <c r="G923" s="28" t="s">
        <v>1524</v>
      </c>
      <c r="H923" s="28" t="s">
        <v>1525</v>
      </c>
      <c r="I923" s="28" t="s">
        <v>5727</v>
      </c>
      <c r="J923" s="28" t="s">
        <v>5722</v>
      </c>
      <c r="K923" s="28" t="s">
        <v>5938</v>
      </c>
      <c r="L923" s="28" t="s">
        <v>5937</v>
      </c>
      <c r="M923" s="28" t="s">
        <v>3984</v>
      </c>
      <c r="N923" s="28" t="s">
        <v>3982</v>
      </c>
    </row>
    <row r="924" spans="1:14" x14ac:dyDescent="0.2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35" t="s">
        <v>995</v>
      </c>
      <c r="G924" s="28" t="s">
        <v>1645</v>
      </c>
      <c r="H924" s="28" t="s">
        <v>1646</v>
      </c>
      <c r="I924" s="28" t="s">
        <v>5463</v>
      </c>
      <c r="J924" s="28" t="s">
        <v>5464</v>
      </c>
      <c r="K924" s="28" t="s">
        <v>5939</v>
      </c>
      <c r="L924" s="28" t="s">
        <v>5940</v>
      </c>
      <c r="M924" s="28" t="s">
        <v>5941</v>
      </c>
      <c r="N924" s="28" t="s">
        <v>5942</v>
      </c>
    </row>
    <row r="925" spans="1:14" x14ac:dyDescent="0.2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35" t="s">
        <v>995</v>
      </c>
      <c r="G925" s="28" t="s">
        <v>1647</v>
      </c>
      <c r="H925" s="28" t="s">
        <v>1646</v>
      </c>
      <c r="I925" s="28" t="s">
        <v>5469</v>
      </c>
      <c r="J925" s="28" t="s">
        <v>5464</v>
      </c>
      <c r="K925" s="28" t="s">
        <v>5943</v>
      </c>
      <c r="L925" s="28" t="s">
        <v>5940</v>
      </c>
      <c r="M925" s="28" t="s">
        <v>5944</v>
      </c>
      <c r="N925" s="28" t="s">
        <v>5942</v>
      </c>
    </row>
    <row r="926" spans="1:14" x14ac:dyDescent="0.2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35" t="s">
        <v>994</v>
      </c>
      <c r="G926" s="28" t="s">
        <v>1640</v>
      </c>
      <c r="H926" s="28" t="s">
        <v>1641</v>
      </c>
      <c r="I926" s="28" t="s">
        <v>5207</v>
      </c>
      <c r="J926" s="28" t="s">
        <v>5208</v>
      </c>
      <c r="K926" s="28" t="s">
        <v>5945</v>
      </c>
      <c r="L926" s="28" t="s">
        <v>5946</v>
      </c>
      <c r="M926" s="28" t="s">
        <v>5947</v>
      </c>
      <c r="N926" s="28" t="s">
        <v>5948</v>
      </c>
    </row>
    <row r="927" spans="1:14" x14ac:dyDescent="0.2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35" t="s">
        <v>994</v>
      </c>
      <c r="G927" s="28" t="s">
        <v>1648</v>
      </c>
      <c r="H927" s="28" t="s">
        <v>1641</v>
      </c>
      <c r="I927" s="28" t="s">
        <v>5476</v>
      </c>
      <c r="J927" s="28" t="s">
        <v>5208</v>
      </c>
      <c r="K927" s="28" t="s">
        <v>5949</v>
      </c>
      <c r="L927" s="28" t="s">
        <v>5946</v>
      </c>
      <c r="M927" s="28" t="s">
        <v>5950</v>
      </c>
      <c r="N927" s="28" t="s">
        <v>5948</v>
      </c>
    </row>
    <row r="928" spans="1:14" x14ac:dyDescent="0.2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35" t="s">
        <v>993</v>
      </c>
      <c r="G928" s="28" t="s">
        <v>1642</v>
      </c>
      <c r="H928" s="28" t="s">
        <v>1631</v>
      </c>
      <c r="I928" s="28" t="s">
        <v>5213</v>
      </c>
      <c r="J928" s="28" t="s">
        <v>5214</v>
      </c>
      <c r="K928" s="28" t="s">
        <v>5951</v>
      </c>
      <c r="L928" s="28" t="s">
        <v>5952</v>
      </c>
      <c r="M928" s="28" t="s">
        <v>5953</v>
      </c>
      <c r="N928" s="28" t="s">
        <v>5954</v>
      </c>
    </row>
    <row r="929" spans="1:14" x14ac:dyDescent="0.2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35" t="s">
        <v>993</v>
      </c>
      <c r="G929" s="28" t="s">
        <v>1643</v>
      </c>
      <c r="H929" s="28" t="s">
        <v>1631</v>
      </c>
      <c r="I929" s="28" t="s">
        <v>5218</v>
      </c>
      <c r="J929" s="28" t="s">
        <v>5214</v>
      </c>
      <c r="K929" s="28" t="s">
        <v>5955</v>
      </c>
      <c r="L929" s="28" t="s">
        <v>5952</v>
      </c>
      <c r="M929" s="28" t="s">
        <v>5956</v>
      </c>
      <c r="N929" s="28" t="s">
        <v>5954</v>
      </c>
    </row>
    <row r="930" spans="1:14" x14ac:dyDescent="0.2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35" t="s">
        <v>993</v>
      </c>
      <c r="G930" s="28" t="s">
        <v>1650</v>
      </c>
      <c r="H930" s="28" t="s">
        <v>1631</v>
      </c>
      <c r="I930" s="28" t="s">
        <v>5957</v>
      </c>
      <c r="J930" s="28" t="s">
        <v>5214</v>
      </c>
      <c r="K930" s="28" t="s">
        <v>5958</v>
      </c>
      <c r="L930" s="28" t="s">
        <v>5952</v>
      </c>
      <c r="M930" s="28" t="s">
        <v>5959</v>
      </c>
      <c r="N930" s="28" t="s">
        <v>5954</v>
      </c>
    </row>
    <row r="931" spans="1:14" x14ac:dyDescent="0.2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35" t="s">
        <v>985</v>
      </c>
      <c r="G931" s="28" t="s">
        <v>1633</v>
      </c>
      <c r="H931" s="28" t="s">
        <v>1592</v>
      </c>
      <c r="I931" s="28" t="s">
        <v>5488</v>
      </c>
      <c r="J931" s="28" t="s">
        <v>5222</v>
      </c>
      <c r="K931" s="28" t="s">
        <v>5960</v>
      </c>
      <c r="L931" s="28" t="s">
        <v>5961</v>
      </c>
      <c r="M931" s="28" t="s">
        <v>5962</v>
      </c>
      <c r="N931" s="28" t="s">
        <v>5963</v>
      </c>
    </row>
    <row r="932" spans="1:14" x14ac:dyDescent="0.2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35" t="s">
        <v>985</v>
      </c>
      <c r="G932" s="28" t="s">
        <v>1591</v>
      </c>
      <c r="H932" s="28" t="s">
        <v>1592</v>
      </c>
      <c r="I932" s="28" t="s">
        <v>5221</v>
      </c>
      <c r="J932" s="28" t="s">
        <v>5222</v>
      </c>
      <c r="K932" s="28" t="s">
        <v>5964</v>
      </c>
      <c r="L932" s="28" t="s">
        <v>5961</v>
      </c>
      <c r="M932" s="28" t="s">
        <v>5965</v>
      </c>
      <c r="N932" s="28" t="s">
        <v>5963</v>
      </c>
    </row>
    <row r="933" spans="1:14" x14ac:dyDescent="0.2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35" t="s">
        <v>985</v>
      </c>
      <c r="G933" s="28" t="s">
        <v>1620</v>
      </c>
      <c r="H933" s="28" t="s">
        <v>1592</v>
      </c>
      <c r="I933" s="28" t="s">
        <v>5225</v>
      </c>
      <c r="J933" s="28" t="s">
        <v>5222</v>
      </c>
      <c r="K933" s="28" t="s">
        <v>5966</v>
      </c>
      <c r="L933" s="28" t="s">
        <v>5961</v>
      </c>
      <c r="M933" s="28" t="s">
        <v>5967</v>
      </c>
      <c r="N933" s="28" t="s">
        <v>5963</v>
      </c>
    </row>
    <row r="934" spans="1:14" x14ac:dyDescent="0.2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35" t="s">
        <v>986</v>
      </c>
      <c r="G934" s="28" t="s">
        <v>1593</v>
      </c>
      <c r="H934" s="28" t="s">
        <v>1594</v>
      </c>
      <c r="I934" s="28" t="s">
        <v>5227</v>
      </c>
      <c r="J934" s="28" t="s">
        <v>5228</v>
      </c>
      <c r="K934" s="28" t="s">
        <v>5968</v>
      </c>
      <c r="L934" s="28" t="s">
        <v>5969</v>
      </c>
      <c r="M934" s="28" t="s">
        <v>5970</v>
      </c>
      <c r="N934" s="28" t="s">
        <v>5971</v>
      </c>
    </row>
    <row r="935" spans="1:14" x14ac:dyDescent="0.2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35" t="s">
        <v>986</v>
      </c>
      <c r="G935" s="28" t="s">
        <v>1595</v>
      </c>
      <c r="H935" s="28" t="s">
        <v>1594</v>
      </c>
      <c r="I935" s="28" t="s">
        <v>5231</v>
      </c>
      <c r="J935" s="28" t="s">
        <v>5228</v>
      </c>
      <c r="K935" s="28" t="s">
        <v>5972</v>
      </c>
      <c r="L935" s="28" t="s">
        <v>5969</v>
      </c>
      <c r="M935" s="28" t="s">
        <v>5973</v>
      </c>
      <c r="N935" s="28" t="s">
        <v>5971</v>
      </c>
    </row>
    <row r="936" spans="1:14" x14ac:dyDescent="0.2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35" t="s">
        <v>986</v>
      </c>
      <c r="G936" s="28" t="s">
        <v>1596</v>
      </c>
      <c r="H936" s="28" t="s">
        <v>1594</v>
      </c>
      <c r="I936" s="28" t="s">
        <v>5233</v>
      </c>
      <c r="J936" s="28" t="s">
        <v>5228</v>
      </c>
      <c r="K936" s="28" t="s">
        <v>5974</v>
      </c>
      <c r="L936" s="28" t="s">
        <v>5969</v>
      </c>
      <c r="M936" s="28" t="s">
        <v>5975</v>
      </c>
      <c r="N936" s="28" t="s">
        <v>5971</v>
      </c>
    </row>
    <row r="937" spans="1:14" x14ac:dyDescent="0.2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35" t="s">
        <v>986</v>
      </c>
      <c r="G937" s="28" t="s">
        <v>1597</v>
      </c>
      <c r="H937" s="28" t="s">
        <v>1594</v>
      </c>
      <c r="I937" s="28" t="s">
        <v>5236</v>
      </c>
      <c r="J937" s="28" t="s">
        <v>5228</v>
      </c>
      <c r="K937" s="28" t="s">
        <v>5976</v>
      </c>
      <c r="L937" s="28" t="s">
        <v>5969</v>
      </c>
      <c r="M937" s="28" t="s">
        <v>5977</v>
      </c>
      <c r="N937" s="28" t="s">
        <v>5971</v>
      </c>
    </row>
    <row r="938" spans="1:14" x14ac:dyDescent="0.2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35" t="s">
        <v>986</v>
      </c>
      <c r="G938" s="28" t="s">
        <v>1621</v>
      </c>
      <c r="H938" s="28" t="s">
        <v>1594</v>
      </c>
      <c r="I938" s="28" t="s">
        <v>5238</v>
      </c>
      <c r="J938" s="28" t="s">
        <v>5228</v>
      </c>
      <c r="K938" s="28" t="s">
        <v>5978</v>
      </c>
      <c r="L938" s="28" t="s">
        <v>5969</v>
      </c>
      <c r="M938" s="28" t="s">
        <v>5979</v>
      </c>
      <c r="N938" s="28" t="s">
        <v>5971</v>
      </c>
    </row>
    <row r="939" spans="1:14" x14ac:dyDescent="0.2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35" t="s">
        <v>987</v>
      </c>
      <c r="G939" s="28" t="s">
        <v>1598</v>
      </c>
      <c r="H939" s="28" t="s">
        <v>1599</v>
      </c>
      <c r="I939" s="28" t="s">
        <v>5980</v>
      </c>
      <c r="J939" s="28" t="s">
        <v>5241</v>
      </c>
      <c r="K939" s="28" t="s">
        <v>5981</v>
      </c>
      <c r="L939" s="28" t="s">
        <v>5982</v>
      </c>
      <c r="M939" s="28" t="s">
        <v>5983</v>
      </c>
      <c r="N939" s="28" t="s">
        <v>5984</v>
      </c>
    </row>
    <row r="940" spans="1:14" x14ac:dyDescent="0.2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35" t="s">
        <v>987</v>
      </c>
      <c r="G940" s="28" t="s">
        <v>1600</v>
      </c>
      <c r="H940" s="28" t="s">
        <v>1599</v>
      </c>
      <c r="I940" s="28" t="s">
        <v>5240</v>
      </c>
      <c r="J940" s="28" t="s">
        <v>5241</v>
      </c>
      <c r="K940" s="28" t="s">
        <v>5985</v>
      </c>
      <c r="L940" s="28" t="s">
        <v>5982</v>
      </c>
      <c r="M940" s="28" t="s">
        <v>5986</v>
      </c>
      <c r="N940" s="28" t="s">
        <v>5984</v>
      </c>
    </row>
    <row r="941" spans="1:14" x14ac:dyDescent="0.2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35" t="s">
        <v>987</v>
      </c>
      <c r="G941" s="28" t="s">
        <v>1601</v>
      </c>
      <c r="H941" s="28" t="s">
        <v>1599</v>
      </c>
      <c r="I941" s="28" t="s">
        <v>5244</v>
      </c>
      <c r="J941" s="28" t="s">
        <v>5241</v>
      </c>
      <c r="K941" s="28" t="s">
        <v>5987</v>
      </c>
      <c r="L941" s="28" t="s">
        <v>5982</v>
      </c>
      <c r="M941" s="28" t="s">
        <v>5988</v>
      </c>
      <c r="N941" s="28" t="s">
        <v>5984</v>
      </c>
    </row>
    <row r="942" spans="1:14" x14ac:dyDescent="0.2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35" t="s">
        <v>987</v>
      </c>
      <c r="G942" s="28" t="s">
        <v>1622</v>
      </c>
      <c r="H942" s="28" t="s">
        <v>1599</v>
      </c>
      <c r="I942" s="28" t="s">
        <v>5247</v>
      </c>
      <c r="J942" s="28" t="s">
        <v>5241</v>
      </c>
      <c r="K942" s="28" t="s">
        <v>5989</v>
      </c>
      <c r="L942" s="28" t="s">
        <v>5982</v>
      </c>
      <c r="M942" s="28" t="s">
        <v>5990</v>
      </c>
      <c r="N942" s="28" t="s">
        <v>5984</v>
      </c>
    </row>
    <row r="943" spans="1:14" x14ac:dyDescent="0.2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35" t="s">
        <v>988</v>
      </c>
      <c r="G943" s="28" t="s">
        <v>1634</v>
      </c>
      <c r="H943" s="28" t="s">
        <v>1603</v>
      </c>
      <c r="I943" s="28" t="s">
        <v>5249</v>
      </c>
      <c r="J943" s="28" t="s">
        <v>5250</v>
      </c>
      <c r="K943" s="28" t="s">
        <v>5991</v>
      </c>
      <c r="L943" s="28" t="s">
        <v>5992</v>
      </c>
      <c r="M943" s="28" t="s">
        <v>5993</v>
      </c>
      <c r="N943" s="28" t="s">
        <v>5994</v>
      </c>
    </row>
    <row r="944" spans="1:14" x14ac:dyDescent="0.2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35" t="s">
        <v>988</v>
      </c>
      <c r="G944" s="28" t="s">
        <v>1602</v>
      </c>
      <c r="H944" s="28" t="s">
        <v>1603</v>
      </c>
      <c r="I944" s="28" t="s">
        <v>5253</v>
      </c>
      <c r="J944" s="28" t="s">
        <v>5250</v>
      </c>
      <c r="K944" s="28" t="s">
        <v>5995</v>
      </c>
      <c r="L944" s="28" t="s">
        <v>5992</v>
      </c>
      <c r="M944" s="28" t="s">
        <v>5996</v>
      </c>
      <c r="N944" s="28" t="s">
        <v>5994</v>
      </c>
    </row>
    <row r="945" spans="1:14" x14ac:dyDescent="0.2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35" t="s">
        <v>988</v>
      </c>
      <c r="G945" s="28" t="s">
        <v>1635</v>
      </c>
      <c r="H945" s="28" t="s">
        <v>1603</v>
      </c>
      <c r="I945" s="28" t="s">
        <v>5256</v>
      </c>
      <c r="J945" s="28" t="s">
        <v>5250</v>
      </c>
      <c r="K945" s="28" t="s">
        <v>5997</v>
      </c>
      <c r="L945" s="28" t="s">
        <v>5992</v>
      </c>
      <c r="M945" s="28" t="s">
        <v>5998</v>
      </c>
      <c r="N945" s="28" t="s">
        <v>5994</v>
      </c>
    </row>
    <row r="946" spans="1:14" x14ac:dyDescent="0.2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35" t="s">
        <v>988</v>
      </c>
      <c r="G946" s="28" t="s">
        <v>1623</v>
      </c>
      <c r="H946" s="28" t="s">
        <v>1603</v>
      </c>
      <c r="I946" s="28" t="s">
        <v>5258</v>
      </c>
      <c r="J946" s="28" t="s">
        <v>5250</v>
      </c>
      <c r="K946" s="28" t="s">
        <v>5999</v>
      </c>
      <c r="L946" s="28" t="s">
        <v>5992</v>
      </c>
      <c r="M946" s="28" t="s">
        <v>6000</v>
      </c>
      <c r="N946" s="28" t="s">
        <v>5994</v>
      </c>
    </row>
    <row r="947" spans="1:14" x14ac:dyDescent="0.2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35" t="s">
        <v>988</v>
      </c>
      <c r="G947" s="28" t="s">
        <v>1604</v>
      </c>
      <c r="H947" s="28" t="s">
        <v>1603</v>
      </c>
      <c r="I947" s="28" t="s">
        <v>5260</v>
      </c>
      <c r="J947" s="28" t="s">
        <v>5250</v>
      </c>
      <c r="K947" s="28" t="s">
        <v>6001</v>
      </c>
      <c r="L947" s="28" t="s">
        <v>5992</v>
      </c>
      <c r="M947" s="28" t="s">
        <v>6002</v>
      </c>
      <c r="N947" s="28" t="s">
        <v>5994</v>
      </c>
    </row>
    <row r="948" spans="1:14" x14ac:dyDescent="0.2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35" t="s">
        <v>989</v>
      </c>
      <c r="G948" s="28" t="s">
        <v>1605</v>
      </c>
      <c r="H948" s="28" t="s">
        <v>1606</v>
      </c>
      <c r="I948" s="28" t="s">
        <v>5262</v>
      </c>
      <c r="J948" s="28" t="s">
        <v>5263</v>
      </c>
      <c r="K948" s="28" t="s">
        <v>5782</v>
      </c>
      <c r="L948" s="28" t="s">
        <v>5783</v>
      </c>
      <c r="M948" s="28" t="s">
        <v>5784</v>
      </c>
      <c r="N948" s="28" t="s">
        <v>5785</v>
      </c>
    </row>
    <row r="949" spans="1:14" x14ac:dyDescent="0.2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35" t="s">
        <v>989</v>
      </c>
      <c r="G949" s="28" t="s">
        <v>1624</v>
      </c>
      <c r="H949" s="28" t="s">
        <v>1606</v>
      </c>
      <c r="I949" s="28" t="s">
        <v>5266</v>
      </c>
      <c r="J949" s="28" t="s">
        <v>5263</v>
      </c>
      <c r="K949" s="28" t="s">
        <v>5786</v>
      </c>
      <c r="L949" s="28" t="s">
        <v>5783</v>
      </c>
      <c r="M949" s="28" t="s">
        <v>5787</v>
      </c>
      <c r="N949" s="28" t="s">
        <v>5785</v>
      </c>
    </row>
    <row r="950" spans="1:14" x14ac:dyDescent="0.2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35" t="s">
        <v>989</v>
      </c>
      <c r="G950" s="28" t="s">
        <v>1626</v>
      </c>
      <c r="H950" s="28" t="s">
        <v>1606</v>
      </c>
      <c r="I950" s="28" t="s">
        <v>5270</v>
      </c>
      <c r="J950" s="28" t="s">
        <v>5263</v>
      </c>
      <c r="K950" s="28" t="s">
        <v>5790</v>
      </c>
      <c r="L950" s="28" t="s">
        <v>5783</v>
      </c>
      <c r="M950" s="28" t="s">
        <v>5791</v>
      </c>
      <c r="N950" s="28" t="s">
        <v>5785</v>
      </c>
    </row>
    <row r="951" spans="1:14" x14ac:dyDescent="0.2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35" t="s">
        <v>990</v>
      </c>
      <c r="G951" s="28" t="s">
        <v>1627</v>
      </c>
      <c r="H951" s="28" t="s">
        <v>1608</v>
      </c>
      <c r="I951" s="28" t="s">
        <v>5272</v>
      </c>
      <c r="J951" s="28" t="s">
        <v>5273</v>
      </c>
      <c r="K951" s="28" t="s">
        <v>5792</v>
      </c>
      <c r="L951" s="28" t="s">
        <v>5793</v>
      </c>
      <c r="M951" s="28" t="s">
        <v>5794</v>
      </c>
      <c r="N951" s="28" t="s">
        <v>5795</v>
      </c>
    </row>
    <row r="952" spans="1:14" x14ac:dyDescent="0.2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35" t="s">
        <v>992</v>
      </c>
      <c r="G952" s="28" t="s">
        <v>1616</v>
      </c>
      <c r="H952" s="28" t="s">
        <v>1615</v>
      </c>
      <c r="I952" s="28" t="s">
        <v>5295</v>
      </c>
      <c r="J952" s="28" t="s">
        <v>5292</v>
      </c>
      <c r="K952" s="28" t="s">
        <v>5812</v>
      </c>
      <c r="L952" s="28" t="s">
        <v>5807</v>
      </c>
      <c r="M952" s="28" t="s">
        <v>5813</v>
      </c>
      <c r="N952" s="28" t="s">
        <v>5809</v>
      </c>
    </row>
    <row r="953" spans="1:14" x14ac:dyDescent="0.2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35" t="s">
        <v>992</v>
      </c>
      <c r="G953" s="28" t="s">
        <v>1617</v>
      </c>
      <c r="H953" s="28" t="s">
        <v>1615</v>
      </c>
      <c r="I953" s="28" t="s">
        <v>5297</v>
      </c>
      <c r="J953" s="28" t="s">
        <v>5292</v>
      </c>
      <c r="K953" s="28" t="s">
        <v>5814</v>
      </c>
      <c r="L953" s="28" t="s">
        <v>5807</v>
      </c>
      <c r="M953" s="28" t="s">
        <v>5815</v>
      </c>
      <c r="N953" s="28" t="s">
        <v>5809</v>
      </c>
    </row>
    <row r="954" spans="1:14" x14ac:dyDescent="0.2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35" t="s">
        <v>976</v>
      </c>
      <c r="G954" s="28" t="s">
        <v>1564</v>
      </c>
      <c r="H954" s="28" t="s">
        <v>1565</v>
      </c>
      <c r="I954" s="28" t="s">
        <v>5322</v>
      </c>
      <c r="J954" s="28" t="s">
        <v>5323</v>
      </c>
      <c r="K954" s="28" t="s">
        <v>5827</v>
      </c>
      <c r="L954" s="28" t="s">
        <v>5828</v>
      </c>
      <c r="M954" s="28" t="s">
        <v>4107</v>
      </c>
      <c r="N954" s="28" t="s">
        <v>4108</v>
      </c>
    </row>
    <row r="955" spans="1:14" x14ac:dyDescent="0.2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35" t="s">
        <v>976</v>
      </c>
      <c r="G955" s="28" t="s">
        <v>1569</v>
      </c>
      <c r="H955" s="28" t="s">
        <v>1565</v>
      </c>
      <c r="I955" s="28" t="s">
        <v>5330</v>
      </c>
      <c r="J955" s="28" t="s">
        <v>5323</v>
      </c>
      <c r="K955" s="28" t="s">
        <v>5832</v>
      </c>
      <c r="L955" s="28" t="s">
        <v>5828</v>
      </c>
      <c r="M955" s="28" t="s">
        <v>4120</v>
      </c>
      <c r="N955" s="28" t="s">
        <v>4108</v>
      </c>
    </row>
    <row r="956" spans="1:14" x14ac:dyDescent="0.2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35" t="s">
        <v>977</v>
      </c>
      <c r="G956" s="28" t="s">
        <v>1570</v>
      </c>
      <c r="H956" s="28" t="s">
        <v>1541</v>
      </c>
      <c r="I956" s="28" t="s">
        <v>5333</v>
      </c>
      <c r="J956" s="28" t="s">
        <v>5334</v>
      </c>
      <c r="K956" s="28" t="s">
        <v>6003</v>
      </c>
      <c r="L956" s="28" t="s">
        <v>5834</v>
      </c>
      <c r="M956" s="28" t="s">
        <v>4123</v>
      </c>
      <c r="N956" s="28" t="s">
        <v>4036</v>
      </c>
    </row>
    <row r="957" spans="1:14" x14ac:dyDescent="0.2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35" t="s">
        <v>977</v>
      </c>
      <c r="G957" s="28" t="s">
        <v>1571</v>
      </c>
      <c r="H957" s="28" t="s">
        <v>1541</v>
      </c>
      <c r="I957" s="28" t="s">
        <v>5431</v>
      </c>
      <c r="J957" s="28" t="s">
        <v>5334</v>
      </c>
      <c r="K957" s="28" t="s">
        <v>5833</v>
      </c>
      <c r="L957" s="28" t="s">
        <v>5834</v>
      </c>
      <c r="M957" s="28" t="s">
        <v>4126</v>
      </c>
      <c r="N957" s="28" t="s">
        <v>4036</v>
      </c>
    </row>
    <row r="958" spans="1:14" x14ac:dyDescent="0.2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35" t="s">
        <v>977</v>
      </c>
      <c r="G958" s="28" t="s">
        <v>1540</v>
      </c>
      <c r="H958" s="28" t="s">
        <v>1541</v>
      </c>
      <c r="I958" s="28" t="s">
        <v>5433</v>
      </c>
      <c r="J958" s="28" t="s">
        <v>5334</v>
      </c>
      <c r="K958" s="28" t="s">
        <v>5835</v>
      </c>
      <c r="L958" s="28" t="s">
        <v>5834</v>
      </c>
      <c r="M958" s="28" t="s">
        <v>4035</v>
      </c>
      <c r="N958" s="28" t="s">
        <v>4036</v>
      </c>
    </row>
    <row r="959" spans="1:14" x14ac:dyDescent="0.2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35" t="s">
        <v>977</v>
      </c>
      <c r="G959" s="28" t="s">
        <v>1572</v>
      </c>
      <c r="H959" s="28" t="s">
        <v>1541</v>
      </c>
      <c r="I959" s="28" t="s">
        <v>5337</v>
      </c>
      <c r="J959" s="28" t="s">
        <v>5334</v>
      </c>
      <c r="K959" s="28" t="s">
        <v>5836</v>
      </c>
      <c r="L959" s="28" t="s">
        <v>5834</v>
      </c>
      <c r="M959" s="28" t="s">
        <v>4129</v>
      </c>
      <c r="N959" s="28" t="s">
        <v>4036</v>
      </c>
    </row>
    <row r="960" spans="1:14" x14ac:dyDescent="0.2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35" t="s">
        <v>978</v>
      </c>
      <c r="G960" s="28" t="s">
        <v>1545</v>
      </c>
      <c r="H960" s="28" t="s">
        <v>1543</v>
      </c>
      <c r="I960" s="28" t="s">
        <v>5440</v>
      </c>
      <c r="J960" s="28" t="s">
        <v>5341</v>
      </c>
      <c r="K960" s="28" t="s">
        <v>6004</v>
      </c>
      <c r="L960" s="28" t="s">
        <v>6005</v>
      </c>
      <c r="M960" s="28" t="s">
        <v>4048</v>
      </c>
      <c r="N960" s="28" t="s">
        <v>4042</v>
      </c>
    </row>
    <row r="961" spans="1:14" x14ac:dyDescent="0.2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35" t="s">
        <v>978</v>
      </c>
      <c r="G961" s="28" t="s">
        <v>1546</v>
      </c>
      <c r="H961" s="28" t="s">
        <v>1543</v>
      </c>
      <c r="I961" s="28" t="s">
        <v>5442</v>
      </c>
      <c r="J961" s="28" t="s">
        <v>5341</v>
      </c>
      <c r="K961" s="28" t="s">
        <v>6006</v>
      </c>
      <c r="L961" s="28" t="s">
        <v>6005</v>
      </c>
      <c r="M961" s="28" t="s">
        <v>4051</v>
      </c>
      <c r="N961" s="28" t="s">
        <v>4042</v>
      </c>
    </row>
    <row r="962" spans="1:14" x14ac:dyDescent="0.2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35" t="s">
        <v>979</v>
      </c>
      <c r="G962" s="28" t="s">
        <v>1549</v>
      </c>
      <c r="H962" s="28" t="s">
        <v>1548</v>
      </c>
      <c r="I962" s="28" t="s">
        <v>5449</v>
      </c>
      <c r="J962" s="28" t="s">
        <v>5446</v>
      </c>
      <c r="K962" s="28" t="s">
        <v>6007</v>
      </c>
      <c r="L962" s="28" t="s">
        <v>6008</v>
      </c>
      <c r="M962" s="28" t="s">
        <v>4060</v>
      </c>
      <c r="N962" s="28" t="s">
        <v>4057</v>
      </c>
    </row>
    <row r="963" spans="1:14" x14ac:dyDescent="0.2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35" t="s">
        <v>981</v>
      </c>
      <c r="G963" s="28" t="s">
        <v>1574</v>
      </c>
      <c r="H963" s="28" t="s">
        <v>1575</v>
      </c>
      <c r="I963" s="28" t="s">
        <v>5356</v>
      </c>
      <c r="J963" s="28" t="s">
        <v>5352</v>
      </c>
      <c r="K963" s="28" t="s">
        <v>6009</v>
      </c>
      <c r="L963" s="28" t="s">
        <v>6010</v>
      </c>
      <c r="M963" s="28" t="s">
        <v>6011</v>
      </c>
      <c r="N963" s="28" t="s">
        <v>6012</v>
      </c>
    </row>
    <row r="964" spans="1:14" x14ac:dyDescent="0.2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35" t="s">
        <v>986</v>
      </c>
      <c r="G964" s="28" t="s">
        <v>1597</v>
      </c>
      <c r="H964" s="28" t="s">
        <v>1594</v>
      </c>
      <c r="I964" s="28" t="s">
        <v>5236</v>
      </c>
      <c r="J964" s="28" t="s">
        <v>5228</v>
      </c>
      <c r="K964" s="28" t="s">
        <v>6013</v>
      </c>
      <c r="L964" s="28" t="s">
        <v>6014</v>
      </c>
      <c r="M964" s="28" t="s">
        <v>6015</v>
      </c>
      <c r="N964" s="28" t="s">
        <v>6016</v>
      </c>
    </row>
    <row r="965" spans="1:14" x14ac:dyDescent="0.2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35" t="s">
        <v>987</v>
      </c>
      <c r="G965" s="28" t="s">
        <v>1600</v>
      </c>
      <c r="H965" s="28" t="s">
        <v>1599</v>
      </c>
      <c r="I965" s="28" t="s">
        <v>5240</v>
      </c>
      <c r="J965" s="28" t="s">
        <v>5241</v>
      </c>
      <c r="K965" s="28" t="s">
        <v>6017</v>
      </c>
      <c r="L965" s="28" t="s">
        <v>6018</v>
      </c>
      <c r="M965" s="28" t="s">
        <v>6019</v>
      </c>
      <c r="N965" s="28" t="s">
        <v>6020</v>
      </c>
    </row>
    <row r="966" spans="1:14" x14ac:dyDescent="0.2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35" t="s">
        <v>987</v>
      </c>
      <c r="G966" s="28" t="s">
        <v>1601</v>
      </c>
      <c r="H966" s="28" t="s">
        <v>1599</v>
      </c>
      <c r="I966" s="28" t="s">
        <v>5244</v>
      </c>
      <c r="J966" s="28" t="s">
        <v>5241</v>
      </c>
      <c r="K966" s="28" t="s">
        <v>6021</v>
      </c>
      <c r="L966" s="28" t="s">
        <v>6018</v>
      </c>
      <c r="M966" s="28" t="s">
        <v>6022</v>
      </c>
      <c r="N966" s="28" t="s">
        <v>6020</v>
      </c>
    </row>
    <row r="967" spans="1:14" x14ac:dyDescent="0.2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35" t="s">
        <v>987</v>
      </c>
      <c r="G967" s="28" t="s">
        <v>1622</v>
      </c>
      <c r="H967" s="28" t="s">
        <v>1599</v>
      </c>
      <c r="I967" s="28" t="s">
        <v>5247</v>
      </c>
      <c r="J967" s="28" t="s">
        <v>5241</v>
      </c>
      <c r="K967" s="28" t="s">
        <v>6023</v>
      </c>
      <c r="L967" s="28" t="s">
        <v>6018</v>
      </c>
      <c r="M967" s="28" t="s">
        <v>6024</v>
      </c>
      <c r="N967" s="28" t="s">
        <v>6020</v>
      </c>
    </row>
    <row r="968" spans="1:14" x14ac:dyDescent="0.2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35" t="s">
        <v>988</v>
      </c>
      <c r="G968" s="28" t="s">
        <v>1634</v>
      </c>
      <c r="H968" s="28" t="s">
        <v>1603</v>
      </c>
      <c r="I968" s="28" t="s">
        <v>5249</v>
      </c>
      <c r="J968" s="28" t="s">
        <v>5250</v>
      </c>
      <c r="K968" s="28" t="s">
        <v>6025</v>
      </c>
      <c r="L968" s="28" t="s">
        <v>6026</v>
      </c>
      <c r="M968" s="28" t="s">
        <v>6027</v>
      </c>
      <c r="N968" s="28" t="s">
        <v>6028</v>
      </c>
    </row>
    <row r="969" spans="1:14" x14ac:dyDescent="0.2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35" t="s">
        <v>988</v>
      </c>
      <c r="G969" s="28" t="s">
        <v>1602</v>
      </c>
      <c r="H969" s="28" t="s">
        <v>1603</v>
      </c>
      <c r="I969" s="28" t="s">
        <v>5253</v>
      </c>
      <c r="J969" s="28" t="s">
        <v>5250</v>
      </c>
      <c r="K969" s="28" t="s">
        <v>6029</v>
      </c>
      <c r="L969" s="28" t="s">
        <v>6026</v>
      </c>
      <c r="M969" s="28" t="s">
        <v>6030</v>
      </c>
      <c r="N969" s="28" t="s">
        <v>6028</v>
      </c>
    </row>
    <row r="970" spans="1:14" x14ac:dyDescent="0.2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35" t="s">
        <v>988</v>
      </c>
      <c r="G970" s="28" t="s">
        <v>1635</v>
      </c>
      <c r="H970" s="28" t="s">
        <v>1603</v>
      </c>
      <c r="I970" s="28" t="s">
        <v>5256</v>
      </c>
      <c r="J970" s="28" t="s">
        <v>5250</v>
      </c>
      <c r="K970" s="28" t="s">
        <v>6031</v>
      </c>
      <c r="L970" s="28" t="s">
        <v>6026</v>
      </c>
      <c r="M970" s="28" t="s">
        <v>6032</v>
      </c>
      <c r="N970" s="28" t="s">
        <v>6028</v>
      </c>
    </row>
    <row r="971" spans="1:14" x14ac:dyDescent="0.2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35" t="s">
        <v>988</v>
      </c>
      <c r="G971" s="28" t="s">
        <v>1623</v>
      </c>
      <c r="H971" s="28" t="s">
        <v>1603</v>
      </c>
      <c r="I971" s="28" t="s">
        <v>5258</v>
      </c>
      <c r="J971" s="28" t="s">
        <v>5250</v>
      </c>
      <c r="K971" s="28" t="s">
        <v>6033</v>
      </c>
      <c r="L971" s="28" t="s">
        <v>6026</v>
      </c>
      <c r="M971" s="28" t="s">
        <v>6034</v>
      </c>
      <c r="N971" s="28" t="s">
        <v>6028</v>
      </c>
    </row>
    <row r="972" spans="1:14" x14ac:dyDescent="0.2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35" t="s">
        <v>988</v>
      </c>
      <c r="G972" s="28" t="s">
        <v>1604</v>
      </c>
      <c r="H972" s="28" t="s">
        <v>1603</v>
      </c>
      <c r="I972" s="28" t="s">
        <v>5260</v>
      </c>
      <c r="J972" s="28" t="s">
        <v>5250</v>
      </c>
      <c r="K972" s="28" t="s">
        <v>6035</v>
      </c>
      <c r="L972" s="28" t="s">
        <v>6026</v>
      </c>
      <c r="M972" s="28" t="s">
        <v>6036</v>
      </c>
      <c r="N972" s="28" t="s">
        <v>6028</v>
      </c>
    </row>
    <row r="973" spans="1:14" x14ac:dyDescent="0.2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35" t="s">
        <v>989</v>
      </c>
      <c r="G973" s="28" t="s">
        <v>1605</v>
      </c>
      <c r="H973" s="28" t="s">
        <v>1606</v>
      </c>
      <c r="I973" s="28" t="s">
        <v>5262</v>
      </c>
      <c r="J973" s="28" t="s">
        <v>5263</v>
      </c>
      <c r="K973" s="28" t="s">
        <v>6037</v>
      </c>
      <c r="L973" s="28" t="s">
        <v>6038</v>
      </c>
      <c r="M973" s="28" t="s">
        <v>6039</v>
      </c>
      <c r="N973" s="28" t="s">
        <v>6040</v>
      </c>
    </row>
    <row r="974" spans="1:14" x14ac:dyDescent="0.2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35" t="s">
        <v>989</v>
      </c>
      <c r="G974" s="28" t="s">
        <v>1624</v>
      </c>
      <c r="H974" s="28" t="s">
        <v>1606</v>
      </c>
      <c r="I974" s="28" t="s">
        <v>5266</v>
      </c>
      <c r="J974" s="28" t="s">
        <v>5263</v>
      </c>
      <c r="K974" s="28" t="s">
        <v>6041</v>
      </c>
      <c r="L974" s="28" t="s">
        <v>6038</v>
      </c>
      <c r="M974" s="28" t="s">
        <v>6042</v>
      </c>
      <c r="N974" s="28" t="s">
        <v>6040</v>
      </c>
    </row>
    <row r="975" spans="1:14" x14ac:dyDescent="0.2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35" t="s">
        <v>989</v>
      </c>
      <c r="G975" s="28" t="s">
        <v>1626</v>
      </c>
      <c r="H975" s="28" t="s">
        <v>1606</v>
      </c>
      <c r="I975" s="28" t="s">
        <v>5270</v>
      </c>
      <c r="J975" s="28" t="s">
        <v>5263</v>
      </c>
      <c r="K975" s="28" t="s">
        <v>6043</v>
      </c>
      <c r="L975" s="28" t="s">
        <v>6038</v>
      </c>
      <c r="M975" s="28" t="s">
        <v>6044</v>
      </c>
      <c r="N975" s="28" t="s">
        <v>6040</v>
      </c>
    </row>
    <row r="976" spans="1:14" x14ac:dyDescent="0.2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35" t="s">
        <v>990</v>
      </c>
      <c r="G976" s="28" t="s">
        <v>1627</v>
      </c>
      <c r="H976" s="28" t="s">
        <v>1608</v>
      </c>
      <c r="I976" s="28" t="s">
        <v>5272</v>
      </c>
      <c r="J976" s="28" t="s">
        <v>5273</v>
      </c>
      <c r="K976" s="28" t="s">
        <v>6045</v>
      </c>
      <c r="L976" s="28" t="s">
        <v>6046</v>
      </c>
      <c r="M976" s="28" t="s">
        <v>6047</v>
      </c>
      <c r="N976" s="28" t="s">
        <v>6048</v>
      </c>
    </row>
    <row r="977" spans="1:14" x14ac:dyDescent="0.2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35" t="s">
        <v>990</v>
      </c>
      <c r="G977" s="28" t="s">
        <v>1607</v>
      </c>
      <c r="H977" s="28" t="s">
        <v>1608</v>
      </c>
      <c r="I977" s="28" t="s">
        <v>5276</v>
      </c>
      <c r="J977" s="28" t="s">
        <v>5273</v>
      </c>
      <c r="K977" s="28" t="s">
        <v>6049</v>
      </c>
      <c r="L977" s="28" t="s">
        <v>6046</v>
      </c>
      <c r="M977" s="28" t="s">
        <v>6050</v>
      </c>
      <c r="N977" s="28" t="s">
        <v>6048</v>
      </c>
    </row>
    <row r="978" spans="1:14" x14ac:dyDescent="0.2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35" t="s">
        <v>990</v>
      </c>
      <c r="G978" s="28" t="s">
        <v>1609</v>
      </c>
      <c r="H978" s="28" t="s">
        <v>1608</v>
      </c>
      <c r="I978" s="28" t="s">
        <v>5278</v>
      </c>
      <c r="J978" s="28" t="s">
        <v>5273</v>
      </c>
      <c r="K978" s="28" t="s">
        <v>6051</v>
      </c>
      <c r="L978" s="28" t="s">
        <v>6046</v>
      </c>
      <c r="M978" s="28" t="s">
        <v>6052</v>
      </c>
      <c r="N978" s="28" t="s">
        <v>6048</v>
      </c>
    </row>
    <row r="979" spans="1:14" x14ac:dyDescent="0.2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35" t="s">
        <v>990</v>
      </c>
      <c r="G979" s="28" t="s">
        <v>1628</v>
      </c>
      <c r="H979" s="28" t="s">
        <v>1608</v>
      </c>
      <c r="I979" s="28" t="s">
        <v>5280</v>
      </c>
      <c r="J979" s="28" t="s">
        <v>5273</v>
      </c>
      <c r="K979" s="28" t="s">
        <v>6053</v>
      </c>
      <c r="L979" s="28" t="s">
        <v>6046</v>
      </c>
      <c r="M979" s="28" t="s">
        <v>6054</v>
      </c>
      <c r="N979" s="28" t="s">
        <v>6048</v>
      </c>
    </row>
    <row r="980" spans="1:14" x14ac:dyDescent="0.2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35" t="s">
        <v>991</v>
      </c>
      <c r="G980" s="28" t="s">
        <v>1638</v>
      </c>
      <c r="H980" s="28" t="s">
        <v>1611</v>
      </c>
      <c r="I980" s="28" t="s">
        <v>5288</v>
      </c>
      <c r="J980" s="28" t="s">
        <v>5283</v>
      </c>
      <c r="K980" s="28" t="s">
        <v>6055</v>
      </c>
      <c r="L980" s="28" t="s">
        <v>6056</v>
      </c>
      <c r="M980" s="28" t="s">
        <v>6057</v>
      </c>
      <c r="N980" s="28" t="s">
        <v>6058</v>
      </c>
    </row>
    <row r="981" spans="1:14" x14ac:dyDescent="0.2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35" t="s">
        <v>992</v>
      </c>
      <c r="G981" s="28" t="s">
        <v>1614</v>
      </c>
      <c r="H981" s="28" t="s">
        <v>1615</v>
      </c>
      <c r="I981" s="28" t="s">
        <v>5291</v>
      </c>
      <c r="J981" s="28" t="s">
        <v>5292</v>
      </c>
      <c r="K981" s="28" t="s">
        <v>6059</v>
      </c>
      <c r="L981" s="28" t="s">
        <v>6060</v>
      </c>
      <c r="M981" s="28" t="s">
        <v>6061</v>
      </c>
      <c r="N981" s="28" t="s">
        <v>6062</v>
      </c>
    </row>
    <row r="982" spans="1:14" x14ac:dyDescent="0.2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35" t="s">
        <v>992</v>
      </c>
      <c r="G982" s="28" t="s">
        <v>1629</v>
      </c>
      <c r="H982" s="28" t="s">
        <v>1615</v>
      </c>
      <c r="I982" s="28" t="s">
        <v>5405</v>
      </c>
      <c r="J982" s="28" t="s">
        <v>5292</v>
      </c>
      <c r="K982" s="28" t="s">
        <v>6063</v>
      </c>
      <c r="L982" s="28" t="s">
        <v>6060</v>
      </c>
      <c r="M982" s="28" t="s">
        <v>6064</v>
      </c>
      <c r="N982" s="28" t="s">
        <v>6062</v>
      </c>
    </row>
    <row r="983" spans="1:14" x14ac:dyDescent="0.2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35" t="s">
        <v>992</v>
      </c>
      <c r="G983" s="28" t="s">
        <v>1616</v>
      </c>
      <c r="H983" s="28" t="s">
        <v>1615</v>
      </c>
      <c r="I983" s="28" t="s">
        <v>5295</v>
      </c>
      <c r="J983" s="28" t="s">
        <v>5292</v>
      </c>
      <c r="K983" s="28" t="s">
        <v>6065</v>
      </c>
      <c r="L983" s="28" t="s">
        <v>6060</v>
      </c>
      <c r="M983" s="28" t="s">
        <v>6066</v>
      </c>
      <c r="N983" s="28" t="s">
        <v>6062</v>
      </c>
    </row>
    <row r="984" spans="1:14" x14ac:dyDescent="0.2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35" t="s">
        <v>992</v>
      </c>
      <c r="G984" s="28" t="s">
        <v>1617</v>
      </c>
      <c r="H984" s="28" t="s">
        <v>1615</v>
      </c>
      <c r="I984" s="28" t="s">
        <v>5297</v>
      </c>
      <c r="J984" s="28" t="s">
        <v>5292</v>
      </c>
      <c r="K984" s="28" t="s">
        <v>6067</v>
      </c>
      <c r="L984" s="28" t="s">
        <v>6060</v>
      </c>
      <c r="M984" s="28" t="s">
        <v>6068</v>
      </c>
      <c r="N984" s="28" t="s">
        <v>6062</v>
      </c>
    </row>
    <row r="985" spans="1:14" x14ac:dyDescent="0.2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35" t="s">
        <v>983</v>
      </c>
      <c r="G985" s="28" t="s">
        <v>1644</v>
      </c>
      <c r="H985" s="28" t="s">
        <v>1556</v>
      </c>
      <c r="I985" s="28" t="s">
        <v>5299</v>
      </c>
      <c r="J985" s="28" t="s">
        <v>5300</v>
      </c>
      <c r="K985" s="28" t="s">
        <v>6069</v>
      </c>
      <c r="L985" s="28" t="s">
        <v>6070</v>
      </c>
      <c r="M985" s="28" t="s">
        <v>6071</v>
      </c>
      <c r="N985" s="28" t="s">
        <v>4304</v>
      </c>
    </row>
    <row r="986" spans="1:14" x14ac:dyDescent="0.2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35" t="s">
        <v>983</v>
      </c>
      <c r="G986" s="28" t="s">
        <v>1573</v>
      </c>
      <c r="H986" s="28" t="s">
        <v>1556</v>
      </c>
      <c r="I986" s="28" t="s">
        <v>5304</v>
      </c>
      <c r="J986" s="28" t="s">
        <v>5300</v>
      </c>
      <c r="K986" s="28" t="s">
        <v>6072</v>
      </c>
      <c r="L986" s="28" t="s">
        <v>6070</v>
      </c>
      <c r="M986" s="28" t="s">
        <v>4303</v>
      </c>
      <c r="N986" s="28" t="s">
        <v>4304</v>
      </c>
    </row>
    <row r="987" spans="1:14" x14ac:dyDescent="0.2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35" t="s">
        <v>983</v>
      </c>
      <c r="G987" s="28" t="s">
        <v>1555</v>
      </c>
      <c r="H987" s="28" t="s">
        <v>1556</v>
      </c>
      <c r="I987" s="28" t="s">
        <v>5306</v>
      </c>
      <c r="J987" s="28" t="s">
        <v>5300</v>
      </c>
      <c r="K987" s="28" t="s">
        <v>6073</v>
      </c>
      <c r="L987" s="28" t="s">
        <v>6070</v>
      </c>
      <c r="M987" s="28" t="s">
        <v>4306</v>
      </c>
      <c r="N987" s="28" t="s">
        <v>4304</v>
      </c>
    </row>
    <row r="988" spans="1:14" x14ac:dyDescent="0.2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35" t="s">
        <v>983</v>
      </c>
      <c r="G988" s="28" t="s">
        <v>1557</v>
      </c>
      <c r="H988" s="28" t="s">
        <v>1556</v>
      </c>
      <c r="I988" s="28" t="s">
        <v>5308</v>
      </c>
      <c r="J988" s="28" t="s">
        <v>5300</v>
      </c>
      <c r="K988" s="28" t="s">
        <v>6074</v>
      </c>
      <c r="L988" s="28" t="s">
        <v>6070</v>
      </c>
      <c r="M988" s="28" t="s">
        <v>4314</v>
      </c>
      <c r="N988" s="28" t="s">
        <v>4304</v>
      </c>
    </row>
    <row r="989" spans="1:14" x14ac:dyDescent="0.2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35" t="s">
        <v>983</v>
      </c>
      <c r="G989" s="28" t="s">
        <v>1558</v>
      </c>
      <c r="H989" s="28" t="s">
        <v>1556</v>
      </c>
      <c r="I989" s="28" t="s">
        <v>5310</v>
      </c>
      <c r="J989" s="28" t="s">
        <v>5300</v>
      </c>
      <c r="K989" s="28" t="s">
        <v>6075</v>
      </c>
      <c r="L989" s="28" t="s">
        <v>6070</v>
      </c>
      <c r="M989" s="28" t="s">
        <v>4316</v>
      </c>
      <c r="N989" s="28" t="s">
        <v>4304</v>
      </c>
    </row>
    <row r="990" spans="1:14" x14ac:dyDescent="0.2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35" t="s">
        <v>982</v>
      </c>
      <c r="G990" s="28" t="s">
        <v>1559</v>
      </c>
      <c r="H990" s="28" t="s">
        <v>1560</v>
      </c>
      <c r="I990" s="28" t="s">
        <v>5312</v>
      </c>
      <c r="J990" s="28" t="s">
        <v>5313</v>
      </c>
      <c r="K990" s="28" t="s">
        <v>6076</v>
      </c>
      <c r="L990" s="28" t="s">
        <v>6077</v>
      </c>
      <c r="M990" s="28" t="s">
        <v>4309</v>
      </c>
      <c r="N990" s="28" t="s">
        <v>4310</v>
      </c>
    </row>
    <row r="991" spans="1:14" x14ac:dyDescent="0.2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35" t="s">
        <v>982</v>
      </c>
      <c r="G991" s="28" t="s">
        <v>1561</v>
      </c>
      <c r="H991" s="28" t="s">
        <v>1560</v>
      </c>
      <c r="I991" s="28" t="s">
        <v>5316</v>
      </c>
      <c r="J991" s="28" t="s">
        <v>5313</v>
      </c>
      <c r="K991" s="28" t="s">
        <v>6078</v>
      </c>
      <c r="L991" s="28" t="s">
        <v>6077</v>
      </c>
      <c r="M991" s="28" t="s">
        <v>4312</v>
      </c>
      <c r="N991" s="28" t="s">
        <v>4310</v>
      </c>
    </row>
    <row r="992" spans="1:14" x14ac:dyDescent="0.2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35" t="s">
        <v>982</v>
      </c>
      <c r="G992" s="28" t="s">
        <v>1562</v>
      </c>
      <c r="H992" s="28" t="s">
        <v>1560</v>
      </c>
      <c r="I992" s="28" t="s">
        <v>5318</v>
      </c>
      <c r="J992" s="28" t="s">
        <v>5313</v>
      </c>
      <c r="K992" s="28" t="s">
        <v>6079</v>
      </c>
      <c r="L992" s="28" t="s">
        <v>6077</v>
      </c>
      <c r="M992" s="28" t="s">
        <v>4318</v>
      </c>
      <c r="N992" s="28" t="s">
        <v>4310</v>
      </c>
    </row>
    <row r="993" spans="1:14" x14ac:dyDescent="0.2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35" t="s">
        <v>982</v>
      </c>
      <c r="G993" s="28" t="s">
        <v>1563</v>
      </c>
      <c r="H993" s="28" t="s">
        <v>1560</v>
      </c>
      <c r="I993" s="28" t="s">
        <v>5320</v>
      </c>
      <c r="J993" s="28" t="s">
        <v>5313</v>
      </c>
      <c r="K993" s="28" t="s">
        <v>6080</v>
      </c>
      <c r="L993" s="28" t="s">
        <v>6077</v>
      </c>
      <c r="M993" s="28" t="s">
        <v>4320</v>
      </c>
      <c r="N993" s="28" t="s">
        <v>4310</v>
      </c>
    </row>
    <row r="994" spans="1:14" x14ac:dyDescent="0.2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35" t="s">
        <v>976</v>
      </c>
      <c r="G994" s="28" t="s">
        <v>1564</v>
      </c>
      <c r="H994" s="28" t="s">
        <v>1565</v>
      </c>
      <c r="I994" s="28" t="s">
        <v>5322</v>
      </c>
      <c r="J994" s="28" t="s">
        <v>5323</v>
      </c>
      <c r="K994" s="28" t="s">
        <v>6081</v>
      </c>
      <c r="L994" s="28" t="s">
        <v>6082</v>
      </c>
      <c r="M994" s="28" t="s">
        <v>4323</v>
      </c>
      <c r="N994" s="28" t="s">
        <v>4324</v>
      </c>
    </row>
    <row r="995" spans="1:14" x14ac:dyDescent="0.2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35" t="s">
        <v>976</v>
      </c>
      <c r="G995" s="28" t="s">
        <v>1566</v>
      </c>
      <c r="H995" s="28" t="s">
        <v>1565</v>
      </c>
      <c r="I995" s="28" t="s">
        <v>5326</v>
      </c>
      <c r="J995" s="28" t="s">
        <v>5323</v>
      </c>
      <c r="K995" s="28" t="s">
        <v>6083</v>
      </c>
      <c r="L995" s="28" t="s">
        <v>6082</v>
      </c>
      <c r="M995" s="28" t="s">
        <v>4326</v>
      </c>
      <c r="N995" s="28" t="s">
        <v>4324</v>
      </c>
    </row>
    <row r="996" spans="1:14" x14ac:dyDescent="0.2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35" t="s">
        <v>976</v>
      </c>
      <c r="G996" s="28" t="s">
        <v>1568</v>
      </c>
      <c r="H996" s="28" t="s">
        <v>1565</v>
      </c>
      <c r="I996" s="28" t="s">
        <v>5425</v>
      </c>
      <c r="J996" s="28" t="s">
        <v>5323</v>
      </c>
      <c r="K996" s="28" t="s">
        <v>6084</v>
      </c>
      <c r="L996" s="28" t="s">
        <v>6082</v>
      </c>
      <c r="M996" s="28" t="s">
        <v>4330</v>
      </c>
      <c r="N996" s="28" t="s">
        <v>4324</v>
      </c>
    </row>
    <row r="997" spans="1:14" x14ac:dyDescent="0.2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35" t="s">
        <v>976</v>
      </c>
      <c r="G997" s="28" t="s">
        <v>1569</v>
      </c>
      <c r="H997" s="28" t="s">
        <v>1565</v>
      </c>
      <c r="I997" s="28" t="s">
        <v>5330</v>
      </c>
      <c r="J997" s="28" t="s">
        <v>5323</v>
      </c>
      <c r="K997" s="28" t="s">
        <v>6085</v>
      </c>
      <c r="L997" s="28" t="s">
        <v>6082</v>
      </c>
      <c r="M997" s="28" t="s">
        <v>4332</v>
      </c>
      <c r="N997" s="28" t="s">
        <v>4324</v>
      </c>
    </row>
    <row r="998" spans="1:14" x14ac:dyDescent="0.2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35" t="s">
        <v>977</v>
      </c>
      <c r="G998" s="28" t="s">
        <v>1570</v>
      </c>
      <c r="H998" s="28" t="s">
        <v>1541</v>
      </c>
      <c r="I998" s="28" t="s">
        <v>5333</v>
      </c>
      <c r="J998" s="28" t="s">
        <v>5334</v>
      </c>
      <c r="K998" s="28" t="s">
        <v>6086</v>
      </c>
      <c r="L998" s="28" t="s">
        <v>6087</v>
      </c>
      <c r="M998" s="28" t="s">
        <v>4335</v>
      </c>
      <c r="N998" s="28" t="s">
        <v>4336</v>
      </c>
    </row>
    <row r="999" spans="1:14" x14ac:dyDescent="0.2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35" t="s">
        <v>977</v>
      </c>
      <c r="G999" s="28" t="s">
        <v>1571</v>
      </c>
      <c r="H999" s="28" t="s">
        <v>1541</v>
      </c>
      <c r="I999" s="28" t="s">
        <v>5431</v>
      </c>
      <c r="J999" s="28" t="s">
        <v>5334</v>
      </c>
      <c r="K999" s="28" t="s">
        <v>6088</v>
      </c>
      <c r="L999" s="28" t="s">
        <v>6087</v>
      </c>
      <c r="M999" s="28" t="s">
        <v>4338</v>
      </c>
      <c r="N999" s="28" t="s">
        <v>4336</v>
      </c>
    </row>
    <row r="1000" spans="1:14" x14ac:dyDescent="0.2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35" t="s">
        <v>977</v>
      </c>
      <c r="G1000" s="28" t="s">
        <v>1540</v>
      </c>
      <c r="H1000" s="28" t="s">
        <v>1541</v>
      </c>
      <c r="I1000" s="28" t="s">
        <v>5433</v>
      </c>
      <c r="J1000" s="28" t="s">
        <v>5334</v>
      </c>
      <c r="K1000" s="28" t="s">
        <v>6089</v>
      </c>
      <c r="L1000" s="28" t="s">
        <v>6087</v>
      </c>
      <c r="M1000" s="28" t="s">
        <v>4340</v>
      </c>
      <c r="N1000" s="28" t="s">
        <v>4336</v>
      </c>
    </row>
    <row r="1001" spans="1:14" x14ac:dyDescent="0.2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35" t="s">
        <v>978</v>
      </c>
      <c r="G1001" s="28" t="s">
        <v>1576</v>
      </c>
      <c r="H1001" s="28" t="s">
        <v>1543</v>
      </c>
      <c r="I1001" s="28" t="s">
        <v>5340</v>
      </c>
      <c r="J1001" s="28" t="s">
        <v>5341</v>
      </c>
      <c r="K1001" s="28" t="s">
        <v>5871</v>
      </c>
      <c r="L1001" s="28" t="s">
        <v>5872</v>
      </c>
      <c r="M1001" s="28" t="s">
        <v>4351</v>
      </c>
      <c r="N1001" s="28" t="s">
        <v>4346</v>
      </c>
    </row>
    <row r="1002" spans="1:14" x14ac:dyDescent="0.2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35" t="s">
        <v>978</v>
      </c>
      <c r="G1002" s="28" t="s">
        <v>1546</v>
      </c>
      <c r="H1002" s="28" t="s">
        <v>1543</v>
      </c>
      <c r="I1002" s="28" t="s">
        <v>5442</v>
      </c>
      <c r="J1002" s="28" t="s">
        <v>5341</v>
      </c>
      <c r="K1002" s="28" t="s">
        <v>6090</v>
      </c>
      <c r="L1002" s="28" t="s">
        <v>5872</v>
      </c>
      <c r="M1002" s="28" t="s">
        <v>4355</v>
      </c>
      <c r="N1002" s="28" t="s">
        <v>4346</v>
      </c>
    </row>
    <row r="1003" spans="1:14" x14ac:dyDescent="0.2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35" t="s">
        <v>979</v>
      </c>
      <c r="G1003" s="28" t="s">
        <v>1549</v>
      </c>
      <c r="H1003" s="28" t="s">
        <v>1548</v>
      </c>
      <c r="I1003" s="28" t="s">
        <v>5449</v>
      </c>
      <c r="J1003" s="28" t="s">
        <v>5446</v>
      </c>
      <c r="K1003" s="28" t="s">
        <v>6091</v>
      </c>
      <c r="L1003" s="28" t="s">
        <v>6092</v>
      </c>
      <c r="M1003" s="28" t="s">
        <v>4361</v>
      </c>
      <c r="N1003" s="28" t="s">
        <v>4359</v>
      </c>
    </row>
    <row r="1004" spans="1:14" x14ac:dyDescent="0.2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35" t="s">
        <v>981</v>
      </c>
      <c r="G1004" s="28" t="s">
        <v>1637</v>
      </c>
      <c r="H1004" s="28" t="s">
        <v>1575</v>
      </c>
      <c r="I1004" s="28" t="s">
        <v>5457</v>
      </c>
      <c r="J1004" s="28" t="s">
        <v>5352</v>
      </c>
      <c r="K1004" s="28" t="s">
        <v>6093</v>
      </c>
      <c r="L1004" s="28" t="s">
        <v>6094</v>
      </c>
      <c r="M1004" s="28" t="s">
        <v>6095</v>
      </c>
      <c r="N1004" s="28" t="s">
        <v>4376</v>
      </c>
    </row>
    <row r="1005" spans="1:14" x14ac:dyDescent="0.2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35" t="s">
        <v>987</v>
      </c>
      <c r="G1005" s="28" t="s">
        <v>1622</v>
      </c>
      <c r="H1005" s="28" t="s">
        <v>1599</v>
      </c>
      <c r="I1005" s="28" t="s">
        <v>5247</v>
      </c>
      <c r="J1005" s="28" t="s">
        <v>5241</v>
      </c>
      <c r="K1005" s="28" t="s">
        <v>6096</v>
      </c>
      <c r="L1005" s="28" t="s">
        <v>6097</v>
      </c>
      <c r="M1005" s="28" t="s">
        <v>6098</v>
      </c>
      <c r="N1005" s="28" t="s">
        <v>6099</v>
      </c>
    </row>
    <row r="1006" spans="1:14" x14ac:dyDescent="0.2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35" t="s">
        <v>988</v>
      </c>
      <c r="G1006" s="28" t="s">
        <v>1634</v>
      </c>
      <c r="H1006" s="28" t="s">
        <v>1603</v>
      </c>
      <c r="I1006" s="28" t="s">
        <v>5249</v>
      </c>
      <c r="J1006" s="28" t="s">
        <v>5250</v>
      </c>
      <c r="K1006" s="28" t="s">
        <v>6100</v>
      </c>
      <c r="L1006" s="28" t="s">
        <v>6101</v>
      </c>
      <c r="M1006" s="28" t="s">
        <v>6102</v>
      </c>
      <c r="N1006" s="28" t="s">
        <v>6103</v>
      </c>
    </row>
    <row r="1007" spans="1:14" x14ac:dyDescent="0.2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35" t="s">
        <v>988</v>
      </c>
      <c r="G1007" s="28" t="s">
        <v>1602</v>
      </c>
      <c r="H1007" s="28" t="s">
        <v>1603</v>
      </c>
      <c r="I1007" s="28" t="s">
        <v>5253</v>
      </c>
      <c r="J1007" s="28" t="s">
        <v>5250</v>
      </c>
      <c r="K1007" s="28" t="s">
        <v>6104</v>
      </c>
      <c r="L1007" s="28" t="s">
        <v>6101</v>
      </c>
      <c r="M1007" s="28" t="s">
        <v>6105</v>
      </c>
      <c r="N1007" s="28" t="s">
        <v>6103</v>
      </c>
    </row>
    <row r="1008" spans="1:14" x14ac:dyDescent="0.2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35" t="s">
        <v>989</v>
      </c>
      <c r="G1008" s="28" t="s">
        <v>1605</v>
      </c>
      <c r="H1008" s="28" t="s">
        <v>1606</v>
      </c>
      <c r="I1008" s="28" t="s">
        <v>5262</v>
      </c>
      <c r="J1008" s="28" t="s">
        <v>5263</v>
      </c>
      <c r="K1008" s="28" t="s">
        <v>6106</v>
      </c>
      <c r="L1008" s="28" t="s">
        <v>6107</v>
      </c>
      <c r="M1008" s="28" t="s">
        <v>6108</v>
      </c>
      <c r="N1008" s="28" t="s">
        <v>6109</v>
      </c>
    </row>
    <row r="1009" spans="1:14" x14ac:dyDescent="0.2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35" t="s">
        <v>989</v>
      </c>
      <c r="G1009" s="28" t="s">
        <v>1624</v>
      </c>
      <c r="H1009" s="28" t="s">
        <v>1606</v>
      </c>
      <c r="I1009" s="28" t="s">
        <v>5266</v>
      </c>
      <c r="J1009" s="28" t="s">
        <v>5263</v>
      </c>
      <c r="K1009" s="28" t="s">
        <v>6110</v>
      </c>
      <c r="L1009" s="28" t="s">
        <v>6107</v>
      </c>
      <c r="M1009" s="28" t="s">
        <v>6111</v>
      </c>
      <c r="N1009" s="28" t="s">
        <v>6109</v>
      </c>
    </row>
    <row r="1010" spans="1:14" x14ac:dyDescent="0.2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35" t="s">
        <v>990</v>
      </c>
      <c r="G1010" s="28" t="s">
        <v>1607</v>
      </c>
      <c r="H1010" s="28" t="s">
        <v>1608</v>
      </c>
      <c r="I1010" s="28" t="s">
        <v>5276</v>
      </c>
      <c r="J1010" s="28" t="s">
        <v>5273</v>
      </c>
      <c r="K1010" s="28" t="s">
        <v>6112</v>
      </c>
      <c r="L1010" s="28" t="s">
        <v>6113</v>
      </c>
      <c r="M1010" s="28" t="s">
        <v>6114</v>
      </c>
      <c r="N1010" s="28" t="s">
        <v>6115</v>
      </c>
    </row>
    <row r="1011" spans="1:14" x14ac:dyDescent="0.2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35" t="s">
        <v>992</v>
      </c>
      <c r="G1011" s="28" t="s">
        <v>1614</v>
      </c>
      <c r="H1011" s="28" t="s">
        <v>1615</v>
      </c>
      <c r="I1011" s="28" t="s">
        <v>5291</v>
      </c>
      <c r="J1011" s="28" t="s">
        <v>5292</v>
      </c>
      <c r="K1011" s="28" t="s">
        <v>6116</v>
      </c>
      <c r="L1011" s="28" t="s">
        <v>6117</v>
      </c>
      <c r="M1011" s="28" t="s">
        <v>6118</v>
      </c>
      <c r="N1011" s="28" t="s">
        <v>6119</v>
      </c>
    </row>
    <row r="1012" spans="1:14" x14ac:dyDescent="0.2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35" t="s">
        <v>992</v>
      </c>
      <c r="G1012" s="28" t="s">
        <v>1629</v>
      </c>
      <c r="H1012" s="28" t="s">
        <v>1615</v>
      </c>
      <c r="I1012" s="28" t="s">
        <v>5405</v>
      </c>
      <c r="J1012" s="28" t="s">
        <v>5292</v>
      </c>
      <c r="K1012" s="28" t="s">
        <v>6120</v>
      </c>
      <c r="L1012" s="28" t="s">
        <v>6117</v>
      </c>
      <c r="M1012" s="28" t="s">
        <v>6121</v>
      </c>
      <c r="N1012" s="28" t="s">
        <v>6119</v>
      </c>
    </row>
    <row r="1013" spans="1:14" x14ac:dyDescent="0.2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35" t="s">
        <v>983</v>
      </c>
      <c r="G1013" s="28" t="s">
        <v>1555</v>
      </c>
      <c r="H1013" s="28" t="s">
        <v>1556</v>
      </c>
      <c r="I1013" s="28" t="s">
        <v>5306</v>
      </c>
      <c r="J1013" s="28" t="s">
        <v>5300</v>
      </c>
      <c r="K1013" s="28" t="s">
        <v>6122</v>
      </c>
      <c r="L1013" s="28" t="s">
        <v>6123</v>
      </c>
      <c r="M1013" s="28" t="s">
        <v>6124</v>
      </c>
      <c r="N1013" s="28" t="s">
        <v>4455</v>
      </c>
    </row>
    <row r="1014" spans="1:14" x14ac:dyDescent="0.2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35" t="s">
        <v>982</v>
      </c>
      <c r="G1014" s="28" t="s">
        <v>1562</v>
      </c>
      <c r="H1014" s="28" t="s">
        <v>1560</v>
      </c>
      <c r="I1014" s="28" t="s">
        <v>5318</v>
      </c>
      <c r="J1014" s="28" t="s">
        <v>5313</v>
      </c>
      <c r="K1014" s="28" t="s">
        <v>6125</v>
      </c>
      <c r="L1014" s="28" t="s">
        <v>6126</v>
      </c>
      <c r="M1014" s="28" t="s">
        <v>4458</v>
      </c>
      <c r="N1014" s="28" t="s">
        <v>4459</v>
      </c>
    </row>
    <row r="1015" spans="1:14" x14ac:dyDescent="0.2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35" t="s">
        <v>978</v>
      </c>
      <c r="G1015" s="28" t="s">
        <v>1542</v>
      </c>
      <c r="H1015" s="28" t="s">
        <v>1543</v>
      </c>
      <c r="I1015" s="28" t="s">
        <v>5436</v>
      </c>
      <c r="J1015" s="28" t="s">
        <v>5341</v>
      </c>
      <c r="K1015" s="28" t="s">
        <v>6127</v>
      </c>
      <c r="L1015" s="28" t="s">
        <v>5875</v>
      </c>
      <c r="M1015" s="28" t="s">
        <v>6128</v>
      </c>
      <c r="N1015" s="28" t="s">
        <v>5877</v>
      </c>
    </row>
    <row r="1016" spans="1:14" x14ac:dyDescent="0.2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35" t="s">
        <v>978</v>
      </c>
      <c r="G1016" s="28" t="s">
        <v>1546</v>
      </c>
      <c r="H1016" s="28" t="s">
        <v>1543</v>
      </c>
      <c r="I1016" s="28" t="s">
        <v>5442</v>
      </c>
      <c r="J1016" s="28" t="s">
        <v>5341</v>
      </c>
      <c r="K1016" s="28" t="s">
        <v>5874</v>
      </c>
      <c r="L1016" s="28" t="s">
        <v>5875</v>
      </c>
      <c r="M1016" s="28" t="s">
        <v>5876</v>
      </c>
      <c r="N1016" s="28" t="s">
        <v>5877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</f>
        <v>75AR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80</v>
      </c>
      <c r="BS4" s="2">
        <f>SUMIF(inputs!$M:$M,Weekly_Pmod!BS$3&amp;Weekly_Pmod!$B$3&amp;Weekly_Pmod!$B$1,inputs!$D:$D)</f>
        <v>63</v>
      </c>
      <c r="BT4" s="2">
        <f>SUMIF(inputs!$M:$M,Weekly_Pmod!BT$3&amp;Weekly_Pmod!$B$3&amp;Weekly_Pmod!$B$1,inputs!$D:$D)</f>
        <v>162</v>
      </c>
      <c r="BU4" s="2">
        <f>SUMIF(inputs!$M:$M,Weekly_Pmod!BU$3&amp;Weekly_Pmod!$B$3&amp;Weekly_Pmod!$B$1,inputs!$D:$D)</f>
        <v>1745</v>
      </c>
      <c r="BV4" s="2">
        <f>SUMIF(inputs!$M:$M,Weekly_Pmod!BV$3&amp;Weekly_Pmod!$B$3&amp;Weekly_Pmod!$B$1,inputs!$D:$D)</f>
        <v>47</v>
      </c>
      <c r="BW4" s="2">
        <f>SUMIF(inputs!$M:$M,Weekly_Pmod!BW$3&amp;Weekly_Pmod!$B$3&amp;Weekly_Pmod!$B$1,inputs!$D:$D)</f>
        <v>1566</v>
      </c>
      <c r="BX4" s="2">
        <f>SUMIF(inputs!$M:$M,Weekly_Pmod!BX$3&amp;Weekly_Pmod!$B$3&amp;Weekly_Pmod!$B$1,inputs!$D:$D)</f>
        <v>1922</v>
      </c>
      <c r="BY4" s="2">
        <f>SUMIF(inputs!$M:$M,Weekly_Pmod!BY$3&amp;Weekly_Pmod!$B$3&amp;Weekly_Pmod!$B$1,inputs!$D:$D)</f>
        <v>591</v>
      </c>
      <c r="BZ4" s="2">
        <f>SUMIF(inputs!$M:$M,Weekly_Pmod!BZ$3&amp;Weekly_Pmod!$B$3&amp;Weekly_Pmod!$B$1,inputs!$D:$D)</f>
        <v>2942</v>
      </c>
      <c r="CA4" s="2">
        <f>SUMIF(inputs!$M:$M,Weekly_Pmod!CA$3&amp;Weekly_Pmod!$B$3&amp;Weekly_Pmod!$B$1,inputs!$D:$D)</f>
        <v>894</v>
      </c>
      <c r="CB4" s="2">
        <f>SUMIF(inputs!$M:$M,Weekly_Pmod!CB$3&amp;Weekly_Pmod!$B$3&amp;Weekly_Pmod!$B$1,inputs!$D:$D)</f>
        <v>1160</v>
      </c>
      <c r="CC4" s="2">
        <f>SUMIF(inputs!$M:$M,Weekly_Pmod!CC$3&amp;Weekly_Pmod!$B$3&amp;Weekly_Pmod!$B$1,inputs!$D:$D)</f>
        <v>1888</v>
      </c>
      <c r="CD4" s="2">
        <f>SUMIF(inputs!$M:$M,Weekly_Pmod!CD$3&amp;Weekly_Pmod!$B$3&amp;Weekly_Pmod!$B$1,inputs!$D:$D)</f>
        <v>1493</v>
      </c>
      <c r="CE4" s="2">
        <f>SUMIF(inputs!$M:$M,Weekly_Pmod!CE$3&amp;Weekly_Pmod!$B$3&amp;Weekly_Pmod!$B$1,inputs!$D:$D)</f>
        <v>2338</v>
      </c>
      <c r="CF4" s="2">
        <f>SUMIF(inputs!$M:$M,Weekly_Pmod!CF$3&amp;Weekly_Pmod!$B$3&amp;Weekly_Pmod!$B$1,inputs!$D:$D)</f>
        <v>1235</v>
      </c>
      <c r="CG4" s="2">
        <f>SUMIF(inputs!$M:$M,Weekly_Pmod!CG$3&amp;Weekly_Pmod!$B$3&amp;Weekly_Pmod!$B$1,inputs!$D:$D)</f>
        <v>353</v>
      </c>
      <c r="CH4" s="2">
        <f>SUMIF(inputs!$M:$M,Weekly_Pmod!CH$3&amp;Weekly_Pmod!$B$3&amp;Weekly_Pmod!$B$1,inputs!$D:$D)</f>
        <v>977</v>
      </c>
      <c r="CI4" s="2">
        <f>SUMIF(inputs!$M:$M,Weekly_Pmod!CI$3&amp;Weekly_Pmod!$B$3&amp;Weekly_Pmod!$B$1,inputs!$D:$D)</f>
        <v>1700</v>
      </c>
      <c r="CJ4" s="2">
        <f>SUMIF(inputs!$M:$M,Weekly_Pmod!CJ$3&amp;Weekly_Pmod!$B$3&amp;Weekly_Pmod!$B$1,inputs!$D:$D)</f>
        <v>2645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3</v>
      </c>
      <c r="BV5" s="2">
        <f t="shared" si="1"/>
        <v>0</v>
      </c>
      <c r="BW5" s="2">
        <f t="shared" si="1"/>
        <v>1</v>
      </c>
      <c r="BX5" s="2">
        <f t="shared" si="1"/>
        <v>1</v>
      </c>
      <c r="BY5" s="2">
        <f t="shared" si="1"/>
        <v>0</v>
      </c>
      <c r="BZ5" s="2">
        <f t="shared" si="1"/>
        <v>2</v>
      </c>
      <c r="CA5" s="2">
        <f t="shared" si="1"/>
        <v>2</v>
      </c>
      <c r="CB5" s="2">
        <f t="shared" si="1"/>
        <v>1</v>
      </c>
      <c r="CC5" s="2">
        <f t="shared" si="1"/>
        <v>1</v>
      </c>
      <c r="CD5" s="2">
        <f t="shared" si="1"/>
        <v>2</v>
      </c>
      <c r="CE5" s="2">
        <f t="shared" si="1"/>
        <v>2</v>
      </c>
      <c r="CF5" s="2">
        <f t="shared" si="1"/>
        <v>1</v>
      </c>
      <c r="CG5" s="2">
        <f t="shared" si="1"/>
        <v>2</v>
      </c>
      <c r="CH5" s="2">
        <f t="shared" si="1"/>
        <v>3</v>
      </c>
      <c r="CI5" s="2">
        <f t="shared" si="1"/>
        <v>1</v>
      </c>
      <c r="CJ5" s="2">
        <f t="shared" si="1"/>
        <v>3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2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2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2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2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1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1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2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1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2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2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1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1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1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1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2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2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2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1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1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2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1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1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1</v>
      </c>
      <c r="CF16" s="2">
        <f>COUNTIF(defects!$AB:$AB,Weekly_Pmod!CF$3&amp;Weekly_Pmod!$B16&amp;Weekly_Pmod!$B$3&amp;$B$2&amp;Weekly_Pmod!$B$1)</f>
        <v>1</v>
      </c>
      <c r="CG16" s="2">
        <f>COUNTIF(defects!$AB:$AB,Weekly_Pmod!CG$3&amp;Weekly_Pmod!$B16&amp;Weekly_Pmod!$B$3&amp;$B$2&amp;Weekly_Pmod!$B$1)</f>
        <v>1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1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2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2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1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1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2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2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2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1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2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1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1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1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1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2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2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25">
      <c r="C25" s="2"/>
    </row>
  </sheetData>
  <conditionalFormatting sqref="C4:FE5 C6:C25 D6:FE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W29" sqref="AW29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</f>
        <v>75AR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2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23801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5322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977</v>
      </c>
      <c r="AS4" s="12">
        <f>HLOOKUP(AS$3,Weekly_Pmod!$3:$24,MATCH($B4,Weekly_Pmod!$B$3:$B$24,0),0)</f>
        <v>1700</v>
      </c>
      <c r="AT4" s="12">
        <f>HLOOKUP(AT$3,Weekly_Pmod!$3:$24,MATCH($B4,Weekly_Pmod!$B$3:$B$24,0),0)</f>
        <v>2645</v>
      </c>
      <c r="AU4" s="12"/>
      <c r="AV4" s="12">
        <f>SUM(F4:AP4)</f>
        <v>23801</v>
      </c>
    </row>
    <row r="5" spans="2:48" x14ac:dyDescent="0.25">
      <c r="B5" s="12" t="s">
        <v>997</v>
      </c>
      <c r="C5" s="12">
        <f t="shared" ref="C5:D24" si="0">SUMIF($F$2:$AP$2,C$2,$F5:$AP5)</f>
        <v>25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5</v>
      </c>
      <c r="W5" s="12">
        <f t="shared" si="1"/>
        <v>6</v>
      </c>
      <c r="X5" s="12">
        <f t="shared" si="1"/>
        <v>7</v>
      </c>
      <c r="Y5" s="12">
        <f t="shared" si="1"/>
        <v>7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HLOOKUP(AR$3,Weekly_Pmod!$3:$24,MATCH($B5,Weekly_Pmod!$B$3:$B$24,0),0)</f>
        <v>3</v>
      </c>
      <c r="AS5" s="12">
        <f>HLOOKUP(AS$3,Weekly_Pmod!$3:$24,MATCH($B5,Weekly_Pmod!$B$3:$B$24,0),0)</f>
        <v>1</v>
      </c>
      <c r="AT5" s="12">
        <f>HLOOKUP(AT$3,Weekly_Pmod!$3:$24,MATCH($B5,Weekly_Pmod!$B$3:$B$24,0),0)</f>
        <v>3</v>
      </c>
      <c r="AU5" s="12"/>
      <c r="AV5" s="12">
        <f>SUM(F5:AP5)</f>
        <v>25</v>
      </c>
    </row>
    <row r="6" spans="2:48" x14ac:dyDescent="0.2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0"/>
        <v>0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0</v>
      </c>
    </row>
    <row r="8" spans="2:48" x14ac:dyDescent="0.25">
      <c r="B8" s="12" t="s">
        <v>962</v>
      </c>
      <c r="C8" s="12">
        <f t="shared" si="0"/>
        <v>0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0</v>
      </c>
    </row>
    <row r="9" spans="2:48" x14ac:dyDescent="0.25">
      <c r="B9" s="12" t="s">
        <v>960</v>
      </c>
      <c r="C9" s="12">
        <f t="shared" si="0"/>
        <v>0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0</v>
      </c>
    </row>
    <row r="10" spans="2:48" x14ac:dyDescent="0.25">
      <c r="B10" s="12" t="s">
        <v>961</v>
      </c>
      <c r="C10" s="12">
        <f t="shared" si="0"/>
        <v>2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1</v>
      </c>
      <c r="W10" s="12">
        <f>COUNTIF(defects!$AC:$AC,Monthly_Pmod!$B10&amp;Monthly_Pmod!$B$3&amp;$B$2&amp;Monthly_Pmod!W$3&amp;$B$1)</f>
        <v>1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2</v>
      </c>
    </row>
    <row r="11" spans="2:48" x14ac:dyDescent="0.25">
      <c r="B11" s="12" t="s">
        <v>963</v>
      </c>
      <c r="C11" s="12">
        <f t="shared" si="0"/>
        <v>1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1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1</v>
      </c>
      <c r="AU11" s="12"/>
      <c r="AV11" s="12">
        <f t="shared" si="2"/>
        <v>1</v>
      </c>
    </row>
    <row r="12" spans="2:48" x14ac:dyDescent="0.2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 x14ac:dyDescent="0.25">
      <c r="B13" s="12" t="s">
        <v>957</v>
      </c>
      <c r="C13" s="12">
        <f t="shared" si="0"/>
        <v>6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2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1</v>
      </c>
      <c r="Y13" s="12">
        <f>COUNTIF(defects!$AC:$AC,Monthly_Pmod!$B13&amp;Monthly_Pmod!$B$3&amp;$B$2&amp;Monthly_Pmod!Y$3&amp;$B$1)</f>
        <v>3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1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2</v>
      </c>
      <c r="AU13" s="12"/>
      <c r="AV13" s="12">
        <f t="shared" si="2"/>
        <v>6</v>
      </c>
    </row>
    <row r="14" spans="2:48" x14ac:dyDescent="0.2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 x14ac:dyDescent="0.25">
      <c r="B15" s="12" t="s">
        <v>956</v>
      </c>
      <c r="C15" s="12">
        <f t="shared" si="0"/>
        <v>2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1</v>
      </c>
      <c r="X15" s="12">
        <f>COUNTIF(defects!$AC:$AC,Monthly_Pmod!$B15&amp;Monthly_Pmod!$B$3&amp;$B$2&amp;Monthly_Pmod!X$3&amp;$B$1)</f>
        <v>1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2</v>
      </c>
    </row>
    <row r="16" spans="2:48" x14ac:dyDescent="0.25">
      <c r="B16" s="12" t="s">
        <v>30</v>
      </c>
      <c r="C16" s="12">
        <f t="shared" si="0"/>
        <v>7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1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3</v>
      </c>
      <c r="Y16" s="12">
        <f>COUNTIF(defects!$AC:$AC,Monthly_Pmod!$B16&amp;Monthly_Pmod!$B$3&amp;$B$2&amp;Monthly_Pmod!Y$3&amp;$B$1)</f>
        <v>2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1</v>
      </c>
      <c r="AS16" s="12">
        <f>HLOOKUP(AS$3,Weekly_Pmod!$3:$24,MATCH($B16,Weekly_Pmod!$B$3:$B$24,0),0)</f>
        <v>1</v>
      </c>
      <c r="AT16" s="12">
        <f>HLOOKUP(AT$3,Weekly_Pmod!$3:$24,MATCH($B16,Weekly_Pmod!$B$3:$B$24,0),0)</f>
        <v>0</v>
      </c>
      <c r="AU16" s="12"/>
      <c r="AV16" s="12">
        <f t="shared" si="2"/>
        <v>7</v>
      </c>
    </row>
    <row r="17" spans="2:48" x14ac:dyDescent="0.2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 x14ac:dyDescent="0.25">
      <c r="B18" s="12" t="s">
        <v>898</v>
      </c>
      <c r="C18" s="12">
        <f t="shared" si="0"/>
        <v>2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1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1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1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2</v>
      </c>
    </row>
    <row r="19" spans="2:48" x14ac:dyDescent="0.2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 x14ac:dyDescent="0.25">
      <c r="B20" s="12" t="s">
        <v>959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 x14ac:dyDescent="0.25">
      <c r="B21" s="12" t="s">
        <v>955</v>
      </c>
      <c r="C21" s="12">
        <f t="shared" si="0"/>
        <v>1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1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1</v>
      </c>
    </row>
    <row r="22" spans="2:48" x14ac:dyDescent="0.25">
      <c r="B22" s="12" t="s">
        <v>966</v>
      </c>
      <c r="C22" s="12">
        <f t="shared" si="0"/>
        <v>4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1</v>
      </c>
      <c r="W22" s="12">
        <f>COUNTIF(defects!$AC:$AC,Monthly_Pmod!$B22&amp;Monthly_Pmod!$B$3&amp;$B$2&amp;Monthly_Pmod!W$3&amp;$B$1)</f>
        <v>1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4</v>
      </c>
    </row>
    <row r="23" spans="2:48" x14ac:dyDescent="0.25">
      <c r="B23" s="12" t="s">
        <v>958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 x14ac:dyDescent="0.2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" customHeight="1" x14ac:dyDescent="0.25"/>
    <row r="26" spans="2:48" x14ac:dyDescent="0.2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2131</v>
      </c>
      <c r="AS26" s="11">
        <f t="shared" si="4"/>
        <v>2132</v>
      </c>
      <c r="AT26" s="11">
        <f t="shared" si="4"/>
        <v>2133</v>
      </c>
      <c r="AU26" s="10"/>
      <c r="AV26" s="10" t="str">
        <f t="shared" si="4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5">C4</f>
        <v>23801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305</v>
      </c>
      <c r="V28" s="11">
        <f t="shared" si="6"/>
        <v>5871</v>
      </c>
      <c r="W28" s="11">
        <f t="shared" si="6"/>
        <v>6884</v>
      </c>
      <c r="X28" s="11">
        <f t="shared" si="6"/>
        <v>5419</v>
      </c>
      <c r="Y28" s="11">
        <f t="shared" si="6"/>
        <v>5322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977</v>
      </c>
      <c r="AS28" s="11">
        <f>AS4</f>
        <v>1700</v>
      </c>
      <c r="AT28" s="11">
        <f>AT4</f>
        <v>2645</v>
      </c>
      <c r="AU28" s="11"/>
      <c r="AV28" s="11">
        <f>AV4</f>
        <v>23801</v>
      </c>
    </row>
    <row r="29" spans="2:48" x14ac:dyDescent="0.25">
      <c r="B29" s="12" t="s">
        <v>1025</v>
      </c>
      <c r="C29" s="12">
        <f t="shared" ref="C29:R44" si="7">IFERROR(ROUNDUP(C5/C$4*10^6,0),0)</f>
        <v>1051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0</v>
      </c>
      <c r="V29" s="12">
        <f t="shared" si="9"/>
        <v>852</v>
      </c>
      <c r="W29" s="12">
        <f t="shared" si="9"/>
        <v>872</v>
      </c>
      <c r="X29" s="12">
        <f t="shared" si="9"/>
        <v>1292</v>
      </c>
      <c r="Y29" s="12">
        <f t="shared" si="9"/>
        <v>1316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3071</v>
      </c>
      <c r="AS29" s="12">
        <f>IFERROR(ROUNDUP(AS5/AS$4*10^6,0),0)</f>
        <v>589</v>
      </c>
      <c r="AT29" s="12">
        <f>IFERROR(ROUNDUP(AT5/AT$4*10^6,0),0)</f>
        <v>1135</v>
      </c>
      <c r="AU29" s="12"/>
      <c r="AV29" s="12">
        <f>IFERROR(ROUNDUP(AV5/$AV$4*10^6,0),0)</f>
        <v>1051</v>
      </c>
    </row>
    <row r="30" spans="2:48" x14ac:dyDescent="0.2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25">
      <c r="B31" s="12" t="s">
        <v>964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 x14ac:dyDescent="0.25">
      <c r="B32" s="12" t="s">
        <v>962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 x14ac:dyDescent="0.25">
      <c r="B33" s="12" t="s">
        <v>960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 x14ac:dyDescent="0.25">
      <c r="B34" s="12" t="s">
        <v>961</v>
      </c>
      <c r="C34" s="12">
        <f t="shared" si="7"/>
        <v>85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171</v>
      </c>
      <c r="W34" s="12">
        <f t="shared" si="9"/>
        <v>146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85</v>
      </c>
    </row>
    <row r="35" spans="2:48" x14ac:dyDescent="0.25">
      <c r="B35" s="12" t="s">
        <v>963</v>
      </c>
      <c r="C35" s="12">
        <f t="shared" si="7"/>
        <v>43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188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379</v>
      </c>
      <c r="AU35" s="12"/>
      <c r="AV35" s="12">
        <f t="shared" si="11"/>
        <v>43</v>
      </c>
    </row>
    <row r="36" spans="2:48" x14ac:dyDescent="0.2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25">
      <c r="B37" s="12" t="s">
        <v>957</v>
      </c>
      <c r="C37" s="12">
        <f t="shared" si="7"/>
        <v>253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341</v>
      </c>
      <c r="W37" s="12">
        <f t="shared" si="9"/>
        <v>0</v>
      </c>
      <c r="X37" s="12">
        <f t="shared" si="9"/>
        <v>185</v>
      </c>
      <c r="Y37" s="12">
        <f t="shared" si="9"/>
        <v>564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1024</v>
      </c>
      <c r="AS37" s="12">
        <f t="shared" si="10"/>
        <v>0</v>
      </c>
      <c r="AT37" s="12">
        <f t="shared" si="10"/>
        <v>757</v>
      </c>
      <c r="AU37" s="12"/>
      <c r="AV37" s="12">
        <f t="shared" si="11"/>
        <v>253</v>
      </c>
    </row>
    <row r="38" spans="2:48" x14ac:dyDescent="0.2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25">
      <c r="B39" s="12" t="s">
        <v>956</v>
      </c>
      <c r="C39" s="12">
        <f t="shared" si="7"/>
        <v>85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146</v>
      </c>
      <c r="X39" s="12">
        <f t="shared" si="9"/>
        <v>185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85</v>
      </c>
    </row>
    <row r="40" spans="2:48" x14ac:dyDescent="0.25">
      <c r="B40" s="12" t="s">
        <v>30</v>
      </c>
      <c r="C40" s="12">
        <f t="shared" si="7"/>
        <v>295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171</v>
      </c>
      <c r="W40" s="12">
        <f t="shared" si="9"/>
        <v>146</v>
      </c>
      <c r="X40" s="12">
        <f t="shared" si="9"/>
        <v>554</v>
      </c>
      <c r="Y40" s="12">
        <f t="shared" si="9"/>
        <v>376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1024</v>
      </c>
      <c r="AS40" s="12">
        <f t="shared" si="10"/>
        <v>589</v>
      </c>
      <c r="AT40" s="12">
        <f t="shared" si="10"/>
        <v>0</v>
      </c>
      <c r="AU40" s="12"/>
      <c r="AV40" s="12">
        <f t="shared" si="11"/>
        <v>295</v>
      </c>
    </row>
    <row r="41" spans="2:48" x14ac:dyDescent="0.2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25">
      <c r="B42" s="12" t="s">
        <v>898</v>
      </c>
      <c r="C42" s="12">
        <f t="shared" si="7"/>
        <v>85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146</v>
      </c>
      <c r="X42" s="12">
        <f t="shared" si="13"/>
        <v>0</v>
      </c>
      <c r="Y42" s="12">
        <f t="shared" si="13"/>
        <v>188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1024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85</v>
      </c>
    </row>
    <row r="43" spans="2:48" x14ac:dyDescent="0.2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 x14ac:dyDescent="0.25">
      <c r="B44" s="12" t="s">
        <v>959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 x14ac:dyDescent="0.25">
      <c r="B45" s="12" t="s">
        <v>955</v>
      </c>
      <c r="C45" s="12">
        <f t="shared" ref="C45:AT48" si="14">IFERROR(ROUNDUP(C21/C$4*10^6,0),0)</f>
        <v>43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146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>
        <f t="shared" si="14"/>
        <v>0</v>
      </c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43</v>
      </c>
    </row>
    <row r="46" spans="2:48" x14ac:dyDescent="0.25">
      <c r="B46" s="12" t="s">
        <v>966</v>
      </c>
      <c r="C46" s="12">
        <f t="shared" si="14"/>
        <v>169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171</v>
      </c>
      <c r="W46" s="12">
        <f t="shared" si="14"/>
        <v>146</v>
      </c>
      <c r="X46" s="12">
        <f t="shared" si="14"/>
        <v>370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>
        <f t="shared" si="14"/>
        <v>0</v>
      </c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169</v>
      </c>
    </row>
    <row r="47" spans="2:48" x14ac:dyDescent="0.2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 x14ac:dyDescent="0.2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>
        <f t="shared" si="14"/>
        <v>0</v>
      </c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Report!O26</f>
        <v>SOEM</v>
      </c>
      <c r="C1" s="4" t="str">
        <f>Report!P26</f>
        <v>75AG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0</v>
      </c>
      <c r="BO4" s="2">
        <f>SUMIF(inputs!$K:$K,Weekly_TVPlantPmod!BO$3&amp;Weekly_TVPlantPmod!$B$3&amp;$B$1&amp;$C$1,inputs!$D:$D)</f>
        <v>0</v>
      </c>
      <c r="BP4" s="2">
        <f>SUMIF(inputs!$K:$K,Weekly_TVPlantPmod!BP$3&amp;Weekly_TVPlantPmod!$B$3&amp;$B$1&amp;$C$1,inputs!$D:$D)</f>
        <v>0</v>
      </c>
      <c r="BQ4" s="2">
        <f>SUMIF(inputs!$K:$K,Weekly_TVPlantPmod!BQ$3&amp;Weekly_TVPlantPmod!$B$3&amp;$B$1&amp;$C$1,inputs!$D:$D)</f>
        <v>0</v>
      </c>
      <c r="BR4" s="2">
        <f>SUMIF(inputs!$K:$K,Weekly_TVPlantPmod!BR$3&amp;Weekly_TVPlantPmod!$B$3&amp;$B$1&amp;$C$1,inputs!$D:$D)</f>
        <v>0</v>
      </c>
      <c r="BS4" s="2">
        <f>SUMIF(inputs!$K:$K,Weekly_TVPlantPmod!BS$3&amp;Weekly_TVPlantPmod!$B$3&amp;$B$1&amp;$C$1,inputs!$D:$D)</f>
        <v>0</v>
      </c>
      <c r="BT4" s="2">
        <f>SUMIF(inputs!$K:$K,Weekly_TVPlantPmod!BT$3&amp;Weekly_TVPlantPmod!$B$3&amp;$B$1&amp;$C$1,inputs!$D:$D)</f>
        <v>0</v>
      </c>
      <c r="BU4" s="2">
        <f>SUMIF(inputs!$K:$K,Weekly_TVPlantPmod!BU$3&amp;Weekly_TVPlantPmod!$B$3&amp;$B$1&amp;$C$1,inputs!$D:$D)</f>
        <v>0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0</v>
      </c>
      <c r="BX4" s="2">
        <f>SUMIF(inputs!$K:$K,Weekly_TVPlantPmod!BX$3&amp;Weekly_TVPlantPmod!$B$3&amp;$B$1&amp;$C$1,inputs!$D:$D)</f>
        <v>0</v>
      </c>
      <c r="BY4" s="2">
        <f>SUMIF(inputs!$K:$K,Weekly_TVPlantPmod!BY$3&amp;Weekly_TVPlantPmod!$B$3&amp;$B$1&amp;$C$1,inputs!$D:$D)</f>
        <v>0</v>
      </c>
      <c r="BZ4" s="2">
        <f>SUMIF(inputs!$K:$K,Weekly_TVPlantPmod!BZ$3&amp;Weekly_TVPlantPmod!$B$3&amp;$B$1&amp;$C$1,inputs!$D:$D)</f>
        <v>25</v>
      </c>
      <c r="CA4" s="2">
        <f>SUMIF(inputs!$K:$K,Weekly_TVPlantPmod!CA$3&amp;Weekly_TVPlantPmod!$B$3&amp;$B$1&amp;$C$1,inputs!$D:$D)</f>
        <v>0</v>
      </c>
      <c r="CB4" s="2">
        <f>SUMIF(inputs!$K:$K,Weekly_TVPlantPmod!CB$3&amp;Weekly_TVPlantPmod!$B$3&amp;$B$1&amp;$C$1,inputs!$D:$D)</f>
        <v>50</v>
      </c>
      <c r="CC4" s="2">
        <f>SUMIF(inputs!$K:$K,Weekly_TVPlantPmod!CC$3&amp;Weekly_TVPlantPmod!$B$3&amp;$B$1&amp;$C$1,inputs!$D:$D)</f>
        <v>0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0</v>
      </c>
      <c r="CF4" s="2">
        <f>SUMIF(inputs!$K:$K,Weekly_TVPlantPmod!CF$3&amp;Weekly_TVPlantPmod!$B$3&amp;$B$1&amp;$C$1,inputs!$D:$D)</f>
        <v>0</v>
      </c>
      <c r="CG4" s="2">
        <f>SUMIF(inputs!$K:$K,Weekly_TVPlantPmod!CG$3&amp;Weekly_TVPlantPmod!$B$3&amp;$B$1&amp;$C$1,inputs!$D:$D)</f>
        <v>359</v>
      </c>
      <c r="CH4" s="2">
        <f>SUMIF(inputs!$K:$K,Weekly_TVPlantPmod!CH$3&amp;Weekly_TVPlantPmod!$B$3&amp;$B$1&amp;$C$1,inputs!$D:$D)</f>
        <v>300</v>
      </c>
      <c r="CI4" s="2">
        <f>SUMIF(inputs!$K:$K,Weekly_TVPlantPmod!CI$3&amp;Weekly_TVPlantPmod!$B$3&amp;$B$1&amp;$C$1,inputs!$D:$D)</f>
        <v>0</v>
      </c>
      <c r="CJ4" s="2">
        <f>SUMIF(inputs!$K:$K,Weekly_TVPlantPmod!CJ$3&amp;Weekly_TVPlantPmod!$B$3&amp;$B$1&amp;$C$1,inputs!$D:$D)</f>
        <v>229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0</v>
      </c>
      <c r="CN4" s="2">
        <f>SUMIF(inputs!$K:$K,Weekly_TVPlantPmod!CN$3&amp;Weekly_TVPlantPmod!$B$3&amp;$B$1&amp;$C$1,inputs!$D:$D)</f>
        <v>0</v>
      </c>
      <c r="CO4" s="2">
        <f>SUMIF(inputs!$K:$K,Weekly_TVPlantPmod!CO$3&amp;Weekly_TVPlantPmod!$B$3&amp;$B$1&amp;$C$1,inputs!$D:$D)</f>
        <v>0</v>
      </c>
      <c r="CP4" s="2">
        <f>SUMIF(inputs!$K:$K,Weekly_TVPlantPmod!CP$3&amp;Weekly_TVPlantPmod!$B$3&amp;$B$1&amp;$C$1,inputs!$D:$D)</f>
        <v>0</v>
      </c>
      <c r="CQ4" s="2">
        <f>SUMIF(inputs!$K:$K,Weekly_TVPlantPmod!CQ$3&amp;Weekly_TVPlantPmod!$B$3&amp;$B$1&amp;$C$1,inputs!$D:$D)</f>
        <v>0</v>
      </c>
      <c r="CR4" s="2">
        <f>SUMIF(inputs!$K:$K,Weekly_TVPlantPmod!CR$3&amp;Weekly_TVPlantPmod!$B$3&amp;$B$1&amp;$C$1,inputs!$D:$D)</f>
        <v>0</v>
      </c>
      <c r="CS4" s="2">
        <f>SUMIF(inputs!$K:$K,Weekly_TVPlantPmod!CS$3&amp;Weekly_TVPlantPmod!$B$3&amp;$B$1&amp;$C$1,inputs!$D:$D)</f>
        <v>0</v>
      </c>
      <c r="CT4" s="2">
        <f>SUMIF(inputs!$K:$K,Weekly_TVPlantPmod!CT$3&amp;Weekly_TVPlantPmod!$B$3&amp;$B$1&amp;$C$1,inputs!$D:$D)</f>
        <v>0</v>
      </c>
      <c r="CU4" s="2">
        <f>SUMIF(inputs!$K:$K,Weekly_TVPlantPmod!CU$3&amp;Weekly_TVPlantPmod!$B$3&amp;$B$1&amp;$C$1,inputs!$D:$D)</f>
        <v>0</v>
      </c>
      <c r="CV4" s="2">
        <f>SUMIF(inputs!$K:$K,Weekly_TVPlantPmod!CV$3&amp;Weekly_TVPlantPmod!$B$3&amp;$B$1&amp;$C$1,inputs!$D:$D)</f>
        <v>0</v>
      </c>
      <c r="CW4" s="2">
        <f>SUMIF(inputs!$K:$K,Weekly_TVPlantPmod!CW$3&amp;Weekly_TVPlantPmod!$B$3&amp;$B$1&amp;$C$1,inputs!$D:$D)</f>
        <v>0</v>
      </c>
      <c r="CX4" s="2">
        <f>SUMIF(inputs!$K:$K,Weekly_TVPlantPmod!CX$3&amp;Weekly_TVPlantPmod!$B$3&amp;$B$1&amp;$C$1,inputs!$D:$D)</f>
        <v>0</v>
      </c>
      <c r="CY4" s="2">
        <f>SUMIF(inputs!$K:$K,Weekly_TVPlantPmod!CY$3&amp;Weekly_TVPlantPmod!$B$3&amp;$B$1&amp;$C$1,inputs!$D:$D)</f>
        <v>0</v>
      </c>
      <c r="CZ4" s="2">
        <f>SUMIF(inputs!$K:$K,Weekly_TVPlantPmod!CZ$3&amp;Weekly_TVPlantPmod!$B$3&amp;$B$1&amp;$C$1,inputs!$D:$D)</f>
        <v>0</v>
      </c>
      <c r="DA4" s="2">
        <f>SUMIF(inputs!$K:$K,Weekly_TVPlantPmod!DA$3&amp;Weekly_TVPlantPmod!$B$3&amp;$B$1&amp;$C$1,inputs!$D:$D)</f>
        <v>0</v>
      </c>
      <c r="DB4" s="2">
        <f>SUMIF(inputs!$K:$K,Weekly_TVPlantPmod!DB$3&amp;Weekly_TVPlantPmod!$B$3&amp;$B$1&amp;$C$1,inputs!$D:$D)</f>
        <v>0</v>
      </c>
      <c r="DC4" s="2">
        <f>SUMIF(inputs!$K:$K,Weekly_TVPlantPmod!DC$3&amp;Weekly_TVPlantPmod!$B$3&amp;$B$1&amp;$C$1,inputs!$D:$D)</f>
        <v>0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1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 x14ac:dyDescent="0.25">
      <c r="B7" s="2" t="s">
        <v>964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 x14ac:dyDescent="0.25">
      <c r="B8" s="2" t="s">
        <v>962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 x14ac:dyDescent="0.25">
      <c r="B9" s="2" t="s">
        <v>960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 x14ac:dyDescent="0.25">
      <c r="B10" s="2" t="s">
        <v>961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 x14ac:dyDescent="0.25">
      <c r="B11" s="2" t="s">
        <v>963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 x14ac:dyDescent="0.25">
      <c r="B12" s="2" t="s">
        <v>999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 x14ac:dyDescent="0.25">
      <c r="B13" s="2" t="s">
        <v>957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0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 x14ac:dyDescent="0.25">
      <c r="B14" s="2" t="s">
        <v>1000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 x14ac:dyDescent="0.25">
      <c r="B15" s="2" t="s">
        <v>956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 x14ac:dyDescent="0.25">
      <c r="B16" s="2" t="s">
        <v>30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0</v>
      </c>
      <c r="BS16" s="2">
        <f>COUNTIF(defects!$Z:$Z,Weekly_TVPlantPmod!BS$3&amp;Weekly_TVPlantPmod!$B16&amp;Weekly_TVPlantPmod!$B$3&amp;$B$2&amp;$B$1&amp;$C$1)</f>
        <v>0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0</v>
      </c>
      <c r="CF16" s="2">
        <f>COUNTIF(defects!$Z:$Z,Weekly_TVPlantPmod!CF$3&amp;Weekly_TVPlantPmod!$B16&amp;Weekly_TVPlantPmod!$B$3&amp;$B$2&amp;$B$1&amp;$C$1)</f>
        <v>0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0</v>
      </c>
      <c r="CJ16" s="2">
        <f>COUNTIF(defects!$Z:$Z,Weekly_TVPlantPmod!CJ$3&amp;Weekly_TVPlantPmod!$B16&amp;Weekly_TVPlantPmod!$B$3&amp;$B$2&amp;$B$1&amp;$C$1)</f>
        <v>0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0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 x14ac:dyDescent="0.25">
      <c r="B17" s="2" t="s">
        <v>1001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 x14ac:dyDescent="0.25">
      <c r="B18" s="2" t="s">
        <v>898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 x14ac:dyDescent="0.25">
      <c r="B19" s="3" t="s">
        <v>1002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 x14ac:dyDescent="0.25">
      <c r="B20" s="3" t="s">
        <v>959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1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 x14ac:dyDescent="0.25">
      <c r="B21" s="3" t="s">
        <v>955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 x14ac:dyDescent="0.25">
      <c r="B22" s="3" t="s">
        <v>966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0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 x14ac:dyDescent="0.25">
      <c r="B23" s="3" t="s">
        <v>958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 x14ac:dyDescent="0.25">
      <c r="B24" s="3" t="s">
        <v>1003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 x14ac:dyDescent="0.25">
      <c r="C25" s="2"/>
    </row>
  </sheetData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X18" sqref="AX18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Report!O26</f>
        <v>SOEM</v>
      </c>
      <c r="C1" s="3" t="str">
        <f>Report!P26</f>
        <v>75AG</v>
      </c>
    </row>
    <row r="2" spans="2:48" x14ac:dyDescent="0.25">
      <c r="B2" s="25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2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963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0</v>
      </c>
      <c r="V4" s="12">
        <f>SUMIF(inputs!$L:$L,$B$3&amp;V$3&amp;$B$1&amp;$C$1,inputs!$D:$D)</f>
        <v>0</v>
      </c>
      <c r="W4" s="12">
        <f>SUMIF(inputs!$L:$L,$B$3&amp;W$3&amp;$B$1&amp;$C$1,inputs!$D:$D)</f>
        <v>75</v>
      </c>
      <c r="X4" s="12">
        <f>SUMIF(inputs!$L:$L,$B$3&amp;X$3&amp;$B$1&amp;$C$1,inputs!$D:$D)</f>
        <v>359</v>
      </c>
      <c r="Y4" s="12">
        <f>SUMIF(inputs!$L:$L,$B$3&amp;Y$3&amp;$B$1&amp;$C$1,inputs!$D:$D)</f>
        <v>529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300</v>
      </c>
      <c r="AS4" s="12">
        <f>HLOOKUP(AS$3,Weekly_TVPlantPmod!$3:$24,MATCH($B4,Weekly_TVPlantPmod!$B$3:$B$24,0),0)</f>
        <v>0</v>
      </c>
      <c r="AT4" s="12">
        <f>HLOOKUP(AT$3,Weekly_TVPlantPmod!$3:$24,MATCH($B4,Weekly_TVPlantPmod!$B$3:$B$24,0),0)</f>
        <v>229</v>
      </c>
      <c r="AU4" s="12"/>
      <c r="AV4" s="12">
        <f>SUM(F4:AP4)</f>
        <v>963</v>
      </c>
    </row>
    <row r="5" spans="2:48" x14ac:dyDescent="0.25">
      <c r="B5" s="12" t="s">
        <v>997</v>
      </c>
      <c r="C5" s="12">
        <f t="shared" ref="C5:D24" si="0">SUMIF($F$2:$AP$2,C$2,$F5:$AP5)</f>
        <v>1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1</v>
      </c>
      <c r="Y5" s="12">
        <f t="shared" si="1"/>
        <v>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0</v>
      </c>
      <c r="AT5" s="12">
        <f>HLOOKUP(AT$3,Weekly_TVPlantPmod!$3:$24,MATCH($B5,Weekly_TVPlantPmod!$B$3:$B$24,0),0)</f>
        <v>0</v>
      </c>
      <c r="AU5" s="12"/>
      <c r="AV5" s="12">
        <f>SUM(F5:AP5)</f>
        <v>1</v>
      </c>
    </row>
    <row r="6" spans="2:48" x14ac:dyDescent="0.2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 x14ac:dyDescent="0.25">
      <c r="B8" s="12" t="s">
        <v>962</v>
      </c>
      <c r="C8" s="12">
        <f t="shared" si="0"/>
        <v>0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0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0</v>
      </c>
    </row>
    <row r="9" spans="2:48" x14ac:dyDescent="0.25">
      <c r="B9" s="12" t="s">
        <v>960</v>
      </c>
      <c r="C9" s="12">
        <f t="shared" si="0"/>
        <v>0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0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0</v>
      </c>
    </row>
    <row r="10" spans="2:48" x14ac:dyDescent="0.25">
      <c r="B10" s="12" t="s">
        <v>961</v>
      </c>
      <c r="C10" s="12">
        <f t="shared" si="0"/>
        <v>0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0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0</v>
      </c>
      <c r="Z10" s="12">
        <f>COUNTIF(defects!$AA:$AA,Monthly_TVPlantPmod!$B10&amp;Monthly_TVPlantPmod!$B$3&amp;$B$2&amp;Monthly_TVPlantPmod!Z$3&amp;$B$1&amp;$C$1)</f>
        <v>0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0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0</v>
      </c>
    </row>
    <row r="11" spans="2:48" x14ac:dyDescent="0.25">
      <c r="B11" s="12" t="s">
        <v>963</v>
      </c>
      <c r="C11" s="12">
        <f t="shared" si="0"/>
        <v>0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0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0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0</v>
      </c>
    </row>
    <row r="12" spans="2:48" x14ac:dyDescent="0.2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 x14ac:dyDescent="0.25">
      <c r="B13" s="12" t="s">
        <v>957</v>
      </c>
      <c r="C13" s="12">
        <f t="shared" si="0"/>
        <v>0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0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0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0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0</v>
      </c>
    </row>
    <row r="14" spans="2:48" x14ac:dyDescent="0.2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 x14ac:dyDescent="0.25">
      <c r="B15" s="12" t="s">
        <v>956</v>
      </c>
      <c r="C15" s="12">
        <f t="shared" si="0"/>
        <v>0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0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0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0</v>
      </c>
      <c r="AB15" s="12">
        <f>COUNTIF(defects!$AA:$AA,Monthly_TVPlantPmod!$B15&amp;Monthly_TVPlantPmod!$B$3&amp;$B$2&amp;Monthly_TVPlantPmod!AB$3&amp;$B$1&amp;$C$1)</f>
        <v>0</v>
      </c>
      <c r="AC15" s="12">
        <f>COUNTIF(defects!$AA:$AA,Monthly_TVPlantPmod!$B15&amp;Monthly_TVPlantPmod!$B$3&amp;$B$2&amp;Monthly_TVPlantPmod!AC$3&amp;$B$1&amp;$C$1)</f>
        <v>0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0</v>
      </c>
      <c r="AT15" s="12">
        <f>HLOOKUP(AT$3,Weekly_TVPlantPmod!$3:$24,MATCH($B15,Weekly_TVPlantPmod!$B$3:$B$24,0),0)</f>
        <v>0</v>
      </c>
      <c r="AU15" s="12"/>
      <c r="AV15" s="12">
        <f t="shared" si="2"/>
        <v>0</v>
      </c>
    </row>
    <row r="16" spans="2:48" x14ac:dyDescent="0.25">
      <c r="B16" s="12" t="s">
        <v>30</v>
      </c>
      <c r="C16" s="12">
        <f t="shared" si="0"/>
        <v>0</v>
      </c>
      <c r="D16" s="12">
        <f t="shared" si="0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0</v>
      </c>
      <c r="V16" s="12">
        <f>COUNTIF(defects!$AA:$AA,Monthly_TVPlantPmod!$B16&amp;Monthly_TVPlantPmod!$B$3&amp;$B$2&amp;Monthly_TVPlantPmod!V$3&amp;$B$1&amp;$C$1)</f>
        <v>0</v>
      </c>
      <c r="W16" s="12">
        <f>COUNTIF(defects!$AA:$AA,Monthly_TVPlantPmod!$B16&amp;Monthly_TVPlantPmod!$B$3&amp;$B$2&amp;Monthly_TVPlantPmod!W$3&amp;$B$1&amp;$C$1)</f>
        <v>0</v>
      </c>
      <c r="X16" s="12">
        <f>COUNTIF(defects!$AA:$AA,Monthly_TVPlantPmod!$B16&amp;Monthly_TVPlantPmod!$B$3&amp;$B$2&amp;Monthly_TVPlantPmod!X$3&amp;$B$1&amp;$C$1)</f>
        <v>0</v>
      </c>
      <c r="Y16" s="12">
        <f>COUNTIF(defects!$AA:$AA,Monthly_TVPlantPmod!$B16&amp;Monthly_TVPlantPmod!$B$3&amp;$B$2&amp;Monthly_TVPlantPmod!Y$3&amp;$B$1&amp;$C$1)</f>
        <v>0</v>
      </c>
      <c r="Z16" s="12">
        <f>COUNTIF(defects!$AA:$AA,Monthly_TVPlantPmod!$B16&amp;Monthly_TVPlantPmod!$B$3&amp;$B$2&amp;Monthly_TVPlantPmod!Z$3&amp;$B$1&amp;$C$1)</f>
        <v>0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0</v>
      </c>
      <c r="AC16" s="12">
        <f>COUNTIF(defects!$AA:$AA,Monthly_TVPlantPmod!$B16&amp;Monthly_TVPlantPmod!$B$3&amp;$B$2&amp;Monthly_TVPlantPmod!AC$3&amp;$B$1&amp;$C$1)</f>
        <v>0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0</v>
      </c>
      <c r="AU16" s="12"/>
      <c r="AV16" s="12">
        <f t="shared" si="2"/>
        <v>0</v>
      </c>
    </row>
    <row r="17" spans="2:48" x14ac:dyDescent="0.2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 x14ac:dyDescent="0.25">
      <c r="B18" s="12" t="s">
        <v>898</v>
      </c>
      <c r="C18" s="12">
        <f t="shared" si="0"/>
        <v>0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0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0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0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0</v>
      </c>
    </row>
    <row r="19" spans="2:48" x14ac:dyDescent="0.2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 x14ac:dyDescent="0.25">
      <c r="B20" s="12" t="s">
        <v>959</v>
      </c>
      <c r="C20" s="12">
        <f t="shared" si="0"/>
        <v>1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1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1</v>
      </c>
    </row>
    <row r="21" spans="2:48" x14ac:dyDescent="0.25">
      <c r="B21" s="12" t="s">
        <v>955</v>
      </c>
      <c r="C21" s="12">
        <f t="shared" si="0"/>
        <v>0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0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0</v>
      </c>
    </row>
    <row r="22" spans="2:48" x14ac:dyDescent="0.25">
      <c r="B22" s="12" t="s">
        <v>966</v>
      </c>
      <c r="C22" s="12">
        <f t="shared" si="0"/>
        <v>0</v>
      </c>
      <c r="D22" s="12">
        <f t="shared" si="0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0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0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0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2"/>
        <v>0</v>
      </c>
    </row>
    <row r="23" spans="2:48" x14ac:dyDescent="0.25">
      <c r="B23" s="12" t="s">
        <v>958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 x14ac:dyDescent="0.2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" customHeight="1" x14ac:dyDescent="0.25"/>
    <row r="26" spans="2:48" x14ac:dyDescent="0.2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2131</v>
      </c>
      <c r="AS26" s="11">
        <f t="shared" si="4"/>
        <v>2132</v>
      </c>
      <c r="AT26" s="11">
        <f t="shared" si="4"/>
        <v>2133</v>
      </c>
      <c r="AU26" s="10"/>
      <c r="AV26" s="10" t="str">
        <f t="shared" si="4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5">C4</f>
        <v>963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0</v>
      </c>
      <c r="W28" s="11">
        <f t="shared" si="6"/>
        <v>75</v>
      </c>
      <c r="X28" s="11">
        <f t="shared" si="6"/>
        <v>359</v>
      </c>
      <c r="Y28" s="11">
        <f t="shared" si="6"/>
        <v>529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300</v>
      </c>
      <c r="AS28" s="11">
        <f>AS4</f>
        <v>0</v>
      </c>
      <c r="AT28" s="11">
        <f>AT4</f>
        <v>229</v>
      </c>
      <c r="AU28" s="11"/>
      <c r="AV28" s="11">
        <f>AV4</f>
        <v>963</v>
      </c>
    </row>
    <row r="29" spans="2:48" x14ac:dyDescent="0.25">
      <c r="B29" s="12" t="s">
        <v>1025</v>
      </c>
      <c r="C29" s="12">
        <f t="shared" ref="C29:R44" si="7">IFERROR(ROUNDUP(C5/C$4*10^6,0),0)</f>
        <v>1039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2786</v>
      </c>
      <c r="Y29" s="12">
        <f t="shared" si="9"/>
        <v>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1039</v>
      </c>
    </row>
    <row r="30" spans="2:48" x14ac:dyDescent="0.2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25">
      <c r="B31" s="12" t="s">
        <v>964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 x14ac:dyDescent="0.25">
      <c r="B32" s="12" t="s">
        <v>962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 x14ac:dyDescent="0.25">
      <c r="B33" s="12" t="s">
        <v>960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 x14ac:dyDescent="0.25">
      <c r="B34" s="12" t="s">
        <v>961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 x14ac:dyDescent="0.25">
      <c r="B35" s="12" t="s">
        <v>963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 x14ac:dyDescent="0.2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25">
      <c r="B37" s="12" t="s">
        <v>957</v>
      </c>
      <c r="C37" s="12">
        <f t="shared" si="7"/>
        <v>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0</v>
      </c>
      <c r="W37" s="12">
        <f t="shared" si="9"/>
        <v>0</v>
      </c>
      <c r="X37" s="12">
        <f t="shared" si="9"/>
        <v>0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0</v>
      </c>
    </row>
    <row r="38" spans="2:48" x14ac:dyDescent="0.2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25">
      <c r="B39" s="12" t="s">
        <v>956</v>
      </c>
      <c r="C39" s="12">
        <f t="shared" si="7"/>
        <v>0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0</v>
      </c>
    </row>
    <row r="40" spans="2:48" x14ac:dyDescent="0.25">
      <c r="B40" s="12" t="s">
        <v>30</v>
      </c>
      <c r="C40" s="12">
        <f t="shared" si="7"/>
        <v>0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0</v>
      </c>
      <c r="X40" s="12">
        <f t="shared" si="9"/>
        <v>0</v>
      </c>
      <c r="Y40" s="12">
        <f t="shared" si="9"/>
        <v>0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0</v>
      </c>
    </row>
    <row r="41" spans="2:48" x14ac:dyDescent="0.2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25">
      <c r="B42" s="12" t="s">
        <v>898</v>
      </c>
      <c r="C42" s="12">
        <f t="shared" si="7"/>
        <v>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0</v>
      </c>
      <c r="X42" s="12">
        <f t="shared" si="12"/>
        <v>0</v>
      </c>
      <c r="Y42" s="12">
        <f t="shared" si="12"/>
        <v>0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0</v>
      </c>
    </row>
    <row r="43" spans="2:48" x14ac:dyDescent="0.2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 x14ac:dyDescent="0.25">
      <c r="B44" s="12" t="s">
        <v>959</v>
      </c>
      <c r="C44" s="12">
        <f t="shared" si="7"/>
        <v>1039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2786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1039</v>
      </c>
    </row>
    <row r="45" spans="2:48" x14ac:dyDescent="0.25">
      <c r="B45" s="12" t="s">
        <v>955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 x14ac:dyDescent="0.25">
      <c r="B46" s="12" t="s">
        <v>966</v>
      </c>
      <c r="C46" s="12">
        <f t="shared" si="13"/>
        <v>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0</v>
      </c>
    </row>
    <row r="47" spans="2:48" x14ac:dyDescent="0.25">
      <c r="B47" s="12" t="s">
        <v>958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 x14ac:dyDescent="0.25">
      <c r="B48" s="12" t="s">
        <v>1003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I54" sqref="I54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2</v>
      </c>
      <c r="BL4" s="2">
        <f>SUMIF(inputs!$I:$I,Weekly_TVPlant!BL$3&amp;Weekly_TVPlant!$B$3&amp;$B$1,inputs!$D:$D)</f>
        <v>38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506</v>
      </c>
      <c r="BO4" s="2">
        <f>SUMIF(inputs!$I:$I,Weekly_TVPlant!BO$3&amp;Weekly_TVPlant!$B$3&amp;$B$1,inputs!$D:$D)</f>
        <v>888</v>
      </c>
      <c r="BP4" s="2">
        <f>SUMIF(inputs!$I:$I,Weekly_TVPlant!BP$3&amp;Weekly_TVPlant!$B$3&amp;$B$1,inputs!$D:$D)</f>
        <v>417</v>
      </c>
      <c r="BQ4" s="2">
        <f>SUMIF(inputs!$I:$I,Weekly_TVPlant!BQ$3&amp;Weekly_TVPlant!$B$3&amp;$B$1,inputs!$D:$D)</f>
        <v>216</v>
      </c>
      <c r="BR4" s="2">
        <f>SUMIF(inputs!$I:$I,Weekly_TVPlant!BR$3&amp;Weekly_TVPlant!$B$3&amp;$B$1,inputs!$D:$D)</f>
        <v>450</v>
      </c>
      <c r="BS4" s="2">
        <f>SUMIF(inputs!$I:$I,Weekly_TVPlant!BS$3&amp;Weekly_TVPlant!$B$3&amp;$B$1,inputs!$D:$D)</f>
        <v>553</v>
      </c>
      <c r="BT4" s="2">
        <f>SUMIF(inputs!$I:$I,Weekly_TVPlant!BT$3&amp;Weekly_TVPlant!$B$3&amp;$B$1,inputs!$D:$D)</f>
        <v>1132</v>
      </c>
      <c r="BU4" s="2">
        <f>SUMIF(inputs!$I:$I,Weekly_TVPlant!BU$3&amp;Weekly_TVPlant!$B$3&amp;$B$1,inputs!$D:$D)</f>
        <v>912</v>
      </c>
      <c r="BV4" s="2">
        <f>SUMIF(inputs!$I:$I,Weekly_TVPlant!BV$3&amp;Weekly_TVPlant!$B$3&amp;$B$1,inputs!$D:$D)</f>
        <v>249</v>
      </c>
      <c r="BW4" s="2">
        <f>SUMIF(inputs!$I:$I,Weekly_TVPlant!BW$3&amp;Weekly_TVPlant!$B$3&amp;$B$1,inputs!$D:$D)</f>
        <v>1439</v>
      </c>
      <c r="BX4" s="2">
        <f>SUMIF(inputs!$I:$I,Weekly_TVPlant!BX$3&amp;Weekly_TVPlant!$B$3&amp;$B$1,inputs!$D:$D)</f>
        <v>2908</v>
      </c>
      <c r="BY4" s="2">
        <f>SUMIF(inputs!$I:$I,Weekly_TVPlant!BY$3&amp;Weekly_TVPlant!$B$3&amp;$B$1,inputs!$D:$D)</f>
        <v>1793</v>
      </c>
      <c r="BZ4" s="2">
        <f>SUMIF(inputs!$I:$I,Weekly_TVPlant!BZ$3&amp;Weekly_TVPlant!$B$3&amp;$B$1,inputs!$D:$D)</f>
        <v>4452</v>
      </c>
      <c r="CA4" s="2">
        <f>SUMIF(inputs!$I:$I,Weekly_TVPlant!CA$3&amp;Weekly_TVPlant!$B$3&amp;$B$1,inputs!$D:$D)</f>
        <v>2452</v>
      </c>
      <c r="CB4" s="2">
        <f>SUMIF(inputs!$I:$I,Weekly_TVPlant!CB$3&amp;Weekly_TVPlant!$B$3&amp;$B$1,inputs!$D:$D)</f>
        <v>2790</v>
      </c>
      <c r="CC4" s="2">
        <f>SUMIF(inputs!$I:$I,Weekly_TVPlant!CC$3&amp;Weekly_TVPlant!$B$3&amp;$B$1,inputs!$D:$D)</f>
        <v>4860</v>
      </c>
      <c r="CD4" s="2">
        <f>SUMIF(inputs!$I:$I,Weekly_TVPlant!CD$3&amp;Weekly_TVPlant!$B$3&amp;$B$1,inputs!$D:$D)</f>
        <v>3843</v>
      </c>
      <c r="CE4" s="2">
        <f>SUMIF(inputs!$I:$I,Weekly_TVPlant!CE$3&amp;Weekly_TVPlant!$B$3&amp;$B$1,inputs!$D:$D)</f>
        <v>3870</v>
      </c>
      <c r="CF4" s="2">
        <f>SUMIF(inputs!$I:$I,Weekly_TVPlant!CF$3&amp;Weekly_TVPlant!$B$3&amp;$B$1,inputs!$D:$D)</f>
        <v>5410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4606</v>
      </c>
      <c r="CJ4" s="2">
        <f>SUMIF(inputs!$I:$I,Weekly_TVPlant!CJ$3&amp;Weekly_TVPlant!$B$3&amp;$B$1,inputs!$D:$D)</f>
        <v>7368</v>
      </c>
      <c r="CK4" s="2">
        <f>SUMIF(inputs!$I:$I,Weekly_TVPlant!CK$3&amp;Weekly_TVPlant!$B$3&amp;$B$1,inputs!$D:$D)</f>
        <v>0</v>
      </c>
      <c r="CL4" s="2">
        <f>SUMIF(inputs!$I:$I,Weekly_TVPlant!CL$3&amp;Weekly_TVPlant!$B$3&amp;$B$1,inputs!$D:$D)</f>
        <v>0</v>
      </c>
      <c r="CM4" s="2">
        <f>SUMIF(inputs!$I:$I,Weekly_TVPlant!CM$3&amp;Weekly_TVPlant!$B$3&amp;$B$1,inputs!$D:$D)</f>
        <v>0</v>
      </c>
      <c r="CN4" s="2">
        <f>SUMIF(inputs!$I:$I,Weekly_TVPlant!CN$3&amp;Weekly_TVPlant!$B$3&amp;$B$1,inputs!$D:$D)</f>
        <v>0</v>
      </c>
      <c r="CO4" s="2">
        <f>SUMIF(inputs!$I:$I,Weekly_TVPlant!CO$3&amp;Weekly_TVPlant!$B$3&amp;$B$1,inputs!$D:$D)</f>
        <v>0</v>
      </c>
      <c r="CP4" s="2">
        <f>SUMIF(inputs!$I:$I,Weekly_TVPlant!CP$3&amp;Weekly_TVPlant!$B$3&amp;$B$1,inputs!$D:$D)</f>
        <v>0</v>
      </c>
      <c r="CQ4" s="2">
        <f>SUMIF(inputs!$I:$I,Weekly_TVPlant!CQ$3&amp;Weekly_TVPlant!$B$3&amp;$B$1,inputs!$D:$D)</f>
        <v>0</v>
      </c>
      <c r="CR4" s="2">
        <f>SUMIF(inputs!$I:$I,Weekly_TVPlant!CR$3&amp;Weekly_TVPlant!$B$3&amp;$B$1,inputs!$D:$D)</f>
        <v>0</v>
      </c>
      <c r="CS4" s="2">
        <f>SUMIF(inputs!$I:$I,Weekly_TVPlant!CS$3&amp;Weekly_TVPlant!$B$3&amp;$B$1,inputs!$D:$D)</f>
        <v>0</v>
      </c>
      <c r="CT4" s="2">
        <f>SUMIF(inputs!$I:$I,Weekly_TVPlant!CT$3&amp;Weekly_TVPlant!$B$3&amp;$B$1,inputs!$D:$D)</f>
        <v>0</v>
      </c>
      <c r="CU4" s="2">
        <f>SUMIF(inputs!$I:$I,Weekly_TVPlant!CU$3&amp;Weekly_TVPlant!$B$3&amp;$B$1,inputs!$D:$D)</f>
        <v>0</v>
      </c>
      <c r="CV4" s="2">
        <f>SUMIF(inputs!$I:$I,Weekly_TVPlant!CV$3&amp;Weekly_TVPlant!$B$3&amp;$B$1,inputs!$D:$D)</f>
        <v>0</v>
      </c>
      <c r="CW4" s="2">
        <f>SUMIF(inputs!$I:$I,Weekly_TVPlant!CW$3&amp;Weekly_TVPlant!$B$3&amp;$B$1,inputs!$D:$D)</f>
        <v>0</v>
      </c>
      <c r="CX4" s="2">
        <f>SUMIF(inputs!$I:$I,Weekly_TVPlant!CX$3&amp;Weekly_TVPlant!$B$3&amp;$B$1,inputs!$D:$D)</f>
        <v>0</v>
      </c>
      <c r="CY4" s="2">
        <f>SUMIF(inputs!$I:$I,Weekly_TVPlant!CY$3&amp;Weekly_TVPlant!$B$3&amp;$B$1,inputs!$D:$D)</f>
        <v>0</v>
      </c>
      <c r="CZ4" s="2">
        <f>SUMIF(inputs!$I:$I,Weekly_TVPlant!CZ$3&amp;Weekly_TVPlant!$B$3&amp;$B$1,inputs!$D:$D)</f>
        <v>0</v>
      </c>
      <c r="DA4" s="2">
        <f>SUMIF(inputs!$I:$I,Weekly_TVPlant!DA$3&amp;Weekly_TVPlant!$B$3&amp;$B$1,inputs!$D:$D)</f>
        <v>0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0</v>
      </c>
      <c r="DD4" s="2">
        <f>SUMIF(inputs!$I:$I,Weekly_TVPlant!DD$3&amp;Weekly_TVPlant!$B$3&amp;$B$1,inputs!$D:$D)</f>
        <v>0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 x14ac:dyDescent="0.25">
      <c r="B7" s="2" t="s">
        <v>964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1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1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 x14ac:dyDescent="0.25">
      <c r="B8" s="2" t="s">
        <v>962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1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3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3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1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0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 x14ac:dyDescent="0.25">
      <c r="B9" s="2" t="s">
        <v>960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0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 x14ac:dyDescent="0.25">
      <c r="B10" s="2" t="s">
        <v>961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3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0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 x14ac:dyDescent="0.25">
      <c r="B11" s="2" t="s">
        <v>963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1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1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 x14ac:dyDescent="0.25">
      <c r="B12" s="2" t="s">
        <v>999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 x14ac:dyDescent="0.25">
      <c r="B13" s="2" t="s">
        <v>957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1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1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1</v>
      </c>
      <c r="CD13" s="2">
        <f>COUNTIF(defects!$X:$X,Weekly_TVPlant!CD$3&amp;Weekly_TVPlant!$B13&amp;Weekly_TVPlant!$B$3&amp;$B$2&amp;$B$1)</f>
        <v>1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1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2</v>
      </c>
      <c r="CK13" s="2">
        <f>COUNTIF(defects!$X:$X,Weekly_TVPlant!CK$3&amp;Weekly_TVPlant!$B13&amp;Weekly_TVPlant!$B$3&amp;$B$2&amp;$B$1)</f>
        <v>0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0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0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0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 x14ac:dyDescent="0.25">
      <c r="B14" s="2" t="s">
        <v>1000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 x14ac:dyDescent="0.25">
      <c r="B15" s="2" t="s">
        <v>956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1</v>
      </c>
      <c r="BZ15" s="2">
        <f>COUNTIF(defects!$X:$X,Weekly_TVPlant!BZ$3&amp;Weekly_TVPlant!$B15&amp;Weekly_TVPlant!$B$3&amp;$B$2&amp;$B$1)</f>
        <v>1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2</v>
      </c>
      <c r="CD15" s="2">
        <f>COUNTIF(defects!$X:$X,Weekly_TVPlant!CD$3&amp;Weekly_TVPlant!$B15&amp;Weekly_TVPlant!$B$3&amp;$B$2&amp;$B$1)</f>
        <v>2</v>
      </c>
      <c r="CE15" s="2">
        <f>COUNTIF(defects!$X:$X,Weekly_TVPlant!CE$3&amp;Weekly_TVPlant!$B15&amp;Weekly_TVPlant!$B$3&amp;$B$2&amp;$B$1)</f>
        <v>2</v>
      </c>
      <c r="CF15" s="2">
        <f>COUNTIF(defects!$X:$X,Weekly_TVPlant!CF$3&amp;Weekly_TVPlant!$B15&amp;Weekly_TVPlant!$B$3&amp;$B$2&amp;$B$1)</f>
        <v>3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2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0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 x14ac:dyDescent="0.25">
      <c r="B16" s="2" t="s">
        <v>30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1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1</v>
      </c>
      <c r="CD16" s="2">
        <f>COUNTIF(defects!$X:$X,Weekly_TVPlant!CD$3&amp;Weekly_TVPlant!$B16&amp;Weekly_TVPlant!$B$3&amp;$B$2&amp;$B$1)</f>
        <v>1</v>
      </c>
      <c r="CE16" s="2">
        <f>COUNTIF(defects!$X:$X,Weekly_TVPlant!CE$3&amp;Weekly_TVPlant!$B16&amp;Weekly_TVPlant!$B$3&amp;$B$2&amp;$B$1)</f>
        <v>2</v>
      </c>
      <c r="CF16" s="2">
        <f>COUNTIF(defects!$X:$X,Weekly_TVPlant!CF$3&amp;Weekly_TVPlant!$B16&amp;Weekly_TVPlant!$B$3&amp;$B$2&amp;$B$1)</f>
        <v>2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2</v>
      </c>
      <c r="CJ16" s="2">
        <f>COUNTIF(defects!$X:$X,Weekly_TVPlant!CJ$3&amp;Weekly_TVPlant!$B16&amp;Weekly_TVPlant!$B$3&amp;$B$2&amp;$B$1)</f>
        <v>3</v>
      </c>
      <c r="CK16" s="2">
        <f>COUNTIF(defects!$X:$X,Weekly_TVPlant!CK$3&amp;Weekly_TVPlant!$B16&amp;Weekly_TVPlant!$B$3&amp;$B$2&amp;$B$1)</f>
        <v>0</v>
      </c>
      <c r="CL16" s="2">
        <f>COUNTIF(defects!$X:$X,Weekly_TVPlant!CL$3&amp;Weekly_TVPlant!$B16&amp;Weekly_TVPlant!$B$3&amp;$B$2&amp;$B$1)</f>
        <v>0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0</v>
      </c>
      <c r="CO16" s="2">
        <f>COUNTIF(defects!$X:$X,Weekly_TVPlant!CO$3&amp;Weekly_TVPlant!$B16&amp;Weekly_TVPlant!$B$3&amp;$B$2&amp;$B$1)</f>
        <v>0</v>
      </c>
      <c r="CP16" s="2">
        <f>COUNTIF(defects!$X:$X,Weekly_TVPlant!CP$3&amp;Weekly_TVPlant!$B16&amp;Weekly_TVPlant!$B$3&amp;$B$2&amp;$B$1)</f>
        <v>0</v>
      </c>
      <c r="CQ16" s="2">
        <f>COUNTIF(defects!$X:$X,Weekly_TVPlant!CQ$3&amp;Weekly_TVPlant!$B16&amp;Weekly_TVPlant!$B$3&amp;$B$2&amp;$B$1)</f>
        <v>0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0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 x14ac:dyDescent="0.25">
      <c r="B17" s="2" t="s">
        <v>1001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 x14ac:dyDescent="0.25">
      <c r="B18" s="2" t="s">
        <v>898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1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1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0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0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 x14ac:dyDescent="0.25">
      <c r="B19" s="3" t="s">
        <v>1002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 x14ac:dyDescent="0.25">
      <c r="B20" s="3" t="s">
        <v>959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1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 x14ac:dyDescent="0.25">
      <c r="B21" s="3" t="s">
        <v>955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 x14ac:dyDescent="0.25">
      <c r="B22" s="3" t="s">
        <v>966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1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1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1</v>
      </c>
      <c r="CB22" s="2">
        <f>COUNTIF(defects!$X:$X,Weekly_TVPlant!CB$3&amp;Weekly_TVPlant!$B22&amp;Weekly_TVPlant!$B$3&amp;$B$2&amp;$B$1)</f>
        <v>1</v>
      </c>
      <c r="CC22" s="2">
        <f>COUNTIF(defects!$X:$X,Weekly_TVPlant!CC$3&amp;Weekly_TVPlant!$B22&amp;Weekly_TVPlant!$B$3&amp;$B$2&amp;$B$1)</f>
        <v>1</v>
      </c>
      <c r="CD22" s="2">
        <f>COUNTIF(defects!$X:$X,Weekly_TVPlant!CD$3&amp;Weekly_TVPlant!$B22&amp;Weekly_TVPlant!$B$3&amp;$B$2&amp;$B$1)</f>
        <v>2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2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2</v>
      </c>
      <c r="CJ22" s="2">
        <f>COUNTIF(defects!$X:$X,Weekly_TVPlant!CJ$3&amp;Weekly_TVPlant!$B22&amp;Weekly_TVPlant!$B$3&amp;$B$2&amp;$B$1)</f>
        <v>2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0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0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 x14ac:dyDescent="0.25">
      <c r="B23" s="3" t="s">
        <v>958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 x14ac:dyDescent="0.25">
      <c r="B24" s="3" t="s">
        <v>1003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 x14ac:dyDescent="0.2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Report!D26</f>
        <v>FSK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2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Report!C26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51154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11974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4606</v>
      </c>
      <c r="AT4" s="12">
        <f>HLOOKUP(AT$3,Weekly_TVPlant!$3:$24,MATCH($B4,Weekly_TVPlant!$B$3:$B$24,0),0)</f>
        <v>7368</v>
      </c>
      <c r="AU4" s="12"/>
      <c r="AV4" s="12">
        <f>SUM(F4:AP4)</f>
        <v>51154</v>
      </c>
    </row>
    <row r="5" spans="2:48" x14ac:dyDescent="0.25">
      <c r="B5" s="12" t="s">
        <v>997</v>
      </c>
      <c r="C5" s="12">
        <f t="shared" ref="C5:D24" si="0">SUMIF($F$2:$AP$2,C$2,$F5:$AP5)</f>
        <v>63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0</v>
      </c>
      <c r="V5" s="12">
        <f t="shared" si="1"/>
        <v>8</v>
      </c>
      <c r="W5" s="12">
        <f t="shared" si="1"/>
        <v>14</v>
      </c>
      <c r="X5" s="12">
        <f t="shared" si="1"/>
        <v>22</v>
      </c>
      <c r="Y5" s="12">
        <f t="shared" si="1"/>
        <v>17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7</v>
      </c>
      <c r="AT5" s="12">
        <f>HLOOKUP(AT$3,Weekly_TVPlant!$3:$24,MATCH($B5,Weekly_TVPlant!$B$3:$B$24,0),0)</f>
        <v>10</v>
      </c>
      <c r="AU5" s="12"/>
      <c r="AV5" s="12">
        <f>SUM(F5:AP5)</f>
        <v>63</v>
      </c>
    </row>
    <row r="6" spans="2:48" x14ac:dyDescent="0.2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>
        <f>COUNTIF(defects!$Y:$Y,Monthly_TVPlant!$B6&amp;Monthly_TVPlant!$B$3&amp;$B$2&amp;Monthly_TVPlant!AP$3&amp;$B$1)</f>
        <v>0</v>
      </c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0"/>
        <v>2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1</v>
      </c>
      <c r="X7" s="12">
        <f>COUNTIF(defects!$Y:$Y,Monthly_TVPlant!$B7&amp;Monthly_TVPlant!$B$3&amp;$B$2&amp;Monthly_TVPlant!X$3&amp;$B$1)</f>
        <v>1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>
        <f>COUNTIF(defects!$Y:$Y,Monthly_TVPlant!$B7&amp;Monthly_TVPlant!$B$3&amp;$B$2&amp;Monthly_TVPlant!AP$3&amp;$B$1)</f>
        <v>0</v>
      </c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2</v>
      </c>
    </row>
    <row r="8" spans="2:48" x14ac:dyDescent="0.25">
      <c r="B8" s="12" t="s">
        <v>962</v>
      </c>
      <c r="C8" s="12">
        <f t="shared" si="0"/>
        <v>8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1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3</v>
      </c>
      <c r="X8" s="12">
        <f>COUNTIF(defects!$Y:$Y,Monthly_TVPlant!$B8&amp;Monthly_TVPlant!$B$3&amp;$B$2&amp;Monthly_TVPlant!X$3&amp;$B$1)</f>
        <v>3</v>
      </c>
      <c r="Y8" s="12">
        <f>COUNTIF(defects!$Y:$Y,Monthly_TVPlant!$B8&amp;Monthly_TVPlant!$B$3&amp;$B$2&amp;Monthly_TVPlant!Y$3&amp;$B$1)</f>
        <v>1</v>
      </c>
      <c r="Z8" s="12">
        <f>COUNTIF(defects!$Y:$Y,Monthly_TVPlant!$B8&amp;Monthly_TVPlant!$B$3&amp;$B$2&amp;Monthly_TVPlant!Z$3&amp;$B$1)</f>
        <v>0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>
        <f>COUNTIF(defects!$Y:$Y,Monthly_TVPlant!$B8&amp;Monthly_TVPlant!$B$3&amp;$B$2&amp;Monthly_TVPlant!AP$3&amp;$B$1)</f>
        <v>0</v>
      </c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1</v>
      </c>
      <c r="AT8" s="12">
        <f>HLOOKUP(AT$3,Weekly_TVPlant!$3:$24,MATCH($B8,Weekly_TVPlant!$B$3:$B$24,0),0)</f>
        <v>0</v>
      </c>
      <c r="AU8" s="12"/>
      <c r="AV8" s="12">
        <f t="shared" si="2"/>
        <v>8</v>
      </c>
    </row>
    <row r="9" spans="2:48" x14ac:dyDescent="0.25">
      <c r="B9" s="12" t="s">
        <v>960</v>
      </c>
      <c r="C9" s="12">
        <f t="shared" si="0"/>
        <v>0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0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>
        <f>COUNTIF(defects!$Y:$Y,Monthly_TVPlant!$B9&amp;Monthly_TVPlant!$B$3&amp;$B$2&amp;Monthly_TVPlant!AP$3&amp;$B$1)</f>
        <v>0</v>
      </c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0</v>
      </c>
    </row>
    <row r="10" spans="2:48" x14ac:dyDescent="0.25">
      <c r="B10" s="12" t="s">
        <v>961</v>
      </c>
      <c r="C10" s="12">
        <f t="shared" si="0"/>
        <v>3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3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0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0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>
        <f>COUNTIF(defects!$Y:$Y,Monthly_TVPlant!$B10&amp;Monthly_TVPlant!$B$3&amp;$B$2&amp;Monthly_TVPlant!AP$3&amp;$B$1)</f>
        <v>0</v>
      </c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3</v>
      </c>
    </row>
    <row r="11" spans="2:48" x14ac:dyDescent="0.25">
      <c r="B11" s="12" t="s">
        <v>963</v>
      </c>
      <c r="C11" s="12">
        <f t="shared" si="0"/>
        <v>2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1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1</v>
      </c>
      <c r="Z11" s="12">
        <f>COUNTIF(defects!$Y:$Y,Monthly_TVPlant!$B11&amp;Monthly_TVPlant!$B$3&amp;$B$2&amp;Monthly_TVPlant!Z$3&amp;$B$1)</f>
        <v>0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>
        <f>COUNTIF(defects!$Y:$Y,Monthly_TVPlant!$B11&amp;Monthly_TVPlant!$B$3&amp;$B$2&amp;Monthly_TVPlant!AP$3&amp;$B$1)</f>
        <v>0</v>
      </c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1</v>
      </c>
      <c r="AU11" s="12"/>
      <c r="AV11" s="12">
        <f t="shared" si="2"/>
        <v>2</v>
      </c>
    </row>
    <row r="12" spans="2:48" x14ac:dyDescent="0.2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>
        <f>COUNTIF(defects!$Y:$Y,Monthly_TVPlant!$B12&amp;Monthly_TVPlant!$B$3&amp;$B$2&amp;Monthly_TVPlant!AP$3&amp;$B$1)</f>
        <v>0</v>
      </c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 x14ac:dyDescent="0.25">
      <c r="B13" s="12" t="s">
        <v>957</v>
      </c>
      <c r="C13" s="12">
        <f t="shared" si="0"/>
        <v>7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2</v>
      </c>
      <c r="W13" s="12">
        <f>COUNTIF(defects!$Y:$Y,Monthly_TVPlant!$B13&amp;Monthly_TVPlant!$B$3&amp;$B$2&amp;Monthly_TVPlant!W$3&amp;$B$1)</f>
        <v>1</v>
      </c>
      <c r="X13" s="12">
        <f>COUNTIF(defects!$Y:$Y,Monthly_TVPlant!$B13&amp;Monthly_TVPlant!$B$3&amp;$B$2&amp;Monthly_TVPlant!X$3&amp;$B$1)</f>
        <v>2</v>
      </c>
      <c r="Y13" s="12">
        <f>COUNTIF(defects!$Y:$Y,Monthly_TVPlant!$B13&amp;Monthly_TVPlant!$B$3&amp;$B$2&amp;Monthly_TVPlant!Y$3&amp;$B$1)</f>
        <v>2</v>
      </c>
      <c r="Z13" s="12">
        <f>COUNTIF(defects!$Y:$Y,Monthly_TVPlant!$B13&amp;Monthly_TVPlant!$B$3&amp;$B$2&amp;Monthly_TVPlant!Z$3&amp;$B$1)</f>
        <v>0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0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>
        <f>COUNTIF(defects!$Y:$Y,Monthly_TVPlant!$B13&amp;Monthly_TVPlant!$B$3&amp;$B$2&amp;Monthly_TVPlant!AP$3&amp;$B$1)</f>
        <v>0</v>
      </c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2</v>
      </c>
      <c r="AU13" s="12"/>
      <c r="AV13" s="12">
        <f t="shared" si="2"/>
        <v>7</v>
      </c>
    </row>
    <row r="14" spans="2:48" x14ac:dyDescent="0.2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>
        <f>COUNTIF(defects!$Y:$Y,Monthly_TVPlant!$B14&amp;Monthly_TVPlant!$B$3&amp;$B$2&amp;Monthly_TVPlant!AP$3&amp;$B$1)</f>
        <v>0</v>
      </c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 x14ac:dyDescent="0.25">
      <c r="B15" s="12" t="s">
        <v>956</v>
      </c>
      <c r="C15" s="12">
        <f t="shared" si="0"/>
        <v>13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1</v>
      </c>
      <c r="W15" s="12">
        <f>COUNTIF(defects!$Y:$Y,Monthly_TVPlant!$B15&amp;Monthly_TVPlant!$B$3&amp;$B$2&amp;Monthly_TVPlant!W$3&amp;$B$1)</f>
        <v>3</v>
      </c>
      <c r="X15" s="12">
        <f>COUNTIF(defects!$Y:$Y,Monthly_TVPlant!$B15&amp;Monthly_TVPlant!$B$3&amp;$B$2&amp;Monthly_TVPlant!X$3&amp;$B$1)</f>
        <v>7</v>
      </c>
      <c r="Y15" s="12">
        <f>COUNTIF(defects!$Y:$Y,Monthly_TVPlant!$B15&amp;Monthly_TVPlant!$B$3&amp;$B$2&amp;Monthly_TVPlant!Y$3&amp;$B$1)</f>
        <v>2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0</v>
      </c>
      <c r="AB15" s="12">
        <f>COUNTIF(defects!$Y:$Y,Monthly_TVPlant!$B15&amp;Monthly_TVPlant!$B$3&amp;$B$2&amp;Monthly_TVPlant!AB$3&amp;$B$1)</f>
        <v>0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>
        <f>COUNTIF(defects!$Y:$Y,Monthly_TVPlant!$B15&amp;Monthly_TVPlant!$B$3&amp;$B$2&amp;Monthly_TVPlant!AP$3&amp;$B$1)</f>
        <v>0</v>
      </c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2</v>
      </c>
      <c r="AT15" s="12">
        <f>HLOOKUP(AT$3,Weekly_TVPlant!$3:$24,MATCH($B15,Weekly_TVPlant!$B$3:$B$24,0),0)</f>
        <v>0</v>
      </c>
      <c r="AU15" s="12"/>
      <c r="AV15" s="12">
        <f t="shared" si="2"/>
        <v>13</v>
      </c>
    </row>
    <row r="16" spans="2:48" x14ac:dyDescent="0.25">
      <c r="B16" s="12" t="s">
        <v>30</v>
      </c>
      <c r="C16" s="12">
        <f t="shared" si="0"/>
        <v>12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1</v>
      </c>
      <c r="W16" s="12">
        <f>COUNTIF(defects!$Y:$Y,Monthly_TVPlant!$B16&amp;Monthly_TVPlant!$B$3&amp;$B$2&amp;Monthly_TVPlant!W$3&amp;$B$1)</f>
        <v>1</v>
      </c>
      <c r="X16" s="12">
        <f>COUNTIF(defects!$Y:$Y,Monthly_TVPlant!$B16&amp;Monthly_TVPlant!$B$3&amp;$B$2&amp;Monthly_TVPlant!X$3&amp;$B$1)</f>
        <v>5</v>
      </c>
      <c r="Y16" s="12">
        <f>COUNTIF(defects!$Y:$Y,Monthly_TVPlant!$B16&amp;Monthly_TVPlant!$B$3&amp;$B$2&amp;Monthly_TVPlant!Y$3&amp;$B$1)</f>
        <v>5</v>
      </c>
      <c r="Z16" s="12">
        <f>COUNTIF(defects!$Y:$Y,Monthly_TVPlant!$B16&amp;Monthly_TVPlant!$B$3&amp;$B$2&amp;Monthly_TVPlant!Z$3&amp;$B$1)</f>
        <v>0</v>
      </c>
      <c r="AA16" s="12">
        <f>COUNTIF(defects!$Y:$Y,Monthly_TVPlant!$B16&amp;Monthly_TVPlant!$B$3&amp;$B$2&amp;Monthly_TVPlant!AA$3&amp;$B$1)</f>
        <v>0</v>
      </c>
      <c r="AB16" s="12">
        <f>COUNTIF(defects!$Y:$Y,Monthly_TVPlant!$B16&amp;Monthly_TVPlant!$B$3&amp;$B$2&amp;Monthly_TVPlant!AB$3&amp;$B$1)</f>
        <v>0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>
        <f>COUNTIF(defects!$Y:$Y,Monthly_TVPlant!$B16&amp;Monthly_TVPlant!$B$3&amp;$B$2&amp;Monthly_TVPlant!AP$3&amp;$B$1)</f>
        <v>0</v>
      </c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2</v>
      </c>
      <c r="AT16" s="12">
        <f>HLOOKUP(AT$3,Weekly_TVPlant!$3:$24,MATCH($B16,Weekly_TVPlant!$B$3:$B$24,0),0)</f>
        <v>3</v>
      </c>
      <c r="AU16" s="12"/>
      <c r="AV16" s="12">
        <f t="shared" si="2"/>
        <v>12</v>
      </c>
    </row>
    <row r="17" spans="2:48" x14ac:dyDescent="0.2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>
        <f>COUNTIF(defects!$Y:$Y,Monthly_TVPlant!$B17&amp;Monthly_TVPlant!$B$3&amp;$B$2&amp;Monthly_TVPlant!AP$3&amp;$B$1)</f>
        <v>0</v>
      </c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 x14ac:dyDescent="0.25">
      <c r="B18" s="12" t="s">
        <v>898</v>
      </c>
      <c r="C18" s="12">
        <f t="shared" si="0"/>
        <v>2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1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1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0</v>
      </c>
      <c r="AB18" s="12">
        <f>COUNTIF(defects!$Y:$Y,Monthly_TVPlant!$B18&amp;Monthly_TVPlant!$B$3&amp;$B$2&amp;Monthly_TVPlant!AB$3&amp;$B$1)</f>
        <v>0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>
        <f>COUNTIF(defects!$Y:$Y,Monthly_TVPlant!$B18&amp;Monthly_TVPlant!$B$3&amp;$B$2&amp;Monthly_TVPlant!AP$3&amp;$B$1)</f>
        <v>0</v>
      </c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1</v>
      </c>
      <c r="AU18" s="12"/>
      <c r="AV18" s="12">
        <f t="shared" si="2"/>
        <v>2</v>
      </c>
    </row>
    <row r="19" spans="2:48" x14ac:dyDescent="0.2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>
        <f>COUNTIF(defects!$Y:$Y,Monthly_TVPlant!$B19&amp;Monthly_TVPlant!$B$3&amp;$B$2&amp;Monthly_TVPlant!AP$3&amp;$B$1)</f>
        <v>0</v>
      </c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 x14ac:dyDescent="0.25">
      <c r="B20" s="12" t="s">
        <v>959</v>
      </c>
      <c r="C20" s="12">
        <f t="shared" si="0"/>
        <v>1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1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0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>
        <f>COUNTIF(defects!$Y:$Y,Monthly_TVPlant!$B20&amp;Monthly_TVPlant!$B$3&amp;$B$2&amp;Monthly_TVPlant!AP$3&amp;$B$1)</f>
        <v>0</v>
      </c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1</v>
      </c>
      <c r="AU20" s="12"/>
      <c r="AV20" s="12">
        <f t="shared" si="2"/>
        <v>1</v>
      </c>
    </row>
    <row r="21" spans="2:48" x14ac:dyDescent="0.25">
      <c r="B21" s="12" t="s">
        <v>955</v>
      </c>
      <c r="C21" s="12">
        <f t="shared" si="0"/>
        <v>0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0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>
        <f>COUNTIF(defects!$Y:$Y,Monthly_TVPlant!$B21&amp;Monthly_TVPlant!$B$3&amp;$B$2&amp;Monthly_TVPlant!AP$3&amp;$B$1)</f>
        <v>0</v>
      </c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0</v>
      </c>
    </row>
    <row r="22" spans="2:48" x14ac:dyDescent="0.25">
      <c r="B22" s="12" t="s">
        <v>966</v>
      </c>
      <c r="C22" s="12">
        <f t="shared" si="0"/>
        <v>13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1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1</v>
      </c>
      <c r="W22" s="12">
        <f>COUNTIF(defects!$Y:$Y,Monthly_TVPlant!$B22&amp;Monthly_TVPlant!$B$3&amp;$B$2&amp;Monthly_TVPlant!W$3&amp;$B$1)</f>
        <v>3</v>
      </c>
      <c r="X22" s="12">
        <f>COUNTIF(defects!$Y:$Y,Monthly_TVPlant!$B22&amp;Monthly_TVPlant!$B$3&amp;$B$2&amp;Monthly_TVPlant!X$3&amp;$B$1)</f>
        <v>4</v>
      </c>
      <c r="Y22" s="12">
        <f>COUNTIF(defects!$Y:$Y,Monthly_TVPlant!$B22&amp;Monthly_TVPlant!$B$3&amp;$B$2&amp;Monthly_TVPlant!Y$3&amp;$B$1)</f>
        <v>4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0</v>
      </c>
      <c r="AB22" s="12">
        <f>COUNTIF(defects!$Y:$Y,Monthly_TVPlant!$B22&amp;Monthly_TVPlant!$B$3&amp;$B$2&amp;Monthly_TVPlant!AB$3&amp;$B$1)</f>
        <v>0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>
        <f>COUNTIF(defects!$Y:$Y,Monthly_TVPlant!$B22&amp;Monthly_TVPlant!$B$3&amp;$B$2&amp;Monthly_TVPlant!AP$3&amp;$B$1)</f>
        <v>0</v>
      </c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2</v>
      </c>
      <c r="AT22" s="12">
        <f>HLOOKUP(AT$3,Weekly_TVPlant!$3:$24,MATCH($B22,Weekly_TVPlant!$B$3:$B$24,0),0)</f>
        <v>2</v>
      </c>
      <c r="AU22" s="12"/>
      <c r="AV22" s="12">
        <f t="shared" si="2"/>
        <v>13</v>
      </c>
    </row>
    <row r="23" spans="2:48" x14ac:dyDescent="0.25">
      <c r="B23" s="12" t="s">
        <v>958</v>
      </c>
      <c r="C23" s="12">
        <f t="shared" si="0"/>
        <v>0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0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>
        <f>COUNTIF(defects!$Y:$Y,Monthly_TVPlant!$B23&amp;Monthly_TVPlant!$B$3&amp;$B$2&amp;Monthly_TVPlant!AP$3&amp;$B$1)</f>
        <v>0</v>
      </c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0</v>
      </c>
    </row>
    <row r="24" spans="2:48" x14ac:dyDescent="0.2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>
        <f>COUNTIF(defects!$Y:$Y,Monthly_TVPlant!$B24&amp;Monthly_TVPlant!$B$3&amp;$B$2&amp;Monthly_TVPlant!AP$3&amp;$B$1)</f>
        <v>0</v>
      </c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" customHeight="1" x14ac:dyDescent="0.25"/>
    <row r="26" spans="2:48" x14ac:dyDescent="0.2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2131</v>
      </c>
      <c r="AS26" s="11">
        <f t="shared" si="4"/>
        <v>2132</v>
      </c>
      <c r="AT26" s="11">
        <f t="shared" si="4"/>
        <v>2133</v>
      </c>
      <c r="AU26" s="10"/>
      <c r="AV26" s="10" t="str">
        <f t="shared" si="4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5">C4</f>
        <v>51154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1849</v>
      </c>
      <c r="U28" s="11">
        <f t="shared" si="6"/>
        <v>2351</v>
      </c>
      <c r="V28" s="11">
        <f t="shared" si="6"/>
        <v>7301</v>
      </c>
      <c r="W28" s="11">
        <f t="shared" si="6"/>
        <v>14554</v>
      </c>
      <c r="X28" s="11">
        <f t="shared" si="6"/>
        <v>13123</v>
      </c>
      <c r="Y28" s="11">
        <f t="shared" si="6"/>
        <v>11974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4606</v>
      </c>
      <c r="AT28" s="11">
        <f>AT4</f>
        <v>7368</v>
      </c>
      <c r="AU28" s="11"/>
      <c r="AV28" s="11">
        <f>AV4</f>
        <v>51154</v>
      </c>
    </row>
    <row r="29" spans="2:48" x14ac:dyDescent="0.25">
      <c r="B29" s="12" t="s">
        <v>1025</v>
      </c>
      <c r="C29" s="12">
        <f t="shared" ref="C29:R44" si="7">IFERROR(ROUNDUP(C5/C$4*10^6,0),0)</f>
        <v>1232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1082</v>
      </c>
      <c r="U29" s="12">
        <f t="shared" si="9"/>
        <v>0</v>
      </c>
      <c r="V29" s="12">
        <f t="shared" si="9"/>
        <v>1096</v>
      </c>
      <c r="W29" s="12">
        <f t="shared" si="9"/>
        <v>962</v>
      </c>
      <c r="X29" s="12">
        <f t="shared" si="9"/>
        <v>1677</v>
      </c>
      <c r="Y29" s="12">
        <f t="shared" si="9"/>
        <v>1420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1520</v>
      </c>
      <c r="AT29" s="12">
        <f>IFERROR(ROUNDUP(AT5/AT$4*10^6,0),0)</f>
        <v>1358</v>
      </c>
      <c r="AU29" s="12"/>
      <c r="AV29" s="12">
        <f>IFERROR(ROUNDUP(AV5/$AV$4*10^6,0),0)</f>
        <v>1232</v>
      </c>
    </row>
    <row r="30" spans="2:48" x14ac:dyDescent="0.2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25">
      <c r="B31" s="12" t="s">
        <v>964</v>
      </c>
      <c r="C31" s="12">
        <f t="shared" si="7"/>
        <v>40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69</v>
      </c>
      <c r="X31" s="12">
        <f t="shared" si="10"/>
        <v>77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40</v>
      </c>
    </row>
    <row r="32" spans="2:48" x14ac:dyDescent="0.25">
      <c r="B32" s="12" t="s">
        <v>962</v>
      </c>
      <c r="C32" s="12">
        <f t="shared" si="7"/>
        <v>157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541</v>
      </c>
      <c r="U32" s="12">
        <f t="shared" si="8"/>
        <v>0</v>
      </c>
      <c r="V32" s="12">
        <f t="shared" si="10"/>
        <v>0</v>
      </c>
      <c r="W32" s="12">
        <f t="shared" si="10"/>
        <v>207</v>
      </c>
      <c r="X32" s="12">
        <f t="shared" si="10"/>
        <v>229</v>
      </c>
      <c r="Y32" s="12">
        <f t="shared" si="10"/>
        <v>84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0"/>
        <v>0</v>
      </c>
      <c r="AR32" s="12">
        <f t="shared" si="10"/>
        <v>0</v>
      </c>
      <c r="AS32" s="12">
        <f t="shared" si="10"/>
        <v>218</v>
      </c>
      <c r="AT32" s="12">
        <f t="shared" si="10"/>
        <v>0</v>
      </c>
      <c r="AU32" s="12"/>
      <c r="AV32" s="12">
        <f t="shared" si="11"/>
        <v>157</v>
      </c>
    </row>
    <row r="33" spans="2:48" x14ac:dyDescent="0.25">
      <c r="B33" s="12" t="s">
        <v>960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 x14ac:dyDescent="0.25">
      <c r="B34" s="12" t="s">
        <v>961</v>
      </c>
      <c r="C34" s="12">
        <f t="shared" si="7"/>
        <v>59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411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59</v>
      </c>
    </row>
    <row r="35" spans="2:48" x14ac:dyDescent="0.25">
      <c r="B35" s="12" t="s">
        <v>963</v>
      </c>
      <c r="C35" s="12">
        <f t="shared" si="7"/>
        <v>40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69</v>
      </c>
      <c r="X35" s="12">
        <f t="shared" si="10"/>
        <v>0</v>
      </c>
      <c r="Y35" s="12">
        <f t="shared" si="10"/>
        <v>84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136</v>
      </c>
      <c r="AU35" s="12"/>
      <c r="AV35" s="12">
        <f t="shared" si="11"/>
        <v>40</v>
      </c>
    </row>
    <row r="36" spans="2:48" x14ac:dyDescent="0.2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25">
      <c r="B37" s="12" t="s">
        <v>957</v>
      </c>
      <c r="C37" s="12">
        <f t="shared" si="7"/>
        <v>137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274</v>
      </c>
      <c r="W37" s="12">
        <f t="shared" si="10"/>
        <v>69</v>
      </c>
      <c r="X37" s="12">
        <f t="shared" si="10"/>
        <v>153</v>
      </c>
      <c r="Y37" s="12">
        <f t="shared" si="10"/>
        <v>168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272</v>
      </c>
      <c r="AU37" s="12"/>
      <c r="AV37" s="12">
        <f t="shared" si="11"/>
        <v>137</v>
      </c>
    </row>
    <row r="38" spans="2:48" x14ac:dyDescent="0.2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25">
      <c r="B39" s="12" t="s">
        <v>956</v>
      </c>
      <c r="C39" s="12">
        <f t="shared" si="7"/>
        <v>255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137</v>
      </c>
      <c r="W39" s="12">
        <f t="shared" si="10"/>
        <v>207</v>
      </c>
      <c r="X39" s="12">
        <f t="shared" si="10"/>
        <v>534</v>
      </c>
      <c r="Y39" s="12">
        <f t="shared" si="10"/>
        <v>168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0"/>
        <v>0</v>
      </c>
      <c r="AR39" s="12">
        <f t="shared" si="10"/>
        <v>0</v>
      </c>
      <c r="AS39" s="12">
        <f t="shared" si="10"/>
        <v>435</v>
      </c>
      <c r="AT39" s="12">
        <f t="shared" si="10"/>
        <v>0</v>
      </c>
      <c r="AU39" s="12"/>
      <c r="AV39" s="12">
        <f t="shared" si="11"/>
        <v>255</v>
      </c>
    </row>
    <row r="40" spans="2:48" x14ac:dyDescent="0.25">
      <c r="B40" s="12" t="s">
        <v>30</v>
      </c>
      <c r="C40" s="12">
        <f t="shared" si="7"/>
        <v>235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137</v>
      </c>
      <c r="W40" s="12">
        <f t="shared" si="10"/>
        <v>69</v>
      </c>
      <c r="X40" s="12">
        <f t="shared" si="10"/>
        <v>382</v>
      </c>
      <c r="Y40" s="12">
        <f t="shared" si="10"/>
        <v>418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0"/>
        <v>0</v>
      </c>
      <c r="AR40" s="12">
        <f t="shared" si="10"/>
        <v>0</v>
      </c>
      <c r="AS40" s="12">
        <f t="shared" si="10"/>
        <v>435</v>
      </c>
      <c r="AT40" s="12">
        <f t="shared" si="10"/>
        <v>408</v>
      </c>
      <c r="AU40" s="12"/>
      <c r="AV40" s="12">
        <f t="shared" si="11"/>
        <v>235</v>
      </c>
    </row>
    <row r="41" spans="2:48" x14ac:dyDescent="0.2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25">
      <c r="B42" s="12" t="s">
        <v>898</v>
      </c>
      <c r="C42" s="12">
        <f t="shared" si="7"/>
        <v>40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69</v>
      </c>
      <c r="X42" s="12">
        <f t="shared" si="12"/>
        <v>0</v>
      </c>
      <c r="Y42" s="12">
        <f t="shared" si="12"/>
        <v>84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136</v>
      </c>
      <c r="AU42" s="12"/>
      <c r="AV42" s="12">
        <f t="shared" si="11"/>
        <v>40</v>
      </c>
    </row>
    <row r="43" spans="2:48" x14ac:dyDescent="0.2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 x14ac:dyDescent="0.25">
      <c r="B44" s="12" t="s">
        <v>959</v>
      </c>
      <c r="C44" s="12">
        <f t="shared" si="7"/>
        <v>20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84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136</v>
      </c>
      <c r="AU44" s="12"/>
      <c r="AV44" s="12">
        <f t="shared" si="11"/>
        <v>20</v>
      </c>
    </row>
    <row r="45" spans="2:48" x14ac:dyDescent="0.25">
      <c r="B45" s="12" t="s">
        <v>955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 x14ac:dyDescent="0.25">
      <c r="B46" s="12" t="s">
        <v>966</v>
      </c>
      <c r="C46" s="12">
        <f t="shared" si="13"/>
        <v>255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541</v>
      </c>
      <c r="U46" s="12">
        <f t="shared" si="12"/>
        <v>0</v>
      </c>
      <c r="V46" s="12">
        <f t="shared" si="12"/>
        <v>137</v>
      </c>
      <c r="W46" s="12">
        <f t="shared" si="12"/>
        <v>207</v>
      </c>
      <c r="X46" s="12">
        <f t="shared" si="12"/>
        <v>305</v>
      </c>
      <c r="Y46" s="12">
        <f t="shared" si="12"/>
        <v>335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435</v>
      </c>
      <c r="AT46" s="12">
        <f t="shared" si="12"/>
        <v>272</v>
      </c>
      <c r="AU46" s="12">
        <f t="shared" si="12"/>
        <v>0</v>
      </c>
      <c r="AV46" s="12">
        <f t="shared" si="11"/>
        <v>255</v>
      </c>
    </row>
    <row r="47" spans="2:48" x14ac:dyDescent="0.25">
      <c r="B47" s="12" t="s">
        <v>958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 x14ac:dyDescent="0.25">
      <c r="B48" s="12" t="s">
        <v>1003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2</v>
      </c>
      <c r="BL4" s="2">
        <f>SUMIF(inputs!$G:$G,Weekly_All!BL$3&amp;Weekly_All!$B$3,inputs!$D:$D)</f>
        <v>90</v>
      </c>
      <c r="BM4" s="2">
        <f>SUMIF(inputs!$G:$G,Weekly_All!BM$3&amp;Weekly_All!$B$3,inputs!$D:$D)</f>
        <v>0</v>
      </c>
      <c r="BN4" s="2">
        <f>SUMIF(inputs!$G:$G,Weekly_All!BN$3&amp;Weekly_All!$B$3,inputs!$D:$D)</f>
        <v>596</v>
      </c>
      <c r="BO4" s="2">
        <f>SUMIF(inputs!$G:$G,Weekly_All!BO$3&amp;Weekly_All!$B$3,inputs!$D:$D)</f>
        <v>929</v>
      </c>
      <c r="BP4" s="2">
        <f>SUMIF(inputs!$G:$G,Weekly_All!BP$3&amp;Weekly_All!$B$3,inputs!$D:$D)</f>
        <v>469</v>
      </c>
      <c r="BQ4" s="2">
        <f>SUMIF(inputs!$G:$G,Weekly_All!BQ$3&amp;Weekly_All!$B$3,inputs!$D:$D)</f>
        <v>868</v>
      </c>
      <c r="BR4" s="2">
        <f>SUMIF(inputs!$G:$G,Weekly_All!BR$3&amp;Weekly_All!$B$3,inputs!$D:$D)</f>
        <v>1844</v>
      </c>
      <c r="BS4" s="2">
        <f>SUMIF(inputs!$G:$G,Weekly_All!BS$3&amp;Weekly_All!$B$3,inputs!$D:$D)</f>
        <v>3004</v>
      </c>
      <c r="BT4" s="2">
        <f>SUMIF(inputs!$G:$G,Weekly_All!BT$3&amp;Weekly_All!$B$3,inputs!$D:$D)</f>
        <v>2737</v>
      </c>
      <c r="BU4" s="2">
        <f>SUMIF(inputs!$G:$G,Weekly_All!BU$3&amp;Weekly_All!$B$3,inputs!$D:$D)</f>
        <v>4512</v>
      </c>
      <c r="BV4" s="2">
        <f>SUMIF(inputs!$G:$G,Weekly_All!BV$3&amp;Weekly_All!$B$3,inputs!$D:$D)</f>
        <v>363</v>
      </c>
      <c r="BW4" s="2">
        <f>SUMIF(inputs!$G:$G,Weekly_All!BW$3&amp;Weekly_All!$B$3,inputs!$D:$D)</f>
        <v>5140</v>
      </c>
      <c r="BX4" s="2">
        <f>SUMIF(inputs!$G:$G,Weekly_All!BX$3&amp;Weekly_All!$B$3,inputs!$D:$D)</f>
        <v>7912</v>
      </c>
      <c r="BY4" s="2">
        <f>SUMIF(inputs!$G:$G,Weekly_All!BY$3&amp;Weekly_All!$B$3,inputs!$D:$D)</f>
        <v>6774</v>
      </c>
      <c r="BZ4" s="2">
        <f>SUMIF(inputs!$G:$G,Weekly_All!BZ$3&amp;Weekly_All!$B$3,inputs!$D:$D)</f>
        <v>10572</v>
      </c>
      <c r="CA4" s="2">
        <f>SUMIF(inputs!$G:$G,Weekly_All!CA$3&amp;Weekly_All!$B$3,inputs!$D:$D)</f>
        <v>4656</v>
      </c>
      <c r="CB4" s="2">
        <f>SUMIF(inputs!$G:$G,Weekly_All!CB$3&amp;Weekly_All!$B$3,inputs!$D:$D)</f>
        <v>4359</v>
      </c>
      <c r="CC4" s="2">
        <f>SUMIF(inputs!$G:$G,Weekly_All!CC$3&amp;Weekly_All!$B$3,inputs!$D:$D)</f>
        <v>7004</v>
      </c>
      <c r="CD4" s="2">
        <f>SUMIF(inputs!$G:$G,Weekly_All!CD$3&amp;Weekly_All!$B$3,inputs!$D:$D)</f>
        <v>4482</v>
      </c>
      <c r="CE4" s="2">
        <f>SUMIF(inputs!$G:$G,Weekly_All!CE$3&amp;Weekly_All!$B$3,inputs!$D:$D)</f>
        <v>8231</v>
      </c>
      <c r="CF4" s="2">
        <f>SUMIF(inputs!$G:$G,Weekly_All!CF$3&amp;Weekly_All!$B$3,inputs!$D:$D)</f>
        <v>8815</v>
      </c>
      <c r="CG4" s="2">
        <f>SUMIF(inputs!$G:$G,Weekly_All!CG$3&amp;Weekly_All!$B$3,inputs!$D:$D)</f>
        <v>4381</v>
      </c>
      <c r="CH4" s="2">
        <f>SUMIF(inputs!$G:$G,Weekly_All!CH$3&amp;Weekly_All!$B$3,inputs!$D:$D)</f>
        <v>3375</v>
      </c>
      <c r="CI4" s="2">
        <f>SUMIF(inputs!$G:$G,Weekly_All!CI$3&amp;Weekly_All!$B$3,inputs!$D:$D)</f>
        <v>9308</v>
      </c>
      <c r="CJ4" s="2">
        <f>SUMIF(inputs!$G:$G,Weekly_All!CJ$3&amp;Weekly_All!$B$3,inputs!$D:$D)</f>
        <v>13256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12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17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2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1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1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2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1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1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1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3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3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1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2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1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1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2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1</v>
      </c>
      <c r="BX10" s="2">
        <f>COUNTIF(defects!$V:$V,Weekly_All!BX$3&amp;Weekly_All!$B10&amp;Weekly_All!$B$3&amp;$B$2)</f>
        <v>4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1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1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2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1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2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2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1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1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1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3</v>
      </c>
      <c r="BZ13" s="2">
        <f>COUNTIF(defects!$V:$V,Weekly_All!BZ$3&amp;Weekly_All!$B13&amp;Weekly_All!$B$3&amp;$B$2)</f>
        <v>1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1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3</v>
      </c>
      <c r="CH13" s="2">
        <f>COUNTIF(defects!$V:$V,Weekly_All!CH$3&amp;Weekly_All!$B13&amp;Weekly_All!$B$3&amp;$B$2)</f>
        <v>1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2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2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2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1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3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5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4</v>
      </c>
      <c r="CJ15" s="2">
        <f>COUNTIF(defects!$V:$V,Weekly_All!CJ$3&amp;Weekly_All!$B15&amp;Weekly_All!$B$3&amp;$B$2)</f>
        <v>1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2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1</v>
      </c>
      <c r="BU16" s="2">
        <f>COUNTIF(defects!$V:$V,Weekly_All!BU$3&amp;Weekly_All!$B16&amp;Weekly_All!$B$3&amp;$B$2)</f>
        <v>2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2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1</v>
      </c>
      <c r="CB16" s="2">
        <f>COUNTIF(defects!$V:$V,Weekly_All!CB$3&amp;Weekly_All!$B16&amp;Weekly_All!$B$3&amp;$B$2)</f>
        <v>2</v>
      </c>
      <c r="CC16" s="2">
        <f>COUNTIF(defects!$V:$V,Weekly_All!CC$3&amp;Weekly_All!$B16&amp;Weekly_All!$B$3&amp;$B$2)</f>
        <v>2</v>
      </c>
      <c r="CD16" s="2">
        <f>COUNTIF(defects!$V:$V,Weekly_All!CD$3&amp;Weekly_All!$B16&amp;Weekly_All!$B$3&amp;$B$2)</f>
        <v>1</v>
      </c>
      <c r="CE16" s="2">
        <f>COUNTIF(defects!$V:$V,Weekly_All!CE$3&amp;Weekly_All!$B16&amp;Weekly_All!$B$3&amp;$B$2)</f>
        <v>5</v>
      </c>
      <c r="CF16" s="2">
        <f>COUNTIF(defects!$V:$V,Weekly_All!CF$3&amp;Weekly_All!$B16&amp;Weekly_All!$B$3&amp;$B$2)</f>
        <v>4</v>
      </c>
      <c r="CG16" s="2">
        <f>COUNTIF(defects!$V:$V,Weekly_All!CG$3&amp;Weekly_All!$B16&amp;Weekly_All!$B$3&amp;$B$2)</f>
        <v>3</v>
      </c>
      <c r="CH16" s="2">
        <f>COUNTIF(defects!$V:$V,Weekly_All!CH$3&amp;Weekly_All!$B16&amp;Weekly_All!$B$3&amp;$B$2)</f>
        <v>2</v>
      </c>
      <c r="CI16" s="2">
        <f>COUNTIF(defects!$V:$V,Weekly_All!CI$3&amp;Weekly_All!$B16&amp;Weekly_All!$B$3&amp;$B$2)</f>
        <v>3</v>
      </c>
      <c r="CJ16" s="2">
        <f>COUNTIF(defects!$V:$V,Weekly_All!CJ$3&amp;Weekly_All!$B16&amp;Weekly_All!$B$3&amp;$B$2)</f>
        <v>5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2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2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1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2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2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1</v>
      </c>
      <c r="CJ18" s="2">
        <f>COUNTIF(defects!$V:$V,Weekly_All!CJ$3&amp;Weekly_All!$B18&amp;Weekly_All!$B$3&amp;$B$2)</f>
        <v>1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2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2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1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1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1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2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1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1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1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3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2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1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1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1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1</v>
      </c>
      <c r="CD22" s="2">
        <f>COUNTIF(defects!$V:$V,Weekly_All!CD$3&amp;Weekly_All!$B22&amp;Weekly_All!$B$3&amp;$B$2)</f>
        <v>2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2</v>
      </c>
      <c r="CG22" s="2">
        <f>COUNTIF(defects!$V:$V,Weekly_All!CG$3&amp;Weekly_All!$B22&amp;Weekly_All!$B$3&amp;$B$2)</f>
        <v>3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2</v>
      </c>
      <c r="CJ22" s="2">
        <f>COUNTIF(defects!$V:$V,Weekly_All!CJ$3&amp;Weekly_All!$B22&amp;Weekly_All!$B$3&amp;$B$2)</f>
        <v>2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2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1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2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2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AR21" sqref="AR21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25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Report!E2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113679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25939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3375</v>
      </c>
      <c r="AS4" s="12">
        <f>HLOOKUP(AS$3,Weekly_All!$3:$24,MATCH($B4,Weekly_All!$B$3:$B$24,0),0)</f>
        <v>9308</v>
      </c>
      <c r="AT4" s="12">
        <f>HLOOKUP(AT$3,Weekly_All!$3:$24,MATCH($B4,Weekly_All!$B$3:$B$24,0),0)</f>
        <v>13256</v>
      </c>
      <c r="AU4" s="12"/>
      <c r="AV4" s="12">
        <f>SUM(F4:AP4)</f>
        <v>113679</v>
      </c>
    </row>
    <row r="5" spans="2:48" x14ac:dyDescent="0.25">
      <c r="B5" s="12" t="s">
        <v>997</v>
      </c>
      <c r="C5" s="12">
        <f t="shared" ref="C5:D24" si="0">SUMIF($F$2:$AP$2,C$2,$F5:$AP5)</f>
        <v>145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29</v>
      </c>
      <c r="X5" s="12">
        <f t="shared" si="1"/>
        <v>45</v>
      </c>
      <c r="Y5" s="12">
        <f t="shared" si="1"/>
        <v>34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HLOOKUP(AR$3,Weekly_All!$3:$24,MATCH($B5,Weekly_All!$B$3:$B$24,0),0)</f>
        <v>5</v>
      </c>
      <c r="AS5" s="12">
        <f>HLOOKUP(AS$3,Weekly_All!$3:$24,MATCH($B5,Weekly_All!$B$3:$B$24,0),0)</f>
        <v>12</v>
      </c>
      <c r="AT5" s="12">
        <f>HLOOKUP(AT$3,Weekly_All!$3:$24,MATCH($B5,Weekly_All!$B$3:$B$24,0),0)</f>
        <v>17</v>
      </c>
      <c r="AU5" s="12"/>
      <c r="AV5" s="12">
        <f>SUM(F5:AP5)</f>
        <v>145</v>
      </c>
    </row>
    <row r="6" spans="2:48" x14ac:dyDescent="0.25">
      <c r="B6" s="12" t="s">
        <v>998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0"/>
        <v>2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2</v>
      </c>
    </row>
    <row r="8" spans="2:48" x14ac:dyDescent="0.25">
      <c r="B8" s="12" t="s">
        <v>962</v>
      </c>
      <c r="C8" s="12">
        <f t="shared" si="0"/>
        <v>13</v>
      </c>
      <c r="D8" s="12">
        <f t="shared" si="0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1</v>
      </c>
      <c r="AS8" s="12">
        <f>HLOOKUP(AS$3,Weekly_All!$3:$24,MATCH($B8,Weekly_All!$B$3:$B$24,0),0)</f>
        <v>1</v>
      </c>
      <c r="AT8" s="12">
        <f>HLOOKUP(AT$3,Weekly_All!$3:$24,MATCH($B8,Weekly_All!$B$3:$B$24,0),0)</f>
        <v>1</v>
      </c>
      <c r="AU8" s="12"/>
      <c r="AV8" s="12">
        <f t="shared" si="2"/>
        <v>13</v>
      </c>
    </row>
    <row r="9" spans="2:48" x14ac:dyDescent="0.25">
      <c r="B9" s="12" t="s">
        <v>960</v>
      </c>
      <c r="C9" s="12">
        <f t="shared" si="0"/>
        <v>2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2</v>
      </c>
    </row>
    <row r="10" spans="2:48" x14ac:dyDescent="0.25">
      <c r="B10" s="12" t="s">
        <v>961</v>
      </c>
      <c r="C10" s="12">
        <f t="shared" si="0"/>
        <v>10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1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1</v>
      </c>
      <c r="AT10" s="12">
        <f>HLOOKUP(AT$3,Weekly_All!$3:$24,MATCH($B10,Weekly_All!$B$3:$B$24,0),0)</f>
        <v>0</v>
      </c>
      <c r="AU10" s="12"/>
      <c r="AV10" s="12">
        <f t="shared" si="2"/>
        <v>10</v>
      </c>
    </row>
    <row r="11" spans="2:48" x14ac:dyDescent="0.25">
      <c r="B11" s="12" t="s">
        <v>963</v>
      </c>
      <c r="C11" s="12">
        <f t="shared" si="0"/>
        <v>2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1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1</v>
      </c>
      <c r="AU11" s="12"/>
      <c r="AV11" s="12">
        <f t="shared" si="2"/>
        <v>2</v>
      </c>
    </row>
    <row r="12" spans="2:48" x14ac:dyDescent="0.2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 x14ac:dyDescent="0.25">
      <c r="B13" s="12" t="s">
        <v>957</v>
      </c>
      <c r="C13" s="12">
        <f t="shared" si="0"/>
        <v>19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3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1</v>
      </c>
      <c r="AS13" s="12">
        <f>HLOOKUP(AS$3,Weekly_All!$3:$24,MATCH($B13,Weekly_All!$B$3:$B$24,0),0)</f>
        <v>0</v>
      </c>
      <c r="AT13" s="12">
        <f>HLOOKUP(AT$3,Weekly_All!$3:$24,MATCH($B13,Weekly_All!$B$3:$B$24,0),0)</f>
        <v>2</v>
      </c>
      <c r="AU13" s="12"/>
      <c r="AV13" s="12">
        <f t="shared" si="2"/>
        <v>19</v>
      </c>
    </row>
    <row r="14" spans="2:48" x14ac:dyDescent="0.2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 x14ac:dyDescent="0.25">
      <c r="B15" s="12" t="s">
        <v>956</v>
      </c>
      <c r="C15" s="12">
        <f t="shared" si="0"/>
        <v>21</v>
      </c>
      <c r="D15" s="12">
        <f t="shared" si="0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5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4</v>
      </c>
      <c r="AT15" s="12">
        <f>HLOOKUP(AT$3,Weekly_All!$3:$24,MATCH($B15,Weekly_All!$B$3:$B$24,0),0)</f>
        <v>1</v>
      </c>
      <c r="AU15" s="12"/>
      <c r="AV15" s="12">
        <f t="shared" si="2"/>
        <v>21</v>
      </c>
    </row>
    <row r="16" spans="2:48" x14ac:dyDescent="0.25">
      <c r="B16" s="12" t="s">
        <v>30</v>
      </c>
      <c r="C16" s="12">
        <f t="shared" si="0"/>
        <v>37</v>
      </c>
      <c r="D16" s="12">
        <f t="shared" si="0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6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10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2</v>
      </c>
      <c r="AS16" s="12">
        <f>HLOOKUP(AS$3,Weekly_All!$3:$24,MATCH($B16,Weekly_All!$B$3:$B$24,0),0)</f>
        <v>3</v>
      </c>
      <c r="AT16" s="12">
        <f>HLOOKUP(AT$3,Weekly_All!$3:$24,MATCH($B16,Weekly_All!$B$3:$B$24,0),0)</f>
        <v>5</v>
      </c>
      <c r="AU16" s="12"/>
      <c r="AV16" s="12">
        <f t="shared" si="2"/>
        <v>37</v>
      </c>
    </row>
    <row r="17" spans="2:48" x14ac:dyDescent="0.2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 x14ac:dyDescent="0.25">
      <c r="B18" s="12" t="s">
        <v>898</v>
      </c>
      <c r="C18" s="12">
        <f t="shared" si="0"/>
        <v>10</v>
      </c>
      <c r="D18" s="12">
        <f t="shared" si="0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3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1</v>
      </c>
      <c r="AS18" s="12">
        <f>HLOOKUP(AS$3,Weekly_All!$3:$24,MATCH($B18,Weekly_All!$B$3:$B$24,0),0)</f>
        <v>1</v>
      </c>
      <c r="AT18" s="12">
        <f>HLOOKUP(AT$3,Weekly_All!$3:$24,MATCH($B18,Weekly_All!$B$3:$B$24,0),0)</f>
        <v>1</v>
      </c>
      <c r="AU18" s="12"/>
      <c r="AV18" s="12">
        <f t="shared" si="2"/>
        <v>10</v>
      </c>
    </row>
    <row r="19" spans="2:48" x14ac:dyDescent="0.2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0</v>
      </c>
    </row>
    <row r="20" spans="2:48" x14ac:dyDescent="0.25">
      <c r="B20" s="12" t="s">
        <v>959</v>
      </c>
      <c r="C20" s="12">
        <f t="shared" si="0"/>
        <v>3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1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1</v>
      </c>
      <c r="AU20" s="12"/>
      <c r="AV20" s="12">
        <f t="shared" si="2"/>
        <v>3</v>
      </c>
    </row>
    <row r="21" spans="2:48" x14ac:dyDescent="0.25">
      <c r="B21" s="12" t="s">
        <v>955</v>
      </c>
      <c r="C21" s="12">
        <f t="shared" si="0"/>
        <v>7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3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3</v>
      </c>
      <c r="AU21" s="12"/>
      <c r="AV21" s="12">
        <f t="shared" si="2"/>
        <v>7</v>
      </c>
    </row>
    <row r="22" spans="2:48" x14ac:dyDescent="0.25">
      <c r="B22" s="12" t="s">
        <v>966</v>
      </c>
      <c r="C22" s="12">
        <f t="shared" si="0"/>
        <v>17</v>
      </c>
      <c r="D22" s="12">
        <f t="shared" si="0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4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2</v>
      </c>
      <c r="AT22" s="12">
        <f>HLOOKUP(AT$3,Weekly_All!$3:$24,MATCH($B22,Weekly_All!$B$3:$B$24,0),0)</f>
        <v>2</v>
      </c>
      <c r="AU22" s="12"/>
      <c r="AV22" s="12">
        <f t="shared" si="2"/>
        <v>17</v>
      </c>
    </row>
    <row r="23" spans="2:48" x14ac:dyDescent="0.25">
      <c r="B23" s="12" t="s">
        <v>958</v>
      </c>
      <c r="C23" s="12">
        <f t="shared" si="0"/>
        <v>2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2</v>
      </c>
    </row>
    <row r="24" spans="2:48" x14ac:dyDescent="0.2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" customHeight="1" x14ac:dyDescent="0.25"/>
    <row r="26" spans="2:48" x14ac:dyDescent="0.2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2131</v>
      </c>
      <c r="AS26" s="11">
        <f t="shared" si="4"/>
        <v>2132</v>
      </c>
      <c r="AT26" s="11">
        <f t="shared" si="4"/>
        <v>2133</v>
      </c>
      <c r="AU26" s="10"/>
      <c r="AV26" s="10" t="str">
        <f t="shared" si="4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5">C4</f>
        <v>113679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25939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3375</v>
      </c>
      <c r="AS28" s="11">
        <f>AS4</f>
        <v>9308</v>
      </c>
      <c r="AT28" s="11">
        <f>AT4</f>
        <v>13256</v>
      </c>
      <c r="AU28" s="11"/>
      <c r="AV28" s="11">
        <f>AV4</f>
        <v>113679</v>
      </c>
    </row>
    <row r="29" spans="2:48" x14ac:dyDescent="0.25">
      <c r="B29" s="12" t="s">
        <v>1025</v>
      </c>
      <c r="C29" s="12">
        <f t="shared" ref="C29:D29" si="7">IFERROR(ROUNDUP(C5/C$4*10^6,0),0)</f>
        <v>1276</v>
      </c>
      <c r="D29" s="12">
        <f t="shared" si="7"/>
        <v>0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1091</v>
      </c>
      <c r="X29" s="12">
        <f t="shared" si="9"/>
        <v>1737</v>
      </c>
      <c r="Y29" s="12">
        <f t="shared" si="9"/>
        <v>1311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1482</v>
      </c>
      <c r="AS29" s="12">
        <f>IFERROR(ROUNDUP(AS5/AS$4*10^6,0),0)</f>
        <v>1290</v>
      </c>
      <c r="AT29" s="12">
        <f>IFERROR(ROUNDUP(AT5/AT$4*10^6,0),0)</f>
        <v>1283</v>
      </c>
      <c r="AU29" s="12"/>
      <c r="AV29" s="12">
        <f>IFERROR(ROUNDUP(AV5/$AV$4*10^6,0),0)</f>
        <v>1276</v>
      </c>
    </row>
    <row r="30" spans="2:48" x14ac:dyDescent="0.25">
      <c r="B30" s="12" t="s">
        <v>998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ref="C31:E31" si="13">IFERROR(ROUNDUP(C7/C$4*10^6,0),0)</f>
        <v>18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18</v>
      </c>
    </row>
    <row r="32" spans="2:48" x14ac:dyDescent="0.25">
      <c r="B32" s="12" t="s">
        <v>962</v>
      </c>
      <c r="C32" s="12">
        <f t="shared" ref="C32:E32" si="15">IFERROR(ROUNDUP(C8/C$4*10^6,0),0)</f>
        <v>115</v>
      </c>
      <c r="D32" s="12">
        <f t="shared" si="15"/>
        <v>0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116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297</v>
      </c>
      <c r="AS32" s="12">
        <f t="shared" si="11"/>
        <v>108</v>
      </c>
      <c r="AT32" s="12">
        <f t="shared" si="11"/>
        <v>76</v>
      </c>
      <c r="AU32" s="12"/>
      <c r="AV32" s="12">
        <f t="shared" si="12"/>
        <v>115</v>
      </c>
    </row>
    <row r="33" spans="2:48" x14ac:dyDescent="0.25">
      <c r="B33" s="12" t="s">
        <v>960</v>
      </c>
      <c r="C33" s="12">
        <f t="shared" ref="C33:E33" si="16">IFERROR(ROUNDUP(C9/C$4*10^6,0),0)</f>
        <v>18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18</v>
      </c>
    </row>
    <row r="34" spans="2:48" x14ac:dyDescent="0.25">
      <c r="B34" s="12" t="s">
        <v>961</v>
      </c>
      <c r="C34" s="12">
        <f t="shared" ref="C34:E34" si="17">IFERROR(ROUNDUP(C10/C$4*10^6,0),0)</f>
        <v>88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39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108</v>
      </c>
      <c r="AT34" s="12">
        <f t="shared" si="11"/>
        <v>0</v>
      </c>
      <c r="AU34" s="12"/>
      <c r="AV34" s="12">
        <f t="shared" si="12"/>
        <v>88</v>
      </c>
    </row>
    <row r="35" spans="2:48" x14ac:dyDescent="0.25">
      <c r="B35" s="12" t="s">
        <v>963</v>
      </c>
      <c r="C35" s="12">
        <f t="shared" ref="C35:E35" si="18">IFERROR(ROUNDUP(C11/C$4*10^6,0),0)</f>
        <v>18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39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76</v>
      </c>
      <c r="AU35" s="12"/>
      <c r="AV35" s="12">
        <f t="shared" si="12"/>
        <v>18</v>
      </c>
    </row>
    <row r="36" spans="2:48" x14ac:dyDescent="0.25">
      <c r="B36" s="12" t="s">
        <v>999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ref="C37:E37" si="20">IFERROR(ROUNDUP(C13/C$4*10^6,0),0)</f>
        <v>168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116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297</v>
      </c>
      <c r="AS37" s="12">
        <f t="shared" si="11"/>
        <v>0</v>
      </c>
      <c r="AT37" s="12">
        <f t="shared" si="11"/>
        <v>151</v>
      </c>
      <c r="AU37" s="12"/>
      <c r="AV37" s="12">
        <f t="shared" si="12"/>
        <v>168</v>
      </c>
    </row>
    <row r="38" spans="2:48" x14ac:dyDescent="0.25">
      <c r="B38" s="12" t="s">
        <v>1000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ref="C39:E39" si="22">IFERROR(ROUNDUP(C15/C$4*10^6,0),0)</f>
        <v>185</v>
      </c>
      <c r="D39" s="12">
        <f t="shared" si="22"/>
        <v>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193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430</v>
      </c>
      <c r="AT39" s="12">
        <f t="shared" si="11"/>
        <v>76</v>
      </c>
      <c r="AU39" s="12"/>
      <c r="AV39" s="12">
        <f t="shared" si="12"/>
        <v>185</v>
      </c>
    </row>
    <row r="40" spans="2:48" x14ac:dyDescent="0.25">
      <c r="B40" s="12" t="s">
        <v>30</v>
      </c>
      <c r="C40" s="12">
        <f t="shared" ref="C40:E40" si="23">IFERROR(ROUNDUP(C16/C$4*10^6,0),0)</f>
        <v>326</v>
      </c>
      <c r="D40" s="12">
        <f t="shared" si="23"/>
        <v>0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226</v>
      </c>
      <c r="X40" s="12">
        <f t="shared" si="11"/>
        <v>502</v>
      </c>
      <c r="Y40" s="12">
        <f t="shared" si="11"/>
        <v>386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593</v>
      </c>
      <c r="AS40" s="12">
        <f t="shared" si="11"/>
        <v>323</v>
      </c>
      <c r="AT40" s="12">
        <f t="shared" si="11"/>
        <v>378</v>
      </c>
      <c r="AU40" s="12"/>
      <c r="AV40" s="12">
        <f t="shared" si="12"/>
        <v>326</v>
      </c>
    </row>
    <row r="41" spans="2:48" x14ac:dyDescent="0.25">
      <c r="B41" s="12" t="s">
        <v>1001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>
        <f t="shared" si="25"/>
        <v>0</v>
      </c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ref="C42:E42" si="26">IFERROR(ROUNDUP(C18/C$4*10^6,0),0)</f>
        <v>88</v>
      </c>
      <c r="D42" s="12">
        <f t="shared" si="26"/>
        <v>0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116</v>
      </c>
      <c r="Z42" s="12">
        <f t="shared" si="25"/>
        <v>0</v>
      </c>
      <c r="AA42" s="12">
        <f t="shared" si="25"/>
        <v>0</v>
      </c>
      <c r="AB42" s="12">
        <f t="shared" si="25"/>
        <v>0</v>
      </c>
      <c r="AC42" s="12">
        <f t="shared" si="25"/>
        <v>0</v>
      </c>
      <c r="AD42" s="12">
        <f t="shared" si="25"/>
        <v>0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>
        <f t="shared" si="25"/>
        <v>0</v>
      </c>
      <c r="AQ42" s="12">
        <f t="shared" si="25"/>
        <v>0</v>
      </c>
      <c r="AR42" s="12">
        <f t="shared" si="25"/>
        <v>297</v>
      </c>
      <c r="AS42" s="12">
        <f t="shared" si="25"/>
        <v>108</v>
      </c>
      <c r="AT42" s="12">
        <f t="shared" si="25"/>
        <v>76</v>
      </c>
      <c r="AU42" s="12"/>
      <c r="AV42" s="12">
        <f t="shared" si="12"/>
        <v>88</v>
      </c>
    </row>
    <row r="43" spans="2:48" x14ac:dyDescent="0.25">
      <c r="B43" s="12" t="s">
        <v>1002</v>
      </c>
      <c r="C43" s="12">
        <f t="shared" ref="C43:E43" si="27">IFERROR(ROUNDUP(C19/C$4*10^6,0),0)</f>
        <v>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>
        <f t="shared" si="25"/>
        <v>0</v>
      </c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ref="C44:E44" si="28">IFERROR(ROUNDUP(C20/C$4*10^6,0),0)</f>
        <v>27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39</v>
      </c>
      <c r="Z44" s="12">
        <f t="shared" si="25"/>
        <v>0</v>
      </c>
      <c r="AA44" s="12">
        <f t="shared" si="25"/>
        <v>0</v>
      </c>
      <c r="AB44" s="12">
        <f t="shared" si="25"/>
        <v>0</v>
      </c>
      <c r="AC44" s="12">
        <f t="shared" si="25"/>
        <v>0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>
        <f t="shared" si="25"/>
        <v>0</v>
      </c>
      <c r="AQ44" s="12">
        <f t="shared" si="25"/>
        <v>0</v>
      </c>
      <c r="AR44" s="12">
        <f t="shared" si="25"/>
        <v>0</v>
      </c>
      <c r="AS44" s="12">
        <f t="shared" si="25"/>
        <v>0</v>
      </c>
      <c r="AT44" s="12">
        <f t="shared" si="25"/>
        <v>76</v>
      </c>
      <c r="AU44" s="12"/>
      <c r="AV44" s="12">
        <f t="shared" si="12"/>
        <v>27</v>
      </c>
    </row>
    <row r="45" spans="2:48" x14ac:dyDescent="0.25">
      <c r="B45" s="12" t="s">
        <v>955</v>
      </c>
      <c r="C45" s="12">
        <f t="shared" ref="C45:E45" si="29">IFERROR(ROUNDUP(C21/C$4*10^6,0),0)</f>
        <v>62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116</v>
      </c>
      <c r="Z45" s="12">
        <f t="shared" si="25"/>
        <v>0</v>
      </c>
      <c r="AA45" s="12">
        <f t="shared" si="25"/>
        <v>0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>
        <f t="shared" si="25"/>
        <v>0</v>
      </c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227</v>
      </c>
      <c r="AU45" s="12"/>
      <c r="AV45" s="12">
        <f t="shared" si="12"/>
        <v>62</v>
      </c>
    </row>
    <row r="46" spans="2:48" x14ac:dyDescent="0.25">
      <c r="B46" s="12" t="s">
        <v>966</v>
      </c>
      <c r="C46" s="12">
        <f t="shared" ref="C46:E46" si="30">IFERROR(ROUNDUP(C22/C$4*10^6,0),0)</f>
        <v>150</v>
      </c>
      <c r="D46" s="12">
        <f t="shared" si="30"/>
        <v>0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155</v>
      </c>
      <c r="Z46" s="12">
        <f t="shared" si="25"/>
        <v>0</v>
      </c>
      <c r="AA46" s="12">
        <f t="shared" si="25"/>
        <v>0</v>
      </c>
      <c r="AB46" s="12">
        <f t="shared" si="25"/>
        <v>0</v>
      </c>
      <c r="AC46" s="12">
        <f t="shared" si="25"/>
        <v>0</v>
      </c>
      <c r="AD46" s="12">
        <f t="shared" si="25"/>
        <v>0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>
        <f t="shared" si="25"/>
        <v>0</v>
      </c>
      <c r="AQ46" s="12">
        <f t="shared" si="25"/>
        <v>0</v>
      </c>
      <c r="AR46" s="12">
        <f t="shared" si="25"/>
        <v>0</v>
      </c>
      <c r="AS46" s="12">
        <f t="shared" si="25"/>
        <v>215</v>
      </c>
      <c r="AT46" s="12">
        <f t="shared" si="25"/>
        <v>151</v>
      </c>
      <c r="AU46" s="12">
        <f t="shared" si="25"/>
        <v>0</v>
      </c>
      <c r="AV46" s="12">
        <f t="shared" si="12"/>
        <v>150</v>
      </c>
    </row>
    <row r="47" spans="2:48" x14ac:dyDescent="0.25">
      <c r="B47" s="12" t="s">
        <v>958</v>
      </c>
      <c r="C47" s="12">
        <f t="shared" ref="C47:E47" si="31">IFERROR(ROUNDUP(C23/C$4*10^6,0),0)</f>
        <v>18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0</v>
      </c>
      <c r="AA47" s="12">
        <f t="shared" si="25"/>
        <v>0</v>
      </c>
      <c r="AB47" s="12">
        <f t="shared" si="25"/>
        <v>0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>
        <f t="shared" si="33"/>
        <v>0</v>
      </c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18</v>
      </c>
    </row>
    <row r="48" spans="2:48" x14ac:dyDescent="0.25">
      <c r="B48" s="12" t="s">
        <v>1003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>
        <f t="shared" si="35"/>
        <v>0</v>
      </c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B1" sqref="B1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Report!D50</f>
        <v>75AR</v>
      </c>
      <c r="C1" s="3" t="str">
        <f>Report!E50</f>
        <v>F/M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x14ac:dyDescent="0.25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 x14ac:dyDescent="0.25">
      <c r="B4" s="3" t="s">
        <v>996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0</v>
      </c>
      <c r="BQ4" s="3">
        <f>SUMIF(inputs!$M:$M,BQ$3&amp;$B$3&amp;$B$1,inputs!$D:$D)</f>
        <v>0</v>
      </c>
      <c r="BR4" s="3">
        <f>SUMIF(inputs!$M:$M,BR$3&amp;$B$3&amp;$B$1,inputs!$D:$D)</f>
        <v>80</v>
      </c>
      <c r="BS4" s="3">
        <f>SUMIF(inputs!$M:$M,BS$3&amp;$B$3&amp;$B$1,inputs!$D:$D)</f>
        <v>63</v>
      </c>
      <c r="BT4" s="3">
        <f>SUMIF(inputs!$M:$M,BT$3&amp;$B$3&amp;$B$1,inputs!$D:$D)</f>
        <v>162</v>
      </c>
      <c r="BU4" s="3">
        <f>SUMIF(inputs!$M:$M,BU$3&amp;$B$3&amp;$B$1,inputs!$D:$D)</f>
        <v>1745</v>
      </c>
      <c r="BV4" s="3">
        <f>SUMIF(inputs!$M:$M,BV$3&amp;$B$3&amp;$B$1,inputs!$D:$D)</f>
        <v>47</v>
      </c>
      <c r="BW4" s="3">
        <f>SUMIF(inputs!$M:$M,BW$3&amp;$B$3&amp;$B$1,inputs!$D:$D)</f>
        <v>1566</v>
      </c>
      <c r="BX4" s="3">
        <f>SUMIF(inputs!$M:$M,BX$3&amp;$B$3&amp;$B$1,inputs!$D:$D)</f>
        <v>1922</v>
      </c>
      <c r="BY4" s="3">
        <f>SUMIF(inputs!$M:$M,BY$3&amp;$B$3&amp;$B$1,inputs!$D:$D)</f>
        <v>591</v>
      </c>
      <c r="BZ4" s="3">
        <f>SUMIF(inputs!$M:$M,BZ$3&amp;$B$3&amp;$B$1,inputs!$D:$D)</f>
        <v>2942</v>
      </c>
      <c r="CA4" s="3">
        <f>SUMIF(inputs!$M:$M,CA$3&amp;$B$3&amp;$B$1,inputs!$D:$D)</f>
        <v>894</v>
      </c>
      <c r="CB4" s="3">
        <f>SUMIF(inputs!$M:$M,CB$3&amp;$B$3&amp;$B$1,inputs!$D:$D)</f>
        <v>1160</v>
      </c>
      <c r="CC4" s="3">
        <f>SUMIF(inputs!$M:$M,CC$3&amp;$B$3&amp;$B$1,inputs!$D:$D)</f>
        <v>1888</v>
      </c>
      <c r="CD4" s="3">
        <f>SUMIF(inputs!$M:$M,CD$3&amp;$B$3&amp;$B$1,inputs!$D:$D)</f>
        <v>1493</v>
      </c>
      <c r="CE4" s="3">
        <f>SUMIF(inputs!$M:$M,CE$3&amp;$B$3&amp;$B$1,inputs!$D:$D)</f>
        <v>2338</v>
      </c>
      <c r="CF4" s="3">
        <f>SUMIF(inputs!$M:$M,CF$3&amp;$B$3&amp;$B$1,inputs!$D:$D)</f>
        <v>1235</v>
      </c>
      <c r="CG4" s="3">
        <f>SUMIF(inputs!$M:$M,CG$3&amp;$B$3&amp;$B$1,inputs!$D:$D)</f>
        <v>353</v>
      </c>
      <c r="CH4" s="3">
        <f>SUMIF(inputs!$M:$M,CH$3&amp;$B$3&amp;$B$1,inputs!$D:$D)</f>
        <v>977</v>
      </c>
      <c r="CI4" s="3">
        <f>SUMIF(inputs!$M:$M,CI$3&amp;$B$3&amp;$B$1,inputs!$D:$D)</f>
        <v>1700</v>
      </c>
      <c r="CJ4" s="3">
        <f>SUMIF(inputs!$M:$M,CJ$3&amp;$B$3&amp;$B$1,inputs!$D:$D)</f>
        <v>2645</v>
      </c>
      <c r="CK4" s="3">
        <f>SUMIF(inputs!$M:$M,CK$3&amp;$B$3&amp;$B$1,inputs!$D:$D)</f>
        <v>0</v>
      </c>
      <c r="CL4" s="3">
        <f>SUMIF(inputs!$M:$M,CL$3&amp;$B$3&amp;$B$1,inputs!$D:$D)</f>
        <v>0</v>
      </c>
      <c r="CM4" s="3">
        <f>SUMIF(inputs!$M:$M,CM$3&amp;$B$3&amp;$B$1,inputs!$D:$D)</f>
        <v>0</v>
      </c>
      <c r="CN4" s="3">
        <f>SUMIF(inputs!$M:$M,CN$3&amp;$B$3&amp;$B$1,inputs!$D:$D)</f>
        <v>0</v>
      </c>
      <c r="CO4" s="3">
        <f>SUMIF(inputs!$M:$M,CO$3&amp;$B$3&amp;$B$1,inputs!$D:$D)</f>
        <v>0</v>
      </c>
      <c r="CP4" s="3">
        <f>SUMIF(inputs!$M:$M,CP$3&amp;$B$3&amp;$B$1,inputs!$D:$D)</f>
        <v>0</v>
      </c>
      <c r="CQ4" s="3">
        <f>SUMIF(inputs!$M:$M,CQ$3&amp;$B$3&amp;$B$1,inputs!$D:$D)</f>
        <v>0</v>
      </c>
      <c r="CR4" s="3">
        <f>SUMIF(inputs!$M:$M,CR$3&amp;$B$3&amp;$B$1,inputs!$D:$D)</f>
        <v>0</v>
      </c>
      <c r="CS4" s="3">
        <f>SUMIF(inputs!$M:$M,CS$3&amp;$B$3&amp;$B$1,inputs!$D:$D)</f>
        <v>0</v>
      </c>
      <c r="CT4" s="3">
        <f>SUMIF(inputs!$M:$M,CT$3&amp;$B$3&amp;$B$1,inputs!$D:$D)</f>
        <v>0</v>
      </c>
      <c r="CU4" s="3">
        <f>SUMIF(inputs!$M:$M,CU$3&amp;$B$3&amp;$B$1,inputs!$D:$D)</f>
        <v>0</v>
      </c>
      <c r="CV4" s="3">
        <f>SUMIF(inputs!$M:$M,CV$3&amp;$B$3&amp;$B$1,inputs!$D:$D)</f>
        <v>0</v>
      </c>
      <c r="CW4" s="3">
        <f>SUMIF(inputs!$M:$M,CW$3&amp;$B$3&amp;$B$1,inputs!$D:$D)</f>
        <v>0</v>
      </c>
      <c r="CX4" s="3">
        <f>SUMIF(inputs!$M:$M,CX$3&amp;$B$3&amp;$B$1,inputs!$D:$D)</f>
        <v>0</v>
      </c>
      <c r="CY4" s="3">
        <f>SUMIF(inputs!$M:$M,CY$3&amp;$B$3&amp;$B$1,inputs!$D:$D)</f>
        <v>0</v>
      </c>
      <c r="CZ4" s="3">
        <f>SUMIF(inputs!$M:$M,CZ$3&amp;$B$3&amp;$B$1,inputs!$D:$D)</f>
        <v>0</v>
      </c>
      <c r="DA4" s="3">
        <f>SUMIF(inputs!$M:$M,DA$3&amp;$B$3&amp;$B$1,inputs!$D:$D)</f>
        <v>0</v>
      </c>
      <c r="DB4" s="3">
        <f>SUMIF(inputs!$M:$M,DB$3&amp;$B$3&amp;$B$1,inputs!$D:$D)</f>
        <v>0</v>
      </c>
      <c r="DC4" s="3">
        <f>SUMIF(inputs!$M:$M,DC$3&amp;$B$3&amp;$B$1,inputs!$D:$D)</f>
        <v>0</v>
      </c>
      <c r="DD4" s="3">
        <f>SUMIF(inputs!$M:$M,DD$3&amp;$B$3&amp;$B$1,inputs!$D:$D)</f>
        <v>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 x14ac:dyDescent="0.25">
      <c r="B5" s="3" t="s">
        <v>997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1</v>
      </c>
      <c r="BV5" s="3">
        <f t="shared" si="2"/>
        <v>0</v>
      </c>
      <c r="BW5" s="3">
        <f t="shared" si="2"/>
        <v>1</v>
      </c>
      <c r="BX5" s="3">
        <f t="shared" si="2"/>
        <v>0</v>
      </c>
      <c r="BY5" s="3">
        <f t="shared" si="2"/>
        <v>0</v>
      </c>
      <c r="BZ5" s="3">
        <f t="shared" si="2"/>
        <v>0</v>
      </c>
      <c r="CA5" s="3">
        <f t="shared" si="2"/>
        <v>0</v>
      </c>
      <c r="CB5" s="3">
        <f t="shared" si="2"/>
        <v>0</v>
      </c>
      <c r="CC5" s="3">
        <f t="shared" si="2"/>
        <v>0</v>
      </c>
      <c r="CD5" s="3">
        <f t="shared" si="2"/>
        <v>1</v>
      </c>
      <c r="CE5" s="3">
        <f t="shared" si="2"/>
        <v>0</v>
      </c>
      <c r="CF5" s="3">
        <f t="shared" si="2"/>
        <v>0</v>
      </c>
      <c r="CG5" s="3">
        <f t="shared" si="2"/>
        <v>0</v>
      </c>
      <c r="CH5" s="3">
        <f t="shared" si="2"/>
        <v>1</v>
      </c>
      <c r="CI5" s="3">
        <f t="shared" si="2"/>
        <v>0</v>
      </c>
      <c r="CJ5" s="3">
        <f t="shared" si="2"/>
        <v>2</v>
      </c>
      <c r="CK5" s="3">
        <f t="shared" si="2"/>
        <v>0</v>
      </c>
      <c r="CL5" s="3">
        <f t="shared" si="2"/>
        <v>0</v>
      </c>
      <c r="CM5" s="3">
        <f t="shared" si="2"/>
        <v>0</v>
      </c>
      <c r="CN5" s="3">
        <f t="shared" si="2"/>
        <v>0</v>
      </c>
      <c r="CO5" s="3">
        <f t="shared" si="2"/>
        <v>0</v>
      </c>
      <c r="CP5" s="3">
        <f t="shared" si="2"/>
        <v>0</v>
      </c>
      <c r="CQ5" s="3">
        <f t="shared" si="2"/>
        <v>0</v>
      </c>
      <c r="CR5" s="3">
        <f t="shared" si="2"/>
        <v>0</v>
      </c>
      <c r="CS5" s="3">
        <f t="shared" si="2"/>
        <v>0</v>
      </c>
      <c r="CT5" s="3">
        <f t="shared" si="2"/>
        <v>0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F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 x14ac:dyDescent="0.25">
      <c r="B6" t="s">
        <v>26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 x14ac:dyDescent="0.25">
      <c r="B7" t="s">
        <v>29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 x14ac:dyDescent="0.25">
      <c r="B8" t="s">
        <v>27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 x14ac:dyDescent="0.25">
      <c r="B9" t="s">
        <v>28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1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1</v>
      </c>
      <c r="CE9" s="3">
        <f>COUNTIF(defects!$Z:$Z,CE$3&amp;$C$1&amp;$B$3&amp;$B$2&amp;$B9&amp;$B$1)</f>
        <v>0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0</v>
      </c>
      <c r="CJ9" s="3">
        <f>COUNTIF(defects!$Z:$Z,CJ$3&amp;$C$1&amp;$B$3&amp;$B$2&amp;$B9&amp;$B$1)</f>
        <v>2</v>
      </c>
      <c r="CK9" s="3">
        <f>COUNTIF(defects!$Z:$Z,CK$3&amp;$C$1&amp;$B$3&amp;$B$2&amp;$B9&amp;$B$1)</f>
        <v>0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0</v>
      </c>
      <c r="CO9" s="3">
        <f>COUNTIF(defects!$Z:$Z,CO$3&amp;$C$1&amp;$B$3&amp;$B$2&amp;$B9&amp;$B$1)</f>
        <v>0</v>
      </c>
      <c r="CP9" s="3">
        <f>COUNTIF(defects!$Z:$Z,CP$3&amp;$C$1&amp;$B$3&amp;$B$2&amp;$B9&amp;$B$1)</f>
        <v>0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0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 x14ac:dyDescent="0.25">
      <c r="B10" t="s">
        <v>972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1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0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0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1</v>
      </c>
      <c r="CI10" s="3">
        <f>COUNTIF(defects!$Z:$Z,CI$3&amp;$C$1&amp;$B$3&amp;$B$2&amp;$B10&amp;$B$1)</f>
        <v>0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P1" zoomScale="85" zoomScaleNormal="85" workbookViewId="0">
      <selection activeCell="AM26" sqref="AM26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Report!D50</f>
        <v>75AR</v>
      </c>
      <c r="C1" s="3" t="str">
        <f>Report!E50</f>
        <v>F/M</v>
      </c>
    </row>
    <row r="2" spans="2:48" x14ac:dyDescent="0.25">
      <c r="B2" s="25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25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31">
        <f>AS3-1</f>
        <v>2131</v>
      </c>
      <c r="AS3" s="31">
        <f>AT3-1</f>
        <v>2132</v>
      </c>
      <c r="AT3" s="32">
        <f>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 t="shared" ref="C4:D6" si="0">SUMIF($F$2:$AP$2,C$2,$F4:$AP4)</f>
        <v>23801</v>
      </c>
      <c r="D4" s="12">
        <f t="shared" si="0"/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5322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HLOOKUP(AR$3,Weekly_PmodClassify!$3:$6,MATCH($B4,Weekly_PmodClassify!$B$3:$B$6,0),0)</f>
        <v>977</v>
      </c>
      <c r="AS4" s="12">
        <f>HLOOKUP(AS$3,Weekly_PmodClassify!$3:$6,MATCH($B4,Weekly_PmodClassify!$B$3:$B$6,0),0)</f>
        <v>1700</v>
      </c>
      <c r="AT4" s="12">
        <f>HLOOKUP(AT$3,Weekly_PmodClassify!$3:$6,MATCH($B4,Weekly_PmodClassify!$B$3:$B$6,0),0)</f>
        <v>2645</v>
      </c>
      <c r="AU4" s="12"/>
      <c r="AV4" s="12">
        <f t="shared" ref="AV4:AV10" si="1">SUM(F4:AP4)</f>
        <v>23801</v>
      </c>
    </row>
    <row r="5" spans="2:48" x14ac:dyDescent="0.25">
      <c r="B5" s="12" t="s">
        <v>997</v>
      </c>
      <c r="C5" s="12">
        <f t="shared" si="0"/>
        <v>6</v>
      </c>
      <c r="D5" s="12">
        <f t="shared" si="0"/>
        <v>0</v>
      </c>
      <c r="E5" s="12"/>
      <c r="F5" s="12">
        <f t="shared" ref="F5:AP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0</v>
      </c>
      <c r="X5" s="12">
        <f t="shared" si="2"/>
        <v>1</v>
      </c>
      <c r="Y5" s="12">
        <f t="shared" si="2"/>
        <v>3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HLOOKUP(AR$3,Weekly_PmodClassify!$3:$6,MATCH($B5,Weekly_PmodClassify!$B$3:$B$6,0),0)</f>
        <v>1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2</v>
      </c>
      <c r="AU5" s="12"/>
      <c r="AV5" s="12">
        <f t="shared" si="1"/>
        <v>6</v>
      </c>
    </row>
    <row r="6" spans="2:48" x14ac:dyDescent="0.25">
      <c r="B6" s="12" t="s">
        <v>26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>
        <f>COUNTIF(defects!$AA:$AA,$C$1&amp;$B$3&amp;$B$2&amp;AP$3&amp;$B6&amp;$B$1)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 x14ac:dyDescent="0.25">
      <c r="B7" s="12" t="s">
        <v>29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>
        <f>COUNTIF(defects!$AA:$AA,$C$1&amp;$B$3&amp;$B$2&amp;AP$3&amp;$B7&amp;$B$1)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 x14ac:dyDescent="0.25">
      <c r="B8" s="12" t="s">
        <v>27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>
        <f>COUNTIF(defects!$AA:$AA,$C$1&amp;$B$3&amp;$B$2&amp;AP$3&amp;$B8&amp;$B$1)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 x14ac:dyDescent="0.25">
      <c r="B9" s="12" t="s">
        <v>28</v>
      </c>
      <c r="C9" s="12">
        <f t="shared" si="3"/>
        <v>4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1</v>
      </c>
      <c r="W9" s="12">
        <f>COUNTIF(defects!$AA:$AA,$C$1&amp;$B$3&amp;$B$2&amp;W$3&amp;$B9&amp;$B$1)</f>
        <v>0</v>
      </c>
      <c r="X9" s="12">
        <f>COUNTIF(defects!$AA:$AA,$C$1&amp;$B$3&amp;$B$2&amp;X$3&amp;$B9&amp;$B$1)</f>
        <v>1</v>
      </c>
      <c r="Y9" s="12">
        <f>COUNTIF(defects!$AA:$AA,$C$1&amp;$B$3&amp;$B$2&amp;Y$3&amp;$B9&amp;$B$1)</f>
        <v>2</v>
      </c>
      <c r="Z9" s="12">
        <f>COUNTIF(defects!$AA:$AA,$C$1&amp;$B$3&amp;$B$2&amp;Z$3&amp;$B9&amp;$B$1)</f>
        <v>0</v>
      </c>
      <c r="AA9" s="12">
        <f>COUNTIF(defects!$AA:$AA,$C$1&amp;$B$3&amp;$B$2&amp;AA$3&amp;$B9&amp;$B$1)</f>
        <v>0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>
        <f>COUNTIF(defects!$AA:$AA,$C$1&amp;$B$3&amp;$B$2&amp;AP$3&amp;$B9&amp;$B$1)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2</v>
      </c>
      <c r="AU9" s="12"/>
      <c r="AV9" s="12">
        <f t="shared" si="1"/>
        <v>4</v>
      </c>
    </row>
    <row r="10" spans="2:48" x14ac:dyDescent="0.25">
      <c r="B10" s="12" t="s">
        <v>972</v>
      </c>
      <c r="C10" s="12">
        <f t="shared" si="3"/>
        <v>2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1</v>
      </c>
      <c r="W10" s="12">
        <f>COUNTIF(defects!$AA:$AA,$C$1&amp;$B$3&amp;$B$2&amp;W$3&amp;$B10&amp;$B$1)</f>
        <v>0</v>
      </c>
      <c r="X10" s="12">
        <f>COUNTIF(defects!$AA:$AA,$C$1&amp;$B$3&amp;$B$2&amp;X$3&amp;$B10&amp;$B$1)</f>
        <v>0</v>
      </c>
      <c r="Y10" s="12">
        <f>COUNTIF(defects!$AA:$AA,$C$1&amp;$B$3&amp;$B$2&amp;Y$3&amp;$B10&amp;$B$1)</f>
        <v>1</v>
      </c>
      <c r="Z10" s="12">
        <f>COUNTIF(defects!$AA:$AA,$C$1&amp;$B$3&amp;$B$2&amp;Z$3&amp;$B10&amp;$B$1)</f>
        <v>0</v>
      </c>
      <c r="AA10" s="12">
        <f>COUNTIF(defects!$AA:$AA,$C$1&amp;$B$3&amp;$B$2&amp;AA$3&amp;$B10&amp;$B$1)</f>
        <v>0</v>
      </c>
      <c r="AB10" s="12">
        <f>COUNTIF(defects!$AA:$AA,$C$1&amp;$B$3&amp;$B$2&amp;AB$3&amp;$B10&amp;$B$1)</f>
        <v>0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>
        <f>COUNTIF(defects!$AA:$AA,$C$1&amp;$B$3&amp;$B$2&amp;AP$3&amp;$B10&amp;$B$1)</f>
        <v>0</v>
      </c>
      <c r="AQ10" s="12"/>
      <c r="AR10" s="12">
        <f>HLOOKUP(AR$3,Weekly_PmodClassify!$3:$10,MATCH($B10,Weekly_PmodClassify!$B$3:$B$10,0),0)</f>
        <v>1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2</v>
      </c>
    </row>
    <row r="11" spans="2:48" ht="14.1" customHeight="1" x14ac:dyDescent="0.25"/>
    <row r="12" spans="2:48" x14ac:dyDescent="0.25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P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 t="str">
        <f t="shared" si="4"/>
        <v>23 Jan</v>
      </c>
      <c r="AQ12" s="10"/>
      <c r="AR12" s="31">
        <f>AR3</f>
        <v>2131</v>
      </c>
      <c r="AS12" s="31">
        <f>AS3</f>
        <v>2132</v>
      </c>
      <c r="AT12" s="31">
        <f>AT3</f>
        <v>2133</v>
      </c>
      <c r="AU12" s="10"/>
      <c r="AV12" s="10" t="str">
        <f>AV3</f>
        <v>TTL</v>
      </c>
    </row>
    <row r="13" spans="2:48" x14ac:dyDescent="0.25">
      <c r="B13" s="12" t="s">
        <v>1021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 x14ac:dyDescent="0.25">
      <c r="B14" s="12" t="s">
        <v>996</v>
      </c>
      <c r="C14" s="31">
        <f>C4</f>
        <v>23801</v>
      </c>
      <c r="D14" s="31">
        <f>D4</f>
        <v>0</v>
      </c>
      <c r="E14" s="31"/>
      <c r="F14" s="31">
        <f t="shared" ref="F14:AP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305</v>
      </c>
      <c r="V14" s="31">
        <f t="shared" si="5"/>
        <v>5871</v>
      </c>
      <c r="W14" s="31">
        <f t="shared" si="5"/>
        <v>6884</v>
      </c>
      <c r="X14" s="31">
        <f t="shared" si="5"/>
        <v>5419</v>
      </c>
      <c r="Y14" s="31">
        <f t="shared" si="5"/>
        <v>5322</v>
      </c>
      <c r="Z14" s="31">
        <f t="shared" si="5"/>
        <v>0</v>
      </c>
      <c r="AA14" s="31">
        <f t="shared" si="5"/>
        <v>0</v>
      </c>
      <c r="AB14" s="31">
        <f t="shared" si="5"/>
        <v>0</v>
      </c>
      <c r="AC14" s="31">
        <f t="shared" si="5"/>
        <v>0</v>
      </c>
      <c r="AD14" s="31">
        <f t="shared" si="5"/>
        <v>0</v>
      </c>
      <c r="AE14" s="31">
        <f t="shared" si="5"/>
        <v>0</v>
      </c>
      <c r="AF14" s="31">
        <f t="shared" si="5"/>
        <v>0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>
        <f t="shared" si="5"/>
        <v>0</v>
      </c>
      <c r="AQ14" s="31"/>
      <c r="AR14" s="31">
        <f>AR4</f>
        <v>977</v>
      </c>
      <c r="AS14" s="31">
        <f>AS4</f>
        <v>1700</v>
      </c>
      <c r="AT14" s="31">
        <f>AT4</f>
        <v>2645</v>
      </c>
      <c r="AU14" s="31"/>
      <c r="AV14" s="31">
        <f>AV4</f>
        <v>23801</v>
      </c>
    </row>
    <row r="15" spans="2:48" x14ac:dyDescent="0.25">
      <c r="B15" s="12" t="s">
        <v>1025</v>
      </c>
      <c r="C15" s="12">
        <f t="shared" ref="C15:AV15" si="6">IFERROR(ROUNDUP(C5/C$4*10^6,0),0)</f>
        <v>253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341</v>
      </c>
      <c r="W15" s="12">
        <f t="shared" si="6"/>
        <v>0</v>
      </c>
      <c r="X15" s="12">
        <f t="shared" si="6"/>
        <v>185</v>
      </c>
      <c r="Y15" s="12">
        <f t="shared" si="6"/>
        <v>564</v>
      </c>
      <c r="Z15" s="12">
        <f t="shared" si="6"/>
        <v>0</v>
      </c>
      <c r="AA15" s="12">
        <f t="shared" si="6"/>
        <v>0</v>
      </c>
      <c r="AB15" s="12">
        <f t="shared" si="6"/>
        <v>0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>
        <f t="shared" si="6"/>
        <v>0</v>
      </c>
      <c r="AQ15" s="12">
        <f t="shared" si="6"/>
        <v>0</v>
      </c>
      <c r="AR15" s="12">
        <f t="shared" si="6"/>
        <v>1024</v>
      </c>
      <c r="AS15" s="12">
        <f t="shared" si="6"/>
        <v>0</v>
      </c>
      <c r="AT15" s="12">
        <f t="shared" si="6"/>
        <v>757</v>
      </c>
      <c r="AU15" s="12">
        <f t="shared" si="6"/>
        <v>0</v>
      </c>
      <c r="AV15" s="12">
        <f t="shared" si="6"/>
        <v>253</v>
      </c>
    </row>
    <row r="16" spans="2:48" x14ac:dyDescent="0.25">
      <c r="B16" s="12" t="s">
        <v>26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>
        <f t="shared" si="7"/>
        <v>0</v>
      </c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 x14ac:dyDescent="0.25">
      <c r="B17" s="12" t="s">
        <v>29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>
        <f t="shared" si="8"/>
        <v>0</v>
      </c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 x14ac:dyDescent="0.25">
      <c r="B18" s="12" t="s">
        <v>27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>
        <f t="shared" si="9"/>
        <v>0</v>
      </c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 x14ac:dyDescent="0.25">
      <c r="B19" s="12" t="s">
        <v>28</v>
      </c>
      <c r="C19" s="12">
        <f t="shared" ref="C19:AV19" si="10">IFERROR(ROUNDUP(C9/C$4*10^6,0),0)</f>
        <v>169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171</v>
      </c>
      <c r="W19" s="12">
        <f t="shared" si="10"/>
        <v>0</v>
      </c>
      <c r="X19" s="12">
        <f t="shared" si="10"/>
        <v>185</v>
      </c>
      <c r="Y19" s="12">
        <f t="shared" si="10"/>
        <v>376</v>
      </c>
      <c r="Z19" s="12">
        <f t="shared" si="10"/>
        <v>0</v>
      </c>
      <c r="AA19" s="12">
        <f t="shared" si="10"/>
        <v>0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>
        <f t="shared" si="10"/>
        <v>0</v>
      </c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757</v>
      </c>
      <c r="AU19" s="12">
        <f t="shared" si="10"/>
        <v>0</v>
      </c>
      <c r="AV19" s="12">
        <f t="shared" si="10"/>
        <v>169</v>
      </c>
    </row>
    <row r="20" spans="2:48" x14ac:dyDescent="0.25">
      <c r="B20" s="12" t="s">
        <v>972</v>
      </c>
      <c r="C20" s="12">
        <f t="shared" ref="C20:AV20" si="11">IFERROR(ROUNDUP(C10/C$4*10^6,0),0)</f>
        <v>85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171</v>
      </c>
      <c r="W20" s="12">
        <f t="shared" si="11"/>
        <v>0</v>
      </c>
      <c r="X20" s="12">
        <f t="shared" si="11"/>
        <v>0</v>
      </c>
      <c r="Y20" s="12">
        <f t="shared" si="11"/>
        <v>188</v>
      </c>
      <c r="Z20" s="12">
        <f t="shared" si="11"/>
        <v>0</v>
      </c>
      <c r="AA20" s="12">
        <f t="shared" si="11"/>
        <v>0</v>
      </c>
      <c r="AB20" s="12">
        <f t="shared" si="11"/>
        <v>0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>
        <f t="shared" si="11"/>
        <v>0</v>
      </c>
      <c r="AQ20" s="12">
        <f t="shared" si="11"/>
        <v>0</v>
      </c>
      <c r="AR20" s="12">
        <f t="shared" si="11"/>
        <v>1024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85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Normal="100" workbookViewId="0">
      <selection activeCell="R52" sqref="R52"/>
    </sheetView>
  </sheetViews>
  <sheetFormatPr defaultRowHeight="15" x14ac:dyDescent="0.25"/>
  <cols>
    <col min="1" max="1" width="2.85546875" customWidth="1"/>
    <col min="2" max="2" width="9.5703125" customWidth="1"/>
    <col min="12" max="12" width="8.7109375" customWidth="1"/>
  </cols>
  <sheetData>
    <row r="1" spans="1:15" x14ac:dyDescent="0.25">
      <c r="A1" s="8" t="str">
        <f>D2&amp; " WW Pmod SMLD"</f>
        <v>FY21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25">
      <c r="D2" s="20" t="s">
        <v>967</v>
      </c>
      <c r="E2" s="21">
        <v>2133</v>
      </c>
      <c r="M2" s="20" t="s">
        <v>967</v>
      </c>
      <c r="N2" s="21">
        <v>2133</v>
      </c>
      <c r="O2" s="21" t="s">
        <v>55</v>
      </c>
    </row>
    <row r="3" spans="1:15" x14ac:dyDescent="0.25">
      <c r="B3" s="15"/>
      <c r="C3" s="2"/>
    </row>
    <row r="25" spans="2:16" x14ac:dyDescent="0.2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25">
      <c r="B26" s="20" t="s">
        <v>967</v>
      </c>
      <c r="C26" s="21">
        <v>2133</v>
      </c>
      <c r="D26" s="21" t="s">
        <v>28</v>
      </c>
      <c r="M26" s="20" t="s">
        <v>967</v>
      </c>
      <c r="N26" s="21">
        <v>2133</v>
      </c>
      <c r="O26" s="21" t="s">
        <v>972</v>
      </c>
      <c r="P26" s="21" t="s">
        <v>58</v>
      </c>
    </row>
    <row r="49" spans="2:5" x14ac:dyDescent="0.25">
      <c r="B49" s="18" t="s">
        <v>1026</v>
      </c>
      <c r="C49" s="19" t="s">
        <v>1027</v>
      </c>
      <c r="D49" s="19" t="s">
        <v>1663</v>
      </c>
      <c r="E49" s="30" t="s">
        <v>19</v>
      </c>
    </row>
    <row r="50" spans="2:5" x14ac:dyDescent="0.25">
      <c r="B50" s="20" t="s">
        <v>967</v>
      </c>
      <c r="C50" s="21">
        <v>2133</v>
      </c>
      <c r="D50" s="21" t="s">
        <v>55</v>
      </c>
      <c r="E50" s="21" t="s">
        <v>957</v>
      </c>
    </row>
  </sheetData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E12" sqref="E12"/>
    </sheetView>
  </sheetViews>
  <sheetFormatPr defaultRowHeight="15" x14ac:dyDescent="0.25"/>
  <cols>
    <col min="4" max="4" width="9.5703125" bestFit="1" customWidth="1"/>
  </cols>
  <sheetData>
    <row r="1" spans="1:4" x14ac:dyDescent="0.25">
      <c r="A1" t="s">
        <v>1026</v>
      </c>
      <c r="B1" t="s">
        <v>1663</v>
      </c>
      <c r="C1" t="s">
        <v>6</v>
      </c>
      <c r="D1" t="s">
        <v>19</v>
      </c>
    </row>
    <row r="2" spans="1:4" x14ac:dyDescent="0.25">
      <c r="A2" t="s">
        <v>968</v>
      </c>
      <c r="B2" s="26" t="s">
        <v>1029</v>
      </c>
      <c r="C2" t="s">
        <v>26</v>
      </c>
      <c r="D2" s="2" t="s">
        <v>998</v>
      </c>
    </row>
    <row r="3" spans="1:4" x14ac:dyDescent="0.25">
      <c r="A3" t="s">
        <v>967</v>
      </c>
      <c r="B3" s="26" t="s">
        <v>60</v>
      </c>
      <c r="C3" t="s">
        <v>29</v>
      </c>
      <c r="D3" s="2" t="s">
        <v>964</v>
      </c>
    </row>
    <row r="4" spans="1:4" x14ac:dyDescent="0.25">
      <c r="A4" t="s">
        <v>1032</v>
      </c>
      <c r="B4" s="26" t="s">
        <v>71</v>
      </c>
      <c r="C4" t="s">
        <v>27</v>
      </c>
      <c r="D4" s="2" t="s">
        <v>962</v>
      </c>
    </row>
    <row r="5" spans="1:4" x14ac:dyDescent="0.25">
      <c r="B5" s="26" t="s">
        <v>63</v>
      </c>
      <c r="C5" t="s">
        <v>28</v>
      </c>
      <c r="D5" s="2" t="s">
        <v>960</v>
      </c>
    </row>
    <row r="6" spans="1:4" x14ac:dyDescent="0.25">
      <c r="B6" s="26" t="s">
        <v>58</v>
      </c>
      <c r="C6" t="s">
        <v>972</v>
      </c>
      <c r="D6" s="2" t="s">
        <v>961</v>
      </c>
    </row>
    <row r="7" spans="1:4" x14ac:dyDescent="0.25">
      <c r="B7" s="26" t="s">
        <v>54</v>
      </c>
      <c r="D7" s="2" t="s">
        <v>963</v>
      </c>
    </row>
    <row r="8" spans="1:4" x14ac:dyDescent="0.25">
      <c r="B8" s="26" t="s">
        <v>56</v>
      </c>
      <c r="D8" s="2" t="s">
        <v>999</v>
      </c>
    </row>
    <row r="9" spans="1:4" x14ac:dyDescent="0.25">
      <c r="B9" s="26" t="s">
        <v>55</v>
      </c>
      <c r="D9" s="2" t="s">
        <v>957</v>
      </c>
    </row>
    <row r="10" spans="1:4" x14ac:dyDescent="0.25">
      <c r="B10" s="26" t="s">
        <v>68</v>
      </c>
      <c r="D10" s="2" t="s">
        <v>1000</v>
      </c>
    </row>
    <row r="11" spans="1:4" x14ac:dyDescent="0.25">
      <c r="B11" s="26" t="s">
        <v>62</v>
      </c>
      <c r="D11" s="2" t="s">
        <v>956</v>
      </c>
    </row>
    <row r="12" spans="1:4" x14ac:dyDescent="0.25">
      <c r="B12" s="26" t="s">
        <v>72</v>
      </c>
      <c r="D12" s="2" t="s">
        <v>30</v>
      </c>
    </row>
    <row r="13" spans="1:4" x14ac:dyDescent="0.25">
      <c r="B13" s="26" t="s">
        <v>61</v>
      </c>
      <c r="D13" s="2" t="s">
        <v>1001</v>
      </c>
    </row>
    <row r="14" spans="1:4" x14ac:dyDescent="0.25">
      <c r="B14" s="26" t="s">
        <v>64</v>
      </c>
      <c r="D14" s="2" t="s">
        <v>898</v>
      </c>
    </row>
    <row r="15" spans="1:4" x14ac:dyDescent="0.25">
      <c r="B15" s="26" t="s">
        <v>67</v>
      </c>
      <c r="D15" s="3" t="s">
        <v>1002</v>
      </c>
    </row>
    <row r="16" spans="1:4" x14ac:dyDescent="0.25">
      <c r="B16" s="26" t="s">
        <v>69</v>
      </c>
      <c r="D16" s="3" t="s">
        <v>959</v>
      </c>
    </row>
    <row r="17" spans="2:4" x14ac:dyDescent="0.25">
      <c r="B17" s="26" t="s">
        <v>57</v>
      </c>
      <c r="D17" s="3" t="s">
        <v>955</v>
      </c>
    </row>
    <row r="18" spans="2:4" x14ac:dyDescent="0.25">
      <c r="B18" s="26" t="s">
        <v>70</v>
      </c>
      <c r="D18" s="3" t="s">
        <v>966</v>
      </c>
    </row>
    <row r="19" spans="2:4" x14ac:dyDescent="0.25">
      <c r="B19" s="26" t="s">
        <v>59</v>
      </c>
      <c r="D19" s="3" t="s">
        <v>958</v>
      </c>
    </row>
    <row r="20" spans="2:4" x14ac:dyDescent="0.25">
      <c r="B20" s="26" t="s">
        <v>66</v>
      </c>
      <c r="D20" s="3" t="s">
        <v>1003</v>
      </c>
    </row>
    <row r="21" spans="2:4" x14ac:dyDescent="0.25">
      <c r="B21" s="26" t="s">
        <v>65</v>
      </c>
    </row>
    <row r="22" spans="2:4" x14ac:dyDescent="0.25">
      <c r="B22" s="26" t="s">
        <v>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Aurora_Boreas</cp:lastModifiedBy>
  <dcterms:created xsi:type="dcterms:W3CDTF">2021-08-24T04:46:18Z</dcterms:created>
  <dcterms:modified xsi:type="dcterms:W3CDTF">2021-08-29T02:11:14Z</dcterms:modified>
</cp:coreProperties>
</file>