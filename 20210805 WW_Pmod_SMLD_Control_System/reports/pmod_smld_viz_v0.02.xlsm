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j_00_codelib\2019_pypj\20210805 QA_weekly_report\reports\"/>
    </mc:Choice>
  </mc:AlternateContent>
  <xr:revisionPtr revIDLastSave="0" documentId="13_ncr:1_{3B2CC856-27A7-461D-ADBB-33B6DD9DA97E}" xr6:coauthVersionLast="34" xr6:coauthVersionMax="34" xr10:uidLastSave="{00000000-0000-0000-0000-000000000000}"/>
  <bookViews>
    <workbookView xWindow="240" yWindow="20" windowWidth="16100" windowHeight="9660" activeTab="4" xr2:uid="{00000000-000D-0000-FFFF-FFFF00000000}"/>
  </bookViews>
  <sheets>
    <sheet name="defects" sheetId="1" r:id="rId1"/>
    <sheet name="inputs" sheetId="2" r:id="rId2"/>
    <sheet name="Weekly" sheetId="7" state="hidden" r:id="rId3"/>
    <sheet name="Monthly_FY" sheetId="8" state="hidden" r:id="rId4"/>
    <sheet name="Report" sheetId="5" r:id="rId5"/>
    <sheet name="Ref" sheetId="4" r:id="rId6"/>
  </sheets>
  <functionGroups builtInGroupCount="19"/>
  <definedNames>
    <definedName name="_xlnm._FilterDatabase" localSheetId="0" hidden="1">defects!$A$1:$X$697</definedName>
    <definedName name="_xlnm._FilterDatabase" localSheetId="1" hidden="1">inputs!$A$1:$H$996</definedName>
  </definedNames>
  <calcPr calcId="179021"/>
</workbook>
</file>

<file path=xl/calcChain.xml><?xml version="1.0" encoding="utf-8"?>
<calcChain xmlns="http://schemas.openxmlformats.org/spreadsheetml/2006/main">
  <c r="AP1" i="8" l="1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F1" i="8"/>
  <c r="A1" i="5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2" i="2"/>
  <c r="B2" i="8"/>
  <c r="AI3" i="8" s="1"/>
  <c r="AT2" i="8"/>
  <c r="AS2" i="8" s="1"/>
  <c r="AR2" i="8" s="1"/>
  <c r="B3" i="7"/>
  <c r="C7" i="7" s="1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R3" i="8" l="1"/>
  <c r="C1" i="8"/>
  <c r="C2" i="8" s="1"/>
  <c r="C25" i="8" s="1"/>
  <c r="D1" i="8"/>
  <c r="D2" i="8" s="1"/>
  <c r="D25" i="8" s="1"/>
  <c r="M3" i="8"/>
  <c r="AA3" i="8"/>
  <c r="U3" i="8"/>
  <c r="F3" i="8"/>
  <c r="K3" i="8"/>
  <c r="AK3" i="8"/>
  <c r="J3" i="8"/>
  <c r="Z3" i="8"/>
  <c r="AH3" i="8"/>
  <c r="AP3" i="8"/>
  <c r="L3" i="8"/>
  <c r="T3" i="8"/>
  <c r="AB3" i="8"/>
  <c r="AJ3" i="8"/>
  <c r="N3" i="8"/>
  <c r="V3" i="8"/>
  <c r="AD3" i="8"/>
  <c r="AL3" i="8"/>
  <c r="G3" i="8"/>
  <c r="O3" i="8"/>
  <c r="W3" i="8"/>
  <c r="AE3" i="8"/>
  <c r="AM3" i="8"/>
  <c r="H3" i="8"/>
  <c r="P3" i="8"/>
  <c r="X3" i="8"/>
  <c r="AF3" i="8"/>
  <c r="AN3" i="8"/>
  <c r="I3" i="8"/>
  <c r="Q3" i="8"/>
  <c r="Y3" i="8"/>
  <c r="AG3" i="8"/>
  <c r="AO3" i="8"/>
  <c r="AC3" i="8"/>
  <c r="S3" i="8"/>
  <c r="C3" i="8" l="1"/>
  <c r="C27" i="8" s="1"/>
  <c r="D3" i="8"/>
  <c r="D27" i="8" s="1"/>
  <c r="DN4" i="7"/>
  <c r="CX4" i="7"/>
  <c r="AU47" i="8"/>
  <c r="AQ47" i="8"/>
  <c r="AU46" i="8"/>
  <c r="AQ46" i="8"/>
  <c r="AU45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Q29" i="8"/>
  <c r="AP27" i="8"/>
  <c r="AO27" i="8"/>
  <c r="AN27" i="8"/>
  <c r="AM27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AV25" i="8"/>
  <c r="AT25" i="8"/>
  <c r="AS25" i="8"/>
  <c r="AR25" i="8"/>
  <c r="AP25" i="8"/>
  <c r="AO25" i="8"/>
  <c r="AN25" i="8"/>
  <c r="AM25" i="8"/>
  <c r="AL25" i="8"/>
  <c r="AK25" i="8"/>
  <c r="AJ25" i="8"/>
  <c r="AI25" i="8"/>
  <c r="AH25" i="8"/>
  <c r="AG25" i="8"/>
  <c r="AF25" i="8"/>
  <c r="AE25" i="8"/>
  <c r="AD25" i="8"/>
  <c r="AC25" i="8"/>
  <c r="AB25" i="8"/>
  <c r="AA25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AV3" i="8"/>
  <c r="AV27" i="8" l="1"/>
  <c r="DF4" i="7"/>
  <c r="FB4" i="7"/>
  <c r="N4" i="7"/>
  <c r="G4" i="7"/>
  <c r="EL4" i="7"/>
  <c r="DV4" i="7"/>
  <c r="CH4" i="7"/>
  <c r="BR4" i="7"/>
  <c r="BJ4" i="7"/>
  <c r="AT4" i="7"/>
  <c r="V4" i="7"/>
  <c r="F4" i="7"/>
  <c r="FA4" i="7"/>
  <c r="ES4" i="7"/>
  <c r="EK4" i="7"/>
  <c r="EC4" i="7"/>
  <c r="DU4" i="7"/>
  <c r="DM4" i="7"/>
  <c r="DE4" i="7"/>
  <c r="CW4" i="7"/>
  <c r="CO4" i="7"/>
  <c r="CG4" i="7"/>
  <c r="BY4" i="7"/>
  <c r="BQ4" i="7"/>
  <c r="BI4" i="7"/>
  <c r="BA4" i="7"/>
  <c r="AS4" i="7"/>
  <c r="AK4" i="7"/>
  <c r="AC4" i="7"/>
  <c r="U4" i="7"/>
  <c r="M4" i="7"/>
  <c r="E4" i="7"/>
  <c r="ET4" i="7"/>
  <c r="ED4" i="7"/>
  <c r="CP4" i="7"/>
  <c r="BZ4" i="7"/>
  <c r="BB4" i="7"/>
  <c r="AL4" i="7"/>
  <c r="AD4" i="7"/>
  <c r="EZ4" i="7"/>
  <c r="ER4" i="7"/>
  <c r="EJ4" i="7"/>
  <c r="EB4" i="7"/>
  <c r="DT4" i="7"/>
  <c r="DL4" i="7"/>
  <c r="DD4" i="7"/>
  <c r="CV4" i="7"/>
  <c r="CN4" i="7"/>
  <c r="CF4" i="7"/>
  <c r="BX4" i="7"/>
  <c r="BP4" i="7"/>
  <c r="BH4" i="7"/>
  <c r="AZ4" i="7"/>
  <c r="AR4" i="7"/>
  <c r="AJ4" i="7"/>
  <c r="AB4" i="7"/>
  <c r="T4" i="7"/>
  <c r="L4" i="7"/>
  <c r="D4" i="7"/>
  <c r="EY4" i="7"/>
  <c r="EQ4" i="7"/>
  <c r="EI4" i="7"/>
  <c r="EA4" i="7"/>
  <c r="DS4" i="7"/>
  <c r="DK4" i="7"/>
  <c r="DC4" i="7"/>
  <c r="CU4" i="7"/>
  <c r="CM4" i="7"/>
  <c r="CE4" i="7"/>
  <c r="BW4" i="7"/>
  <c r="BO4" i="7"/>
  <c r="BG4" i="7"/>
  <c r="AY4" i="7"/>
  <c r="AQ4" i="7"/>
  <c r="AI4" i="7"/>
  <c r="AA4" i="7"/>
  <c r="S4" i="7"/>
  <c r="K4" i="7"/>
  <c r="C4" i="7"/>
  <c r="EX4" i="7"/>
  <c r="EP4" i="7"/>
  <c r="EH4" i="7"/>
  <c r="DZ4" i="7"/>
  <c r="DR4" i="7"/>
  <c r="DJ4" i="7"/>
  <c r="DB4" i="7"/>
  <c r="CT4" i="7"/>
  <c r="CL4" i="7"/>
  <c r="CD4" i="7"/>
  <c r="BV4" i="7"/>
  <c r="BN4" i="7"/>
  <c r="BF4" i="7"/>
  <c r="AX4" i="7"/>
  <c r="AP4" i="7"/>
  <c r="AH4" i="7"/>
  <c r="Z4" i="7"/>
  <c r="R4" i="7"/>
  <c r="J4" i="7"/>
  <c r="FE4" i="7"/>
  <c r="EW4" i="7"/>
  <c r="EO4" i="7"/>
  <c r="EG4" i="7"/>
  <c r="DY4" i="7"/>
  <c r="DQ4" i="7"/>
  <c r="DI4" i="7"/>
  <c r="DA4" i="7"/>
  <c r="CS4" i="7"/>
  <c r="CK4" i="7"/>
  <c r="CC4" i="7"/>
  <c r="BU4" i="7"/>
  <c r="BM4" i="7"/>
  <c r="BE4" i="7"/>
  <c r="AW4" i="7"/>
  <c r="AO4" i="7"/>
  <c r="AG4" i="7"/>
  <c r="Y4" i="7"/>
  <c r="Q4" i="7"/>
  <c r="I4" i="7"/>
  <c r="FD4" i="7"/>
  <c r="EV4" i="7"/>
  <c r="EN4" i="7"/>
  <c r="EF4" i="7"/>
  <c r="DX4" i="7"/>
  <c r="DP4" i="7"/>
  <c r="DH4" i="7"/>
  <c r="CZ4" i="7"/>
  <c r="CR4" i="7"/>
  <c r="CJ4" i="7"/>
  <c r="CB4" i="7"/>
  <c r="BT4" i="7"/>
  <c r="BL4" i="7"/>
  <c r="BD4" i="7"/>
  <c r="AV4" i="7"/>
  <c r="AN4" i="7"/>
  <c r="AF4" i="7"/>
  <c r="X4" i="7"/>
  <c r="P4" i="7"/>
  <c r="H4" i="7"/>
  <c r="FC4" i="7"/>
  <c r="EU4" i="7"/>
  <c r="EM4" i="7"/>
  <c r="EE4" i="7"/>
  <c r="DW4" i="7"/>
  <c r="DO4" i="7"/>
  <c r="DG4" i="7"/>
  <c r="CY4" i="7"/>
  <c r="CQ4" i="7"/>
  <c r="CI4" i="7"/>
  <c r="CA4" i="7"/>
  <c r="BS4" i="7"/>
  <c r="BK4" i="7"/>
  <c r="BC4" i="7"/>
  <c r="AU4" i="7"/>
  <c r="AM4" i="7"/>
  <c r="AE4" i="7"/>
  <c r="W4" i="7"/>
  <c r="O4" i="7"/>
  <c r="R6" i="8" l="1"/>
  <c r="R23" i="8"/>
  <c r="R17" i="8"/>
  <c r="R9" i="8"/>
  <c r="R15" i="8"/>
  <c r="R13" i="8"/>
  <c r="R7" i="8"/>
  <c r="R20" i="8"/>
  <c r="R21" i="8"/>
  <c r="R19" i="8"/>
  <c r="R12" i="8"/>
  <c r="R11" i="8"/>
  <c r="R5" i="8"/>
  <c r="R22" i="8"/>
  <c r="R18" i="8"/>
  <c r="R16" i="8"/>
  <c r="R14" i="8"/>
  <c r="R10" i="8"/>
  <c r="R8" i="8"/>
  <c r="AN15" i="8"/>
  <c r="Z10" i="8"/>
  <c r="AD18" i="8"/>
  <c r="AF20" i="8"/>
  <c r="F5" i="8"/>
  <c r="M13" i="8"/>
  <c r="Q9" i="8"/>
  <c r="N19" i="8"/>
  <c r="W18" i="8"/>
  <c r="I20" i="8"/>
  <c r="N22" i="8"/>
  <c r="Z13" i="8"/>
  <c r="I16" i="8"/>
  <c r="I40" i="8" s="1"/>
  <c r="J22" i="8"/>
  <c r="AA22" i="8"/>
  <c r="V6" i="8"/>
  <c r="I12" i="8"/>
  <c r="AF14" i="8"/>
  <c r="AO11" i="8"/>
  <c r="O6" i="8"/>
  <c r="AK16" i="8"/>
  <c r="AK40" i="8" s="1"/>
  <c r="U16" i="8"/>
  <c r="V11" i="8"/>
  <c r="AO10" i="8"/>
  <c r="P14" i="8"/>
  <c r="S12" i="8"/>
  <c r="N7" i="8"/>
  <c r="Y21" i="8"/>
  <c r="T18" i="8"/>
  <c r="T42" i="8" s="1"/>
  <c r="AO7" i="8"/>
  <c r="F22" i="8"/>
  <c r="Q20" i="8"/>
  <c r="P19" i="8"/>
  <c r="AG5" i="8"/>
  <c r="F12" i="8"/>
  <c r="AH13" i="8"/>
  <c r="AD17" i="8"/>
  <c r="AD41" i="8" s="1"/>
  <c r="P12" i="8"/>
  <c r="I19" i="8"/>
  <c r="X7" i="8"/>
  <c r="AJ22" i="8"/>
  <c r="AM6" i="8"/>
  <c r="K9" i="8"/>
  <c r="N5" i="8"/>
  <c r="AB21" i="8"/>
  <c r="AB45" i="8" s="1"/>
  <c r="AE21" i="8"/>
  <c r="P21" i="8"/>
  <c r="AJ21" i="8"/>
  <c r="AJ45" i="8" s="1"/>
  <c r="AB12" i="8"/>
  <c r="W21" i="8"/>
  <c r="AJ14" i="8"/>
  <c r="AA21" i="8"/>
  <c r="AO19" i="8"/>
  <c r="AO43" i="8" s="1"/>
  <c r="AL16" i="8"/>
  <c r="P15" i="8"/>
  <c r="AF19" i="8"/>
  <c r="AK23" i="8"/>
  <c r="Z14" i="8"/>
  <c r="T5" i="8"/>
  <c r="AK5" i="8"/>
  <c r="L22" i="8"/>
  <c r="L46" i="8" s="1"/>
  <c r="X22" i="8"/>
  <c r="AB15" i="8"/>
  <c r="AE13" i="8"/>
  <c r="L10" i="8"/>
  <c r="AD10" i="8"/>
  <c r="AO22" i="8"/>
  <c r="L15" i="8"/>
  <c r="O13" i="8"/>
  <c r="O37" i="8" s="1"/>
  <c r="AC22" i="8"/>
  <c r="Y5" i="8"/>
  <c r="Z8" i="8"/>
  <c r="AH14" i="8"/>
  <c r="Y8" i="8"/>
  <c r="U12" i="8"/>
  <c r="AL9" i="8"/>
  <c r="AJ6" i="8"/>
  <c r="AJ30" i="8" s="1"/>
  <c r="J16" i="8"/>
  <c r="F21" i="8"/>
  <c r="AG9" i="8"/>
  <c r="AD14" i="8"/>
  <c r="M10" i="8"/>
  <c r="X18" i="8"/>
  <c r="AA14" i="8"/>
  <c r="AK8" i="8"/>
  <c r="AK32" i="8" s="1"/>
  <c r="P16" i="8"/>
  <c r="H17" i="8"/>
  <c r="S14" i="8"/>
  <c r="Q21" i="8"/>
  <c r="AE16" i="8"/>
  <c r="O23" i="8"/>
  <c r="AH11" i="8"/>
  <c r="AE18" i="8"/>
  <c r="AE42" i="8" s="1"/>
  <c r="H20" i="8"/>
  <c r="L20" i="8"/>
  <c r="AG10" i="8"/>
  <c r="G20" i="8"/>
  <c r="U10" i="8"/>
  <c r="AO12" i="8"/>
  <c r="AH8" i="8"/>
  <c r="H12" i="8"/>
  <c r="H36" i="8" s="1"/>
  <c r="K10" i="8"/>
  <c r="AP8" i="8"/>
  <c r="J7" i="8"/>
  <c r="AK17" i="8"/>
  <c r="AB11" i="8"/>
  <c r="AE9" i="8"/>
  <c r="V17" i="8"/>
  <c r="K20" i="8"/>
  <c r="K44" i="8" s="1"/>
  <c r="AL23" i="8"/>
  <c r="P13" i="8"/>
  <c r="AL5" i="8"/>
  <c r="AG19" i="8"/>
  <c r="O11" i="8"/>
  <c r="Q7" i="8"/>
  <c r="J19" i="8"/>
  <c r="K17" i="8"/>
  <c r="K41" i="8" s="1"/>
  <c r="AN14" i="8"/>
  <c r="X11" i="8"/>
  <c r="AH10" i="8"/>
  <c r="L23" i="8"/>
  <c r="M12" i="8"/>
  <c r="G15" i="8"/>
  <c r="AL6" i="8"/>
  <c r="J21" i="8"/>
  <c r="J45" i="8" s="1"/>
  <c r="K19" i="8"/>
  <c r="AN16" i="8"/>
  <c r="AB8" i="8"/>
  <c r="AN5" i="8"/>
  <c r="Z22" i="8"/>
  <c r="AC9" i="8"/>
  <c r="AO6" i="8"/>
  <c r="AO30" i="8" s="1"/>
  <c r="AI18" i="8"/>
  <c r="AI42" i="8" s="1"/>
  <c r="V12" i="8"/>
  <c r="AE8" i="8"/>
  <c r="X6" i="8"/>
  <c r="F11" i="8"/>
  <c r="AK21" i="8"/>
  <c r="AG22" i="8"/>
  <c r="Q16" i="8"/>
  <c r="V7" i="8"/>
  <c r="V31" i="8" s="1"/>
  <c r="W15" i="8"/>
  <c r="J9" i="8"/>
  <c r="S5" i="8"/>
  <c r="AA19" i="8"/>
  <c r="T17" i="8"/>
  <c r="L14" i="8"/>
  <c r="AO8" i="8"/>
  <c r="F16" i="8"/>
  <c r="U19" i="8"/>
  <c r="AK10" i="8"/>
  <c r="K12" i="8"/>
  <c r="Z7" i="8"/>
  <c r="AJ12" i="8"/>
  <c r="AF21" i="8"/>
  <c r="V15" i="8"/>
  <c r="V39" i="8" s="1"/>
  <c r="Q8" i="8"/>
  <c r="Q32" i="8" s="1"/>
  <c r="AC7" i="8"/>
  <c r="AC31" i="8" s="1"/>
  <c r="AE17" i="8"/>
  <c r="J13" i="8"/>
  <c r="K11" i="8"/>
  <c r="L7" i="8"/>
  <c r="L31" i="8" s="1"/>
  <c r="T21" i="8"/>
  <c r="AB10" i="8"/>
  <c r="AB34" i="8" s="1"/>
  <c r="I17" i="8"/>
  <c r="I41" i="8" s="1"/>
  <c r="AM14" i="8"/>
  <c r="AJ16" i="8"/>
  <c r="AJ40" i="8" s="1"/>
  <c r="AC16" i="8"/>
  <c r="K15" i="8"/>
  <c r="T14" i="8"/>
  <c r="Y18" i="8"/>
  <c r="AN17" i="8"/>
  <c r="AN41" i="8" s="1"/>
  <c r="Z12" i="8"/>
  <c r="Z36" i="8" s="1"/>
  <c r="J20" i="8"/>
  <c r="T23" i="8"/>
  <c r="M16" i="8"/>
  <c r="G13" i="8"/>
  <c r="AD6" i="8"/>
  <c r="AL20" i="8"/>
  <c r="AM18" i="8"/>
  <c r="F20" i="8"/>
  <c r="AL21" i="8"/>
  <c r="H19" i="8"/>
  <c r="AG20" i="8"/>
  <c r="AC8" i="8"/>
  <c r="AI16" i="8"/>
  <c r="AD8" i="8"/>
  <c r="AE6" i="8"/>
  <c r="AE30" i="8" s="1"/>
  <c r="AM20" i="8"/>
  <c r="AM44" i="8" s="1"/>
  <c r="AF18" i="8"/>
  <c r="AE23" i="8"/>
  <c r="AN23" i="8"/>
  <c r="V13" i="8"/>
  <c r="AH16" i="8"/>
  <c r="F6" i="8"/>
  <c r="S6" i="8"/>
  <c r="S30" i="8" s="1"/>
  <c r="AA20" i="8"/>
  <c r="AA44" i="8" s="1"/>
  <c r="N14" i="8"/>
  <c r="W10" i="8"/>
  <c r="P8" i="8"/>
  <c r="Q23" i="8"/>
  <c r="T12" i="8"/>
  <c r="AL19" i="8"/>
  <c r="AG12" i="8"/>
  <c r="U5" i="8"/>
  <c r="O17" i="8"/>
  <c r="O41" i="8" s="1"/>
  <c r="AL10" i="8"/>
  <c r="K7" i="8"/>
  <c r="S21" i="8"/>
  <c r="L19" i="8"/>
  <c r="L43" i="8" s="1"/>
  <c r="T22" i="8"/>
  <c r="Z20" i="8"/>
  <c r="Y22" i="8"/>
  <c r="Y46" i="8" s="1"/>
  <c r="AK15" i="8"/>
  <c r="Z6" i="8"/>
  <c r="AM13" i="8"/>
  <c r="AO20" i="8"/>
  <c r="J12" i="8"/>
  <c r="AL11" i="8"/>
  <c r="S23" i="8"/>
  <c r="O5" i="8"/>
  <c r="W19" i="8"/>
  <c r="AL14" i="8"/>
  <c r="AM12" i="8"/>
  <c r="AN8" i="8"/>
  <c r="AF7" i="8"/>
  <c r="AI10" i="8"/>
  <c r="AI19" i="8"/>
  <c r="AI43" i="8" s="1"/>
  <c r="H15" i="8"/>
  <c r="H39" i="8" s="1"/>
  <c r="G11" i="8"/>
  <c r="O20" i="8"/>
  <c r="X9" i="8"/>
  <c r="X33" i="8" s="1"/>
  <c r="Q6" i="8"/>
  <c r="G23" i="8"/>
  <c r="AP16" i="8"/>
  <c r="AA12" i="8"/>
  <c r="AA36" i="8" s="1"/>
  <c r="O16" i="8"/>
  <c r="O40" i="8" s="1"/>
  <c r="AJ18" i="8"/>
  <c r="AP20" i="8"/>
  <c r="N6" i="8"/>
  <c r="AL22" i="8"/>
  <c r="W14" i="8"/>
  <c r="AN19" i="8"/>
  <c r="AO9" i="8"/>
  <c r="AO33" i="8" s="1"/>
  <c r="N18" i="8"/>
  <c r="N42" i="8" s="1"/>
  <c r="P18" i="8"/>
  <c r="I15" i="8"/>
  <c r="AL18" i="8"/>
  <c r="AD11" i="8"/>
  <c r="AJ10" i="8"/>
  <c r="Z18" i="8"/>
  <c r="I7" i="8"/>
  <c r="I31" i="8" s="1"/>
  <c r="L11" i="8"/>
  <c r="L35" i="8" s="1"/>
  <c r="X23" i="8"/>
  <c r="X47" i="8" s="1"/>
  <c r="AB22" i="8"/>
  <c r="V9" i="8"/>
  <c r="M21" i="8"/>
  <c r="AC12" i="8"/>
  <c r="AI14" i="8"/>
  <c r="V8" i="8"/>
  <c r="W6" i="8"/>
  <c r="W30" i="8" s="1"/>
  <c r="AE20" i="8"/>
  <c r="AF17" i="8"/>
  <c r="Y12" i="8"/>
  <c r="T8" i="8"/>
  <c r="M17" i="8"/>
  <c r="AG6" i="8"/>
  <c r="AA18" i="8"/>
  <c r="AA42" i="8" s="1"/>
  <c r="V10" i="8"/>
  <c r="V34" i="8" s="1"/>
  <c r="W8" i="8"/>
  <c r="P6" i="8"/>
  <c r="X20" i="8"/>
  <c r="X44" i="8" s="1"/>
  <c r="AG21" i="8"/>
  <c r="T16" i="8"/>
  <c r="AD23" i="8"/>
  <c r="N13" i="8"/>
  <c r="N37" i="8" s="1"/>
  <c r="O22" i="8"/>
  <c r="O46" i="8" s="1"/>
  <c r="K8" i="8"/>
  <c r="AO5" i="8"/>
  <c r="AP15" i="8"/>
  <c r="O12" i="8"/>
  <c r="H10" i="8"/>
  <c r="M15" i="8"/>
  <c r="H23" i="8"/>
  <c r="H47" i="8" s="1"/>
  <c r="M9" i="8"/>
  <c r="M33" i="8" s="1"/>
  <c r="M7" i="8"/>
  <c r="G19" i="8"/>
  <c r="AD12" i="8"/>
  <c r="AM8" i="8"/>
  <c r="AF6" i="8"/>
  <c r="AN20" i="8"/>
  <c r="AN44" i="8" s="1"/>
  <c r="AH22" i="8"/>
  <c r="AH46" i="8" s="1"/>
  <c r="M11" i="8"/>
  <c r="M35" i="8" s="1"/>
  <c r="V19" i="8"/>
  <c r="Q12" i="8"/>
  <c r="AC5" i="8"/>
  <c r="AE15" i="8"/>
  <c r="J11" i="8"/>
  <c r="U17" i="8"/>
  <c r="V21" i="8"/>
  <c r="I21" i="8"/>
  <c r="I45" i="8" s="1"/>
  <c r="G7" i="8"/>
  <c r="O21" i="8"/>
  <c r="AD16" i="8"/>
  <c r="AE14" i="8"/>
  <c r="AF10" i="8"/>
  <c r="AF34" i="8" s="1"/>
  <c r="H21" i="8"/>
  <c r="F14" i="8"/>
  <c r="AM17" i="8"/>
  <c r="AM41" i="8" s="1"/>
  <c r="AF8" i="8"/>
  <c r="Q18" i="8"/>
  <c r="K18" i="8"/>
  <c r="L9" i="8"/>
  <c r="W23" i="8"/>
  <c r="W47" i="8" s="1"/>
  <c r="AI12" i="8"/>
  <c r="Y11" i="8"/>
  <c r="Y35" i="8" s="1"/>
  <c r="AC23" i="8"/>
  <c r="AC47" i="8" s="1"/>
  <c r="AE19" i="8"/>
  <c r="W20" i="8"/>
  <c r="X13" i="8"/>
  <c r="AG23" i="8"/>
  <c r="AL12" i="8"/>
  <c r="H13" i="8"/>
  <c r="X16" i="8"/>
  <c r="X40" i="8" s="1"/>
  <c r="N23" i="8"/>
  <c r="N47" i="8" s="1"/>
  <c r="AK7" i="8"/>
  <c r="AI7" i="8"/>
  <c r="L21" i="8"/>
  <c r="L45" i="8" s="1"/>
  <c r="AC10" i="8"/>
  <c r="S13" i="8"/>
  <c r="H5" i="8"/>
  <c r="Q13" i="8"/>
  <c r="Q37" i="8" s="1"/>
  <c r="AO14" i="8"/>
  <c r="AO38" i="8" s="1"/>
  <c r="AP7" i="8"/>
  <c r="AJ15" i="8"/>
  <c r="AC18" i="8"/>
  <c r="AH18" i="8"/>
  <c r="AF13" i="8"/>
  <c r="AF37" i="8" s="1"/>
  <c r="U23" i="8"/>
  <c r="AC17" i="8"/>
  <c r="AC41" i="8" s="1"/>
  <c r="I9" i="8"/>
  <c r="I33" i="8" s="1"/>
  <c r="AA16" i="8"/>
  <c r="N10" i="8"/>
  <c r="O8" i="8"/>
  <c r="H6" i="8"/>
  <c r="J8" i="8"/>
  <c r="J32" i="8" s="1"/>
  <c r="I23" i="8"/>
  <c r="M23" i="8"/>
  <c r="M47" i="8" s="1"/>
  <c r="AC13" i="8"/>
  <c r="AC37" i="8" s="1"/>
  <c r="K6" i="8"/>
  <c r="S20" i="8"/>
  <c r="N12" i="8"/>
  <c r="O10" i="8"/>
  <c r="H8" i="8"/>
  <c r="H32" i="8" s="1"/>
  <c r="F13" i="8"/>
  <c r="M18" i="8"/>
  <c r="M42" i="8" s="1"/>
  <c r="V5" i="8"/>
  <c r="AD15" i="8"/>
  <c r="AD9" i="8"/>
  <c r="AD33" i="8" s="1"/>
  <c r="AK18" i="8"/>
  <c r="AM9" i="8"/>
  <c r="AG7" i="8"/>
  <c r="AG31" i="8" s="1"/>
  <c r="AH17" i="8"/>
  <c r="G14" i="8"/>
  <c r="G38" i="8" s="1"/>
  <c r="AJ11" i="8"/>
  <c r="AJ35" i="8" s="1"/>
  <c r="F18" i="8"/>
  <c r="AB14" i="8"/>
  <c r="AH12" i="8"/>
  <c r="AI23" i="8"/>
  <c r="AA6" i="8"/>
  <c r="AA30" i="8" s="1"/>
  <c r="AI20" i="8"/>
  <c r="V14" i="8"/>
  <c r="V38" i="8" s="1"/>
  <c r="AE10" i="8"/>
  <c r="AE34" i="8" s="1"/>
  <c r="X8" i="8"/>
  <c r="X32" i="8" s="1"/>
  <c r="AH23" i="8"/>
  <c r="AL13" i="8"/>
  <c r="U22" i="8"/>
  <c r="AL15" i="8"/>
  <c r="AL39" i="8" s="1"/>
  <c r="AG8" i="8"/>
  <c r="U7" i="8"/>
  <c r="U31" i="8" s="1"/>
  <c r="W17" i="8"/>
  <c r="W41" i="8" s="1"/>
  <c r="F17" i="8"/>
  <c r="AK22" i="8"/>
  <c r="F7" i="8"/>
  <c r="Y17" i="8"/>
  <c r="Y41" i="8" s="1"/>
  <c r="AI8" i="8"/>
  <c r="AC6" i="8"/>
  <c r="V18" i="8"/>
  <c r="V42" i="8" s="1"/>
  <c r="W16" i="8"/>
  <c r="W40" i="8" s="1"/>
  <c r="X12" i="8"/>
  <c r="X36" i="8" s="1"/>
  <c r="X17" i="8"/>
  <c r="X41" i="8" s="1"/>
  <c r="H11" i="8"/>
  <c r="AP9" i="8"/>
  <c r="AN12" i="8"/>
  <c r="AK9" i="8"/>
  <c r="Z11" i="8"/>
  <c r="H14" i="8"/>
  <c r="H38" i="8" s="1"/>
  <c r="U20" i="8"/>
  <c r="U44" i="8" s="1"/>
  <c r="Q5" i="8"/>
  <c r="S16" i="8"/>
  <c r="AP10" i="8"/>
  <c r="I5" i="8"/>
  <c r="L5" i="8"/>
  <c r="H9" i="8"/>
  <c r="H33" i="8" s="1"/>
  <c r="AL17" i="8"/>
  <c r="AL41" i="8" s="1"/>
  <c r="S7" i="8"/>
  <c r="S31" i="8" s="1"/>
  <c r="L8" i="8"/>
  <c r="L32" i="8" s="1"/>
  <c r="AB20" i="8"/>
  <c r="H7" i="8"/>
  <c r="O7" i="8"/>
  <c r="AE12" i="8"/>
  <c r="AD22" i="8"/>
  <c r="AD46" i="8" s="1"/>
  <c r="J6" i="8"/>
  <c r="J30" i="8" s="1"/>
  <c r="T7" i="8"/>
  <c r="AN11" i="8"/>
  <c r="AN35" i="8" s="1"/>
  <c r="AN9" i="8"/>
  <c r="U9" i="8"/>
  <c r="U33" i="8" s="1"/>
  <c r="AF23" i="8"/>
  <c r="AF47" i="8" s="1"/>
  <c r="N21" i="8"/>
  <c r="I14" i="8"/>
  <c r="I38" i="8" s="1"/>
  <c r="Y6" i="8"/>
  <c r="Y30" i="8" s="1"/>
  <c r="S18" i="8"/>
  <c r="S42" i="8" s="1"/>
  <c r="AP11" i="8"/>
  <c r="AP35" i="8" s="1"/>
  <c r="G10" i="8"/>
  <c r="AJ7" i="8"/>
  <c r="AJ31" i="8" s="1"/>
  <c r="F19" i="8"/>
  <c r="AG14" i="8"/>
  <c r="AH20" i="8"/>
  <c r="AH44" i="8" s="1"/>
  <c r="I10" i="8"/>
  <c r="I34" i="8" s="1"/>
  <c r="AM7" i="8"/>
  <c r="AM31" i="8" s="1"/>
  <c r="K22" i="8"/>
  <c r="AP13" i="8"/>
  <c r="G12" i="8"/>
  <c r="G36" i="8" s="1"/>
  <c r="AJ9" i="8"/>
  <c r="V22" i="8"/>
  <c r="AC14" i="8"/>
  <c r="AC38" i="8" s="1"/>
  <c r="I22" i="8"/>
  <c r="I46" i="8" s="1"/>
  <c r="AN22" i="8"/>
  <c r="AN46" i="8" s="1"/>
  <c r="Q15" i="8"/>
  <c r="AE11" i="8"/>
  <c r="AE35" i="8" s="1"/>
  <c r="Z19" i="8"/>
  <c r="AI15" i="8"/>
  <c r="AB13" i="8"/>
  <c r="AD19" i="8"/>
  <c r="AD43" i="8" s="1"/>
  <c r="AF9" i="8"/>
  <c r="AF33" i="8" s="1"/>
  <c r="N9" i="8"/>
  <c r="N33" i="8" s="1"/>
  <c r="AO21" i="8"/>
  <c r="AO45" i="8" s="1"/>
  <c r="S8" i="8"/>
  <c r="M6" i="8"/>
  <c r="N16" i="8"/>
  <c r="W12" i="8"/>
  <c r="P10" i="8"/>
  <c r="P34" i="8" s="1"/>
  <c r="AN21" i="8"/>
  <c r="AN45" i="8" s="1"/>
  <c r="P23" i="8"/>
  <c r="P47" i="8" s="1"/>
  <c r="U13" i="8"/>
  <c r="U37" i="8" s="1"/>
  <c r="AA23" i="8"/>
  <c r="G5" i="8"/>
  <c r="O19" i="8"/>
  <c r="M22" i="8"/>
  <c r="P17" i="8"/>
  <c r="P41" i="8" s="1"/>
  <c r="AP12" i="8"/>
  <c r="AP36" i="8" s="1"/>
  <c r="P22" i="8"/>
  <c r="P46" i="8" s="1"/>
  <c r="AO13" i="8"/>
  <c r="AA10" i="8"/>
  <c r="AP5" i="8"/>
  <c r="N20" i="8"/>
  <c r="N44" i="8" s="1"/>
  <c r="O18" i="8"/>
  <c r="O42" i="8" s="1"/>
  <c r="AG18" i="8"/>
  <c r="L18" i="8"/>
  <c r="L42" i="8" s="1"/>
  <c r="J14" i="8"/>
  <c r="J38" i="8" s="1"/>
  <c r="AF5" i="8"/>
  <c r="AE7" i="8"/>
  <c r="AE31" i="8" s="1"/>
  <c r="AM21" i="8"/>
  <c r="Z15" i="8"/>
  <c r="AA13" i="8"/>
  <c r="AA37" i="8" s="1"/>
  <c r="T11" i="8"/>
  <c r="T35" i="8" s="1"/>
  <c r="AN7" i="8"/>
  <c r="AN31" i="8" s="1"/>
  <c r="AO16" i="8"/>
  <c r="AO40" i="8" s="1"/>
  <c r="AD13" i="8"/>
  <c r="AD37" i="8" s="1"/>
  <c r="Q19" i="8"/>
  <c r="Q43" i="8" s="1"/>
  <c r="W11" i="8"/>
  <c r="Y7" i="8"/>
  <c r="Z17" i="8"/>
  <c r="Z41" i="8" s="1"/>
  <c r="AA15" i="8"/>
  <c r="AA39" i="8" s="1"/>
  <c r="T13" i="8"/>
  <c r="T37" i="8" s="1"/>
  <c r="AF15" i="8"/>
  <c r="AF39" i="8" s="1"/>
  <c r="AO23" i="8"/>
  <c r="AJ20" i="8"/>
  <c r="AJ44" i="8" s="1"/>
  <c r="L6" i="8"/>
  <c r="AG16" i="8"/>
  <c r="M8" i="8"/>
  <c r="M32" i="8" s="1"/>
  <c r="O15" i="8"/>
  <c r="O39" i="8" s="1"/>
  <c r="AL8" i="8"/>
  <c r="AL32" i="8" s="1"/>
  <c r="K5" i="8"/>
  <c r="S19" i="8"/>
  <c r="V23" i="8"/>
  <c r="AC19" i="8"/>
  <c r="Z16" i="8"/>
  <c r="AF22" i="8"/>
  <c r="AK14" i="8"/>
  <c r="AK38" i="8" s="1"/>
  <c r="AM11" i="8"/>
  <c r="AM35" i="8" s="1"/>
  <c r="Z5" i="8"/>
  <c r="AH19" i="8"/>
  <c r="AH43" i="8" s="1"/>
  <c r="G16" i="8"/>
  <c r="G40" i="8" s="1"/>
  <c r="AJ13" i="8"/>
  <c r="M19" i="8"/>
  <c r="P5" i="8"/>
  <c r="F9" i="8"/>
  <c r="F15" i="8"/>
  <c r="AO17" i="8"/>
  <c r="AO41" i="8" s="1"/>
  <c r="AA8" i="8"/>
  <c r="AA32" i="8" s="1"/>
  <c r="U6" i="8"/>
  <c r="U30" i="8" s="1"/>
  <c r="T20" i="8"/>
  <c r="X19" i="8"/>
  <c r="X43" i="8" s="1"/>
  <c r="Q22" i="8"/>
  <c r="Q46" i="8" s="1"/>
  <c r="U15" i="8"/>
  <c r="U39" i="8" s="1"/>
  <c r="AD5" i="8"/>
  <c r="K14" i="8"/>
  <c r="K38" i="8" s="1"/>
  <c r="Z9" i="8"/>
  <c r="Z33" i="8" s="1"/>
  <c r="AA7" i="8"/>
  <c r="AI21" i="8"/>
  <c r="AJ17" i="8"/>
  <c r="X5" i="8"/>
  <c r="AB23" i="8"/>
  <c r="AB47" i="8" s="1"/>
  <c r="AA5" i="8"/>
  <c r="AP23" i="8"/>
  <c r="AP47" i="8" s="1"/>
  <c r="AP21" i="8"/>
  <c r="G6" i="8"/>
  <c r="G30" i="8" s="1"/>
  <c r="Z23" i="8"/>
  <c r="U8" i="8"/>
  <c r="U32" i="8" s="1"/>
  <c r="AB5" i="8"/>
  <c r="Q17" i="8"/>
  <c r="Q41" i="8" s="1"/>
  <c r="Y13" i="8"/>
  <c r="Y37" i="8" s="1"/>
  <c r="AH21" i="8"/>
  <c r="AH45" i="8" s="1"/>
  <c r="AB17" i="8"/>
  <c r="AB41" i="8" s="1"/>
  <c r="AO15" i="8"/>
  <c r="AO39" i="8" s="1"/>
  <c r="I13" i="8"/>
  <c r="X10" i="8"/>
  <c r="X34" i="8" s="1"/>
  <c r="AP6" i="8"/>
  <c r="AP30" i="8" s="1"/>
  <c r="AK20" i="8"/>
  <c r="AK44" i="8" s="1"/>
  <c r="AH6" i="8"/>
  <c r="AH30" i="8" s="1"/>
  <c r="AK6" i="8"/>
  <c r="AK30" i="8" s="1"/>
  <c r="AJ5" i="8"/>
  <c r="P7" i="8"/>
  <c r="P31" i="8" s="1"/>
  <c r="Y14" i="8"/>
  <c r="L16" i="8"/>
  <c r="L40" i="8" s="1"/>
  <c r="AP19" i="8"/>
  <c r="AP43" i="8" s="1"/>
  <c r="AC11" i="8"/>
  <c r="AC35" i="8" s="1"/>
  <c r="AB16" i="8"/>
  <c r="AB40" i="8" s="1"/>
  <c r="AK13" i="8"/>
  <c r="AK37" i="8" s="1"/>
  <c r="U14" i="8"/>
  <c r="U38" i="8" s="1"/>
  <c r="J5" i="8"/>
  <c r="F10" i="8"/>
  <c r="AF12" i="8"/>
  <c r="AF36" i="8" s="1"/>
  <c r="AG17" i="8"/>
  <c r="AG41" i="8" s="1"/>
  <c r="K16" i="8"/>
  <c r="K40" i="8" s="1"/>
  <c r="M14" i="8"/>
  <c r="M38" i="8" s="1"/>
  <c r="AN6" i="8"/>
  <c r="AN30" i="8" s="1"/>
  <c r="W7" i="8"/>
  <c r="W31" i="8" s="1"/>
  <c r="T19" i="8"/>
  <c r="T43" i="8" s="1"/>
  <c r="N8" i="8"/>
  <c r="T15" i="8"/>
  <c r="T39" i="8" s="1"/>
  <c r="K23" i="8"/>
  <c r="K47" i="8" s="1"/>
  <c r="J15" i="8"/>
  <c r="J39" i="8" s="1"/>
  <c r="AM19" i="8"/>
  <c r="AM43" i="8" s="1"/>
  <c r="J23" i="8"/>
  <c r="J47" i="8" s="1"/>
  <c r="W5" i="8"/>
  <c r="H18" i="8"/>
  <c r="H42" i="8" s="1"/>
  <c r="L17" i="8"/>
  <c r="L41" i="8" s="1"/>
  <c r="AJ19" i="8"/>
  <c r="AJ43" i="8" s="1"/>
  <c r="AI22" i="8"/>
  <c r="AI46" i="8" s="1"/>
  <c r="S9" i="8"/>
  <c r="S33" i="8" s="1"/>
  <c r="AK11" i="8"/>
  <c r="AK35" i="8" s="1"/>
  <c r="AH5" i="8"/>
  <c r="X15" i="8"/>
  <c r="X39" i="8" s="1"/>
  <c r="AI17" i="8"/>
  <c r="AI41" i="8" s="1"/>
  <c r="Q11" i="8"/>
  <c r="N15" i="8"/>
  <c r="N39" i="8" s="1"/>
  <c r="G17" i="8"/>
  <c r="G41" i="8" s="1"/>
  <c r="N11" i="8"/>
  <c r="N35" i="8" s="1"/>
  <c r="S17" i="8"/>
  <c r="S41" i="8" s="1"/>
  <c r="AG15" i="8"/>
  <c r="AG39" i="8" s="1"/>
  <c r="L13" i="8"/>
  <c r="L37" i="8" s="1"/>
  <c r="W9" i="8"/>
  <c r="W33" i="8" s="1"/>
  <c r="P9" i="8"/>
  <c r="P33" i="8" s="1"/>
  <c r="AM23" i="8"/>
  <c r="AM47" i="8" s="1"/>
  <c r="AL7" i="8"/>
  <c r="AL31" i="8" s="1"/>
  <c r="H16" i="8"/>
  <c r="H40" i="8" s="1"/>
  <c r="L12" i="8"/>
  <c r="L36" i="8" s="1"/>
  <c r="AA9" i="8"/>
  <c r="AA33" i="8" s="1"/>
  <c r="P11" i="8"/>
  <c r="AC20" i="8"/>
  <c r="AC44" i="8" s="1"/>
  <c r="S22" i="8"/>
  <c r="S46" i="8" s="1"/>
  <c r="G18" i="8"/>
  <c r="I8" i="8"/>
  <c r="I32" i="8" s="1"/>
  <c r="AB7" i="8"/>
  <c r="AB31" i="8" s="1"/>
  <c r="G9" i="8"/>
  <c r="G33" i="8" s="1"/>
  <c r="AN10" i="8"/>
  <c r="AN34" i="8" s="1"/>
  <c r="I18" i="8"/>
  <c r="I42" i="8" s="1"/>
  <c r="U11" i="8"/>
  <c r="U35" i="8" s="1"/>
  <c r="AE5" i="8"/>
  <c r="P20" i="8"/>
  <c r="I6" i="8"/>
  <c r="I30" i="8" s="1"/>
  <c r="AA11" i="8"/>
  <c r="AA35" i="8" s="1"/>
  <c r="AM10" i="8"/>
  <c r="AM34" i="8" s="1"/>
  <c r="AF16" i="8"/>
  <c r="AF40" i="8" s="1"/>
  <c r="T10" i="8"/>
  <c r="T34" i="8" s="1"/>
  <c r="AI5" i="8"/>
  <c r="AO18" i="8"/>
  <c r="AO42" i="8" s="1"/>
  <c r="G21" i="8"/>
  <c r="G45" i="8" s="1"/>
  <c r="Y23" i="8"/>
  <c r="Y47" i="8" s="1"/>
  <c r="O14" i="8"/>
  <c r="O38" i="8" s="1"/>
  <c r="U18" i="8"/>
  <c r="U42" i="8" s="1"/>
  <c r="AP22" i="8"/>
  <c r="AP46" i="8" s="1"/>
  <c r="W13" i="8"/>
  <c r="Q10" i="8"/>
  <c r="Q34" i="8" s="1"/>
  <c r="AI13" i="8"/>
  <c r="W22" i="8"/>
  <c r="AB9" i="8"/>
  <c r="AB33" i="8" s="1"/>
  <c r="AM5" i="8"/>
  <c r="Q14" i="8"/>
  <c r="Q38" i="8" s="1"/>
  <c r="AP14" i="8"/>
  <c r="AP38" i="8" s="1"/>
  <c r="AG13" i="8"/>
  <c r="AG37" i="8" s="1"/>
  <c r="S11" i="8"/>
  <c r="S35" i="8" s="1"/>
  <c r="AM15" i="8"/>
  <c r="AM39" i="8" s="1"/>
  <c r="AH9" i="8"/>
  <c r="AH33" i="8" s="1"/>
  <c r="X21" i="8"/>
  <c r="X45" i="8" s="1"/>
  <c r="J18" i="8"/>
  <c r="J42" i="8" s="1"/>
  <c r="T6" i="8"/>
  <c r="T30" i="8" s="1"/>
  <c r="K13" i="8"/>
  <c r="K37" i="8" s="1"/>
  <c r="Y9" i="8"/>
  <c r="Y33" i="8" s="1"/>
  <c r="O9" i="8"/>
  <c r="O33" i="8" s="1"/>
  <c r="U21" i="8"/>
  <c r="G22" i="8"/>
  <c r="G46" i="8" s="1"/>
  <c r="AD21" i="8"/>
  <c r="Y15" i="8"/>
  <c r="Y39" i="8" s="1"/>
  <c r="AD7" i="8"/>
  <c r="AD31" i="8" s="1"/>
  <c r="X14" i="8"/>
  <c r="X38" i="8" s="1"/>
  <c r="AB6" i="8"/>
  <c r="AB30" i="8" s="1"/>
  <c r="J17" i="8"/>
  <c r="J41" i="8" s="1"/>
  <c r="AD20" i="8"/>
  <c r="AD44" i="8" s="1"/>
  <c r="AI9" i="8"/>
  <c r="AI33" i="8" s="1"/>
  <c r="AN13" i="8"/>
  <c r="AN37" i="8" s="1"/>
  <c r="AP18" i="8"/>
  <c r="AP42" i="8" s="1"/>
  <c r="S10" i="8"/>
  <c r="S34" i="8" s="1"/>
  <c r="Z21" i="8"/>
  <c r="Z45" i="8" s="1"/>
  <c r="AK19" i="8"/>
  <c r="AK43" i="8" s="1"/>
  <c r="K21" i="8"/>
  <c r="K45" i="8" s="1"/>
  <c r="M5" i="8"/>
  <c r="Y16" i="8"/>
  <c r="Y40" i="8" s="1"/>
  <c r="J10" i="8"/>
  <c r="J34" i="8" s="1"/>
  <c r="S15" i="8"/>
  <c r="S39" i="8" s="1"/>
  <c r="AE22" i="8"/>
  <c r="AE46" i="8" s="1"/>
  <c r="AK12" i="8"/>
  <c r="AK36" i="8" s="1"/>
  <c r="M20" i="8"/>
  <c r="M44" i="8" s="1"/>
  <c r="AN18" i="8"/>
  <c r="AN42" i="8" s="1"/>
  <c r="Y20" i="8"/>
  <c r="Y44" i="8" s="1"/>
  <c r="AF11" i="8"/>
  <c r="AF35" i="8" s="1"/>
  <c r="G8" i="8"/>
  <c r="G32" i="8" s="1"/>
  <c r="AM22" i="8"/>
  <c r="AM46" i="8" s="1"/>
  <c r="AJ23" i="8"/>
  <c r="AJ47" i="8" s="1"/>
  <c r="AM16" i="8"/>
  <c r="AM40" i="8" s="1"/>
  <c r="AC15" i="8"/>
  <c r="AC39" i="8" s="1"/>
  <c r="Y19" i="8"/>
  <c r="Y43" i="8" s="1"/>
  <c r="H22" i="8"/>
  <c r="H46" i="8" s="1"/>
  <c r="T9" i="8"/>
  <c r="T33" i="8" s="1"/>
  <c r="AC21" i="8"/>
  <c r="AC45" i="8" s="1"/>
  <c r="AJ8" i="8"/>
  <c r="AJ32" i="8" s="1"/>
  <c r="V16" i="8"/>
  <c r="V40" i="8" s="1"/>
  <c r="V20" i="8"/>
  <c r="V44" i="8" s="1"/>
  <c r="AB19" i="8"/>
  <c r="AH7" i="8"/>
  <c r="AH31" i="8" s="1"/>
  <c r="F8" i="8"/>
  <c r="AI6" i="8"/>
  <c r="AI30" i="8" s="1"/>
  <c r="AB18" i="8"/>
  <c r="AB42" i="8" s="1"/>
  <c r="AP17" i="8"/>
  <c r="AP41" i="8" s="1"/>
  <c r="F23" i="8"/>
  <c r="AA17" i="8"/>
  <c r="AA41" i="8" s="1"/>
  <c r="AG11" i="8"/>
  <c r="AG35" i="8" s="1"/>
  <c r="I11" i="8"/>
  <c r="I35" i="8" s="1"/>
  <c r="AH15" i="8"/>
  <c r="AH39" i="8" s="1"/>
  <c r="N17" i="8"/>
  <c r="N41" i="8" s="1"/>
  <c r="AI11" i="8"/>
  <c r="AI35" i="8" s="1"/>
  <c r="Y10" i="8"/>
  <c r="Y34" i="8" s="1"/>
  <c r="AT3" i="8"/>
  <c r="AT27" i="8" s="1"/>
  <c r="AR3" i="8"/>
  <c r="AR27" i="8" s="1"/>
  <c r="J7" i="7"/>
  <c r="R7" i="7"/>
  <c r="Z7" i="7"/>
  <c r="AH7" i="7"/>
  <c r="AP7" i="7"/>
  <c r="AX7" i="7"/>
  <c r="BF7" i="7"/>
  <c r="BN7" i="7"/>
  <c r="BV7" i="7"/>
  <c r="CD7" i="7"/>
  <c r="CL7" i="7"/>
  <c r="CT7" i="7"/>
  <c r="DB7" i="7"/>
  <c r="DJ7" i="7"/>
  <c r="DR7" i="7"/>
  <c r="DZ7" i="7"/>
  <c r="EH7" i="7"/>
  <c r="EP7" i="7"/>
  <c r="EX7" i="7"/>
  <c r="C8" i="7"/>
  <c r="K8" i="7"/>
  <c r="S8" i="7"/>
  <c r="AA8" i="7"/>
  <c r="AI8" i="7"/>
  <c r="AQ8" i="7"/>
  <c r="AY8" i="7"/>
  <c r="BG8" i="7"/>
  <c r="BO8" i="7"/>
  <c r="BW8" i="7"/>
  <c r="CE8" i="7"/>
  <c r="CM8" i="7"/>
  <c r="CU8" i="7"/>
  <c r="DC8" i="7"/>
  <c r="DK8" i="7"/>
  <c r="DS8" i="7"/>
  <c r="EA8" i="7"/>
  <c r="EI8" i="7"/>
  <c r="EQ8" i="7"/>
  <c r="EY8" i="7"/>
  <c r="D9" i="7"/>
  <c r="L9" i="7"/>
  <c r="T9" i="7"/>
  <c r="AB9" i="7"/>
  <c r="AJ9" i="7"/>
  <c r="AR9" i="7"/>
  <c r="AZ9" i="7"/>
  <c r="BH9" i="7"/>
  <c r="BP9" i="7"/>
  <c r="BX9" i="7"/>
  <c r="CF9" i="7"/>
  <c r="CN9" i="7"/>
  <c r="CV9" i="7"/>
  <c r="DD9" i="7"/>
  <c r="DL9" i="7"/>
  <c r="DT9" i="7"/>
  <c r="EB9" i="7"/>
  <c r="EJ9" i="7"/>
  <c r="ER9" i="7"/>
  <c r="EZ9" i="7"/>
  <c r="E10" i="7"/>
  <c r="M10" i="7"/>
  <c r="U10" i="7"/>
  <c r="AC10" i="7"/>
  <c r="AK10" i="7"/>
  <c r="AS10" i="7"/>
  <c r="BA10" i="7"/>
  <c r="BI10" i="7"/>
  <c r="BQ10" i="7"/>
  <c r="BY10" i="7"/>
  <c r="CG10" i="7"/>
  <c r="CO10" i="7"/>
  <c r="CW10" i="7"/>
  <c r="DE10" i="7"/>
  <c r="DM10" i="7"/>
  <c r="DU10" i="7"/>
  <c r="K7" i="7"/>
  <c r="S7" i="7"/>
  <c r="AA7" i="7"/>
  <c r="AI7" i="7"/>
  <c r="AQ7" i="7"/>
  <c r="AY7" i="7"/>
  <c r="BG7" i="7"/>
  <c r="BO7" i="7"/>
  <c r="BW7" i="7"/>
  <c r="CE7" i="7"/>
  <c r="CM7" i="7"/>
  <c r="CU7" i="7"/>
  <c r="DC7" i="7"/>
  <c r="DK7" i="7"/>
  <c r="DS7" i="7"/>
  <c r="EA7" i="7"/>
  <c r="EI7" i="7"/>
  <c r="EQ7" i="7"/>
  <c r="EY7" i="7"/>
  <c r="D8" i="7"/>
  <c r="L8" i="7"/>
  <c r="T8" i="7"/>
  <c r="AB8" i="7"/>
  <c r="AJ8" i="7"/>
  <c r="AR8" i="7"/>
  <c r="AZ8" i="7"/>
  <c r="BH8" i="7"/>
  <c r="BP8" i="7"/>
  <c r="BX8" i="7"/>
  <c r="CF8" i="7"/>
  <c r="CN8" i="7"/>
  <c r="CV8" i="7"/>
  <c r="DD8" i="7"/>
  <c r="DL8" i="7"/>
  <c r="DT8" i="7"/>
  <c r="EB8" i="7"/>
  <c r="EJ8" i="7"/>
  <c r="ER8" i="7"/>
  <c r="EZ8" i="7"/>
  <c r="E9" i="7"/>
  <c r="M9" i="7"/>
  <c r="U9" i="7"/>
  <c r="AC9" i="7"/>
  <c r="AK9" i="7"/>
  <c r="AS9" i="7"/>
  <c r="BA9" i="7"/>
  <c r="BI9" i="7"/>
  <c r="BQ9" i="7"/>
  <c r="BY9" i="7"/>
  <c r="CG9" i="7"/>
  <c r="CO9" i="7"/>
  <c r="CW9" i="7"/>
  <c r="DE9" i="7"/>
  <c r="DM9" i="7"/>
  <c r="DU9" i="7"/>
  <c r="EC9" i="7"/>
  <c r="EK9" i="7"/>
  <c r="ES9" i="7"/>
  <c r="FA9" i="7"/>
  <c r="F10" i="7"/>
  <c r="N10" i="7"/>
  <c r="V10" i="7"/>
  <c r="AD10" i="7"/>
  <c r="AL10" i="7"/>
  <c r="AT10" i="7"/>
  <c r="BB10" i="7"/>
  <c r="BJ10" i="7"/>
  <c r="BR10" i="7"/>
  <c r="BZ10" i="7"/>
  <c r="CH10" i="7"/>
  <c r="CP10" i="7"/>
  <c r="CX10" i="7"/>
  <c r="DF10" i="7"/>
  <c r="DN10" i="7"/>
  <c r="DV10" i="7"/>
  <c r="ED10" i="7"/>
  <c r="EL10" i="7"/>
  <c r="ET10" i="7"/>
  <c r="FB10" i="7"/>
  <c r="G11" i="7"/>
  <c r="O11" i="7"/>
  <c r="W11" i="7"/>
  <c r="AE11" i="7"/>
  <c r="D7" i="7"/>
  <c r="L7" i="7"/>
  <c r="T7" i="7"/>
  <c r="AB7" i="7"/>
  <c r="AJ7" i="7"/>
  <c r="AR7" i="7"/>
  <c r="AZ7" i="7"/>
  <c r="BH7" i="7"/>
  <c r="BP7" i="7"/>
  <c r="BX7" i="7"/>
  <c r="CF7" i="7"/>
  <c r="CN7" i="7"/>
  <c r="CV7" i="7"/>
  <c r="DD7" i="7"/>
  <c r="DL7" i="7"/>
  <c r="DT7" i="7"/>
  <c r="EB7" i="7"/>
  <c r="EJ7" i="7"/>
  <c r="ER7" i="7"/>
  <c r="EZ7" i="7"/>
  <c r="E8" i="7"/>
  <c r="M8" i="7"/>
  <c r="U8" i="7"/>
  <c r="AC8" i="7"/>
  <c r="AK8" i="7"/>
  <c r="AS8" i="7"/>
  <c r="BA8" i="7"/>
  <c r="BI8" i="7"/>
  <c r="BQ8" i="7"/>
  <c r="BY8" i="7"/>
  <c r="CG8" i="7"/>
  <c r="CO8" i="7"/>
  <c r="CW8" i="7"/>
  <c r="DE8" i="7"/>
  <c r="DM8" i="7"/>
  <c r="DU8" i="7"/>
  <c r="EC8" i="7"/>
  <c r="EK8" i="7"/>
  <c r="ES8" i="7"/>
  <c r="FA8" i="7"/>
  <c r="F9" i="7"/>
  <c r="N9" i="7"/>
  <c r="V9" i="7"/>
  <c r="AD9" i="7"/>
  <c r="AL9" i="7"/>
  <c r="AT9" i="7"/>
  <c r="BB9" i="7"/>
  <c r="BJ9" i="7"/>
  <c r="BR9" i="7"/>
  <c r="BZ9" i="7"/>
  <c r="CH9" i="7"/>
  <c r="CP9" i="7"/>
  <c r="CX9" i="7"/>
  <c r="DF9" i="7"/>
  <c r="DN9" i="7"/>
  <c r="DV9" i="7"/>
  <c r="ED9" i="7"/>
  <c r="EL9" i="7"/>
  <c r="ET9" i="7"/>
  <c r="FB9" i="7"/>
  <c r="G10" i="7"/>
  <c r="O10" i="7"/>
  <c r="W10" i="7"/>
  <c r="AE10" i="7"/>
  <c r="AM10" i="7"/>
  <c r="AU10" i="7"/>
  <c r="BC10" i="7"/>
  <c r="BK10" i="7"/>
  <c r="BS10" i="7"/>
  <c r="CA10" i="7"/>
  <c r="CI10" i="7"/>
  <c r="CQ10" i="7"/>
  <c r="CY10" i="7"/>
  <c r="DG10" i="7"/>
  <c r="DO10" i="7"/>
  <c r="DW10" i="7"/>
  <c r="EE10" i="7"/>
  <c r="EM10" i="7"/>
  <c r="EU10" i="7"/>
  <c r="FC10" i="7"/>
  <c r="H11" i="7"/>
  <c r="P11" i="7"/>
  <c r="E7" i="7"/>
  <c r="M7" i="7"/>
  <c r="U7" i="7"/>
  <c r="AC7" i="7"/>
  <c r="AK7" i="7"/>
  <c r="AS7" i="7"/>
  <c r="BA7" i="7"/>
  <c r="BI7" i="7"/>
  <c r="BQ7" i="7"/>
  <c r="BY7" i="7"/>
  <c r="CG7" i="7"/>
  <c r="CO7" i="7"/>
  <c r="CW7" i="7"/>
  <c r="DE7" i="7"/>
  <c r="DM7" i="7"/>
  <c r="DU7" i="7"/>
  <c r="EC7" i="7"/>
  <c r="EK7" i="7"/>
  <c r="ES7" i="7"/>
  <c r="FA7" i="7"/>
  <c r="F8" i="7"/>
  <c r="N8" i="7"/>
  <c r="V8" i="7"/>
  <c r="AD8" i="7"/>
  <c r="AL8" i="7"/>
  <c r="AT8" i="7"/>
  <c r="BB8" i="7"/>
  <c r="BJ8" i="7"/>
  <c r="BR8" i="7"/>
  <c r="BZ8" i="7"/>
  <c r="CH8" i="7"/>
  <c r="CP8" i="7"/>
  <c r="CX8" i="7"/>
  <c r="DF8" i="7"/>
  <c r="DN8" i="7"/>
  <c r="DV8" i="7"/>
  <c r="ED8" i="7"/>
  <c r="EL8" i="7"/>
  <c r="ET8" i="7"/>
  <c r="FB8" i="7"/>
  <c r="G9" i="7"/>
  <c r="O9" i="7"/>
  <c r="W9" i="7"/>
  <c r="AE9" i="7"/>
  <c r="AM9" i="7"/>
  <c r="AU9" i="7"/>
  <c r="BC9" i="7"/>
  <c r="BK9" i="7"/>
  <c r="BS9" i="7"/>
  <c r="CA9" i="7"/>
  <c r="CI9" i="7"/>
  <c r="CQ9" i="7"/>
  <c r="CY9" i="7"/>
  <c r="DG9" i="7"/>
  <c r="DO9" i="7"/>
  <c r="DW9" i="7"/>
  <c r="EE9" i="7"/>
  <c r="EM9" i="7"/>
  <c r="EU9" i="7"/>
  <c r="FC9" i="7"/>
  <c r="H10" i="7"/>
  <c r="P10" i="7"/>
  <c r="X10" i="7"/>
  <c r="AF10" i="7"/>
  <c r="AN10" i="7"/>
  <c r="AV10" i="7"/>
  <c r="BD10" i="7"/>
  <c r="BL10" i="7"/>
  <c r="BT10" i="7"/>
  <c r="CB10" i="7"/>
  <c r="CJ10" i="7"/>
  <c r="CR10" i="7"/>
  <c r="CZ10" i="7"/>
  <c r="DH10" i="7"/>
  <c r="DP10" i="7"/>
  <c r="DX10" i="7"/>
  <c r="EF10" i="7"/>
  <c r="EN10" i="7"/>
  <c r="EV10" i="7"/>
  <c r="FD10" i="7"/>
  <c r="I11" i="7"/>
  <c r="Q11" i="7"/>
  <c r="Y11" i="7"/>
  <c r="F7" i="7"/>
  <c r="N7" i="7"/>
  <c r="V7" i="7"/>
  <c r="AD7" i="7"/>
  <c r="AL7" i="7"/>
  <c r="AT7" i="7"/>
  <c r="BB7" i="7"/>
  <c r="BJ7" i="7"/>
  <c r="BR7" i="7"/>
  <c r="BZ7" i="7"/>
  <c r="CH7" i="7"/>
  <c r="CP7" i="7"/>
  <c r="CX7" i="7"/>
  <c r="DF7" i="7"/>
  <c r="DN7" i="7"/>
  <c r="DV7" i="7"/>
  <c r="ED7" i="7"/>
  <c r="EL7" i="7"/>
  <c r="ET7" i="7"/>
  <c r="FB7" i="7"/>
  <c r="G8" i="7"/>
  <c r="O8" i="7"/>
  <c r="W8" i="7"/>
  <c r="AE8" i="7"/>
  <c r="AM8" i="7"/>
  <c r="AU8" i="7"/>
  <c r="BC8" i="7"/>
  <c r="BK8" i="7"/>
  <c r="BS8" i="7"/>
  <c r="CA8" i="7"/>
  <c r="CI8" i="7"/>
  <c r="CQ8" i="7"/>
  <c r="CY8" i="7"/>
  <c r="DG8" i="7"/>
  <c r="DO8" i="7"/>
  <c r="DW8" i="7"/>
  <c r="EE8" i="7"/>
  <c r="EM8" i="7"/>
  <c r="EU8" i="7"/>
  <c r="FC8" i="7"/>
  <c r="H9" i="7"/>
  <c r="P9" i="7"/>
  <c r="X9" i="7"/>
  <c r="AF9" i="7"/>
  <c r="AN9" i="7"/>
  <c r="AV9" i="7"/>
  <c r="BD9" i="7"/>
  <c r="BL9" i="7"/>
  <c r="BT9" i="7"/>
  <c r="CB9" i="7"/>
  <c r="CJ9" i="7"/>
  <c r="CR9" i="7"/>
  <c r="CZ9" i="7"/>
  <c r="DH9" i="7"/>
  <c r="DP9" i="7"/>
  <c r="DX9" i="7"/>
  <c r="EF9" i="7"/>
  <c r="EN9" i="7"/>
  <c r="EV9" i="7"/>
  <c r="FD9" i="7"/>
  <c r="I10" i="7"/>
  <c r="Q10" i="7"/>
  <c r="Y10" i="7"/>
  <c r="AG10" i="7"/>
  <c r="AO10" i="7"/>
  <c r="AW10" i="7"/>
  <c r="BE10" i="7"/>
  <c r="BM10" i="7"/>
  <c r="BU10" i="7"/>
  <c r="CC10" i="7"/>
  <c r="CK10" i="7"/>
  <c r="CS10" i="7"/>
  <c r="DA10" i="7"/>
  <c r="DI10" i="7"/>
  <c r="DQ10" i="7"/>
  <c r="DY10" i="7"/>
  <c r="EG10" i="7"/>
  <c r="EO10" i="7"/>
  <c r="EW10" i="7"/>
  <c r="FE10" i="7"/>
  <c r="J11" i="7"/>
  <c r="R11" i="7"/>
  <c r="Z11" i="7"/>
  <c r="G7" i="7"/>
  <c r="O7" i="7"/>
  <c r="W7" i="7"/>
  <c r="AE7" i="7"/>
  <c r="H7" i="7"/>
  <c r="P7" i="7"/>
  <c r="X7" i="7"/>
  <c r="AF7" i="7"/>
  <c r="AN7" i="7"/>
  <c r="AV7" i="7"/>
  <c r="BD7" i="7"/>
  <c r="BL7" i="7"/>
  <c r="BT7" i="7"/>
  <c r="CB7" i="7"/>
  <c r="CJ7" i="7"/>
  <c r="CR7" i="7"/>
  <c r="CZ7" i="7"/>
  <c r="DH7" i="7"/>
  <c r="DP7" i="7"/>
  <c r="DX7" i="7"/>
  <c r="EF7" i="7"/>
  <c r="EN7" i="7"/>
  <c r="EV7" i="7"/>
  <c r="FD7" i="7"/>
  <c r="I8" i="7"/>
  <c r="Q8" i="7"/>
  <c r="Y8" i="7"/>
  <c r="AG8" i="7"/>
  <c r="AO8" i="7"/>
  <c r="AW8" i="7"/>
  <c r="BE8" i="7"/>
  <c r="BM8" i="7"/>
  <c r="BU8" i="7"/>
  <c r="CC8" i="7"/>
  <c r="CK8" i="7"/>
  <c r="CS8" i="7"/>
  <c r="DA8" i="7"/>
  <c r="DI8" i="7"/>
  <c r="DQ8" i="7"/>
  <c r="DY8" i="7"/>
  <c r="EG8" i="7"/>
  <c r="EO8" i="7"/>
  <c r="EW8" i="7"/>
  <c r="FE8" i="7"/>
  <c r="J9" i="7"/>
  <c r="R9" i="7"/>
  <c r="Z9" i="7"/>
  <c r="AH9" i="7"/>
  <c r="AP9" i="7"/>
  <c r="AX9" i="7"/>
  <c r="BF9" i="7"/>
  <c r="BN9" i="7"/>
  <c r="BV9" i="7"/>
  <c r="CD9" i="7"/>
  <c r="CL9" i="7"/>
  <c r="CT9" i="7"/>
  <c r="DB9" i="7"/>
  <c r="DJ9" i="7"/>
  <c r="DR9" i="7"/>
  <c r="DZ9" i="7"/>
  <c r="EH9" i="7"/>
  <c r="EP9" i="7"/>
  <c r="EX9" i="7"/>
  <c r="C10" i="7"/>
  <c r="K10" i="7"/>
  <c r="S10" i="7"/>
  <c r="AA10" i="7"/>
  <c r="AI10" i="7"/>
  <c r="AQ10" i="7"/>
  <c r="AY10" i="7"/>
  <c r="BG10" i="7"/>
  <c r="I7" i="7"/>
  <c r="Q7" i="7"/>
  <c r="Y7" i="7"/>
  <c r="AG7" i="7"/>
  <c r="AO7" i="7"/>
  <c r="AW7" i="7"/>
  <c r="BE7" i="7"/>
  <c r="BM7" i="7"/>
  <c r="BU7" i="7"/>
  <c r="CC7" i="7"/>
  <c r="CK7" i="7"/>
  <c r="CS7" i="7"/>
  <c r="DA7" i="7"/>
  <c r="DI7" i="7"/>
  <c r="DQ7" i="7"/>
  <c r="DY7" i="7"/>
  <c r="EG7" i="7"/>
  <c r="EO7" i="7"/>
  <c r="EW7" i="7"/>
  <c r="FE7" i="7"/>
  <c r="J8" i="7"/>
  <c r="R8" i="7"/>
  <c r="Z8" i="7"/>
  <c r="AH8" i="7"/>
  <c r="AP8" i="7"/>
  <c r="AX8" i="7"/>
  <c r="BF8" i="7"/>
  <c r="BN8" i="7"/>
  <c r="BV8" i="7"/>
  <c r="CD8" i="7"/>
  <c r="CL8" i="7"/>
  <c r="CT8" i="7"/>
  <c r="DB8" i="7"/>
  <c r="DJ8" i="7"/>
  <c r="DR8" i="7"/>
  <c r="DZ8" i="7"/>
  <c r="EH8" i="7"/>
  <c r="EP8" i="7"/>
  <c r="EX8" i="7"/>
  <c r="C9" i="7"/>
  <c r="K9" i="7"/>
  <c r="S9" i="7"/>
  <c r="AA9" i="7"/>
  <c r="AI9" i="7"/>
  <c r="AQ9" i="7"/>
  <c r="AY9" i="7"/>
  <c r="BG9" i="7"/>
  <c r="BO9" i="7"/>
  <c r="BW9" i="7"/>
  <c r="CE9" i="7"/>
  <c r="CM9" i="7"/>
  <c r="CU9" i="7"/>
  <c r="DC9" i="7"/>
  <c r="DK9" i="7"/>
  <c r="DS9" i="7"/>
  <c r="EA9" i="7"/>
  <c r="EI9" i="7"/>
  <c r="EQ9" i="7"/>
  <c r="EY9" i="7"/>
  <c r="D10" i="7"/>
  <c r="L10" i="7"/>
  <c r="T10" i="7"/>
  <c r="AB10" i="7"/>
  <c r="AJ10" i="7"/>
  <c r="AR10" i="7"/>
  <c r="AZ10" i="7"/>
  <c r="BH10" i="7"/>
  <c r="BP10" i="7"/>
  <c r="BX10" i="7"/>
  <c r="CF10" i="7"/>
  <c r="CN10" i="7"/>
  <c r="CV10" i="7"/>
  <c r="DD10" i="7"/>
  <c r="DL10" i="7"/>
  <c r="DT10" i="7"/>
  <c r="EB10" i="7"/>
  <c r="BK7" i="7"/>
  <c r="DW7" i="7"/>
  <c r="AF8" i="7"/>
  <c r="CR8" i="7"/>
  <c r="FD8" i="7"/>
  <c r="BM9" i="7"/>
  <c r="DY9" i="7"/>
  <c r="AH10" i="7"/>
  <c r="CD10" i="7"/>
  <c r="DJ10" i="7"/>
  <c r="EI10" i="7"/>
  <c r="EY10" i="7"/>
  <c r="L11" i="7"/>
  <c r="AA11" i="7"/>
  <c r="AJ11" i="7"/>
  <c r="AR11" i="7"/>
  <c r="AZ11" i="7"/>
  <c r="BH11" i="7"/>
  <c r="BP11" i="7"/>
  <c r="BX11" i="7"/>
  <c r="CF11" i="7"/>
  <c r="CN11" i="7"/>
  <c r="CV11" i="7"/>
  <c r="DD11" i="7"/>
  <c r="DL11" i="7"/>
  <c r="DT11" i="7"/>
  <c r="EB11" i="7"/>
  <c r="EJ11" i="7"/>
  <c r="ER11" i="7"/>
  <c r="EZ11" i="7"/>
  <c r="E12" i="7"/>
  <c r="M12" i="7"/>
  <c r="U12" i="7"/>
  <c r="AC12" i="7"/>
  <c r="AK12" i="7"/>
  <c r="AS12" i="7"/>
  <c r="BA12" i="7"/>
  <c r="BI12" i="7"/>
  <c r="BQ12" i="7"/>
  <c r="BY12" i="7"/>
  <c r="CG12" i="7"/>
  <c r="CO12" i="7"/>
  <c r="CW12" i="7"/>
  <c r="DE12" i="7"/>
  <c r="DM12" i="7"/>
  <c r="DU12" i="7"/>
  <c r="EC12" i="7"/>
  <c r="EK12" i="7"/>
  <c r="ES12" i="7"/>
  <c r="FA12" i="7"/>
  <c r="F13" i="7"/>
  <c r="N13" i="7"/>
  <c r="V13" i="7"/>
  <c r="AD13" i="7"/>
  <c r="AL13" i="7"/>
  <c r="AT13" i="7"/>
  <c r="BB13" i="7"/>
  <c r="BJ13" i="7"/>
  <c r="BR13" i="7"/>
  <c r="BZ13" i="7"/>
  <c r="CH13" i="7"/>
  <c r="CP13" i="7"/>
  <c r="CX13" i="7"/>
  <c r="DF13" i="7"/>
  <c r="DN13" i="7"/>
  <c r="DV13" i="7"/>
  <c r="ED13" i="7"/>
  <c r="EL13" i="7"/>
  <c r="ET13" i="7"/>
  <c r="FB13" i="7"/>
  <c r="G14" i="7"/>
  <c r="O14" i="7"/>
  <c r="W14" i="7"/>
  <c r="AE14" i="7"/>
  <c r="AM14" i="7"/>
  <c r="AU14" i="7"/>
  <c r="BC14" i="7"/>
  <c r="BK14" i="7"/>
  <c r="BS14" i="7"/>
  <c r="CA14" i="7"/>
  <c r="CI14" i="7"/>
  <c r="CQ14" i="7"/>
  <c r="CY14" i="7"/>
  <c r="DG14" i="7"/>
  <c r="DO14" i="7"/>
  <c r="DW14" i="7"/>
  <c r="EE14" i="7"/>
  <c r="EM14" i="7"/>
  <c r="EU14" i="7"/>
  <c r="FC14" i="7"/>
  <c r="H15" i="7"/>
  <c r="P15" i="7"/>
  <c r="X15" i="7"/>
  <c r="AF15" i="7"/>
  <c r="AN15" i="7"/>
  <c r="AV15" i="7"/>
  <c r="BD15" i="7"/>
  <c r="BL15" i="7"/>
  <c r="BT15" i="7"/>
  <c r="CB15" i="7"/>
  <c r="CJ15" i="7"/>
  <c r="CR15" i="7"/>
  <c r="CZ15" i="7"/>
  <c r="BS7" i="7"/>
  <c r="EE7" i="7"/>
  <c r="AN8" i="7"/>
  <c r="CZ8" i="7"/>
  <c r="I9" i="7"/>
  <c r="BU9" i="7"/>
  <c r="EG9" i="7"/>
  <c r="AP10" i="7"/>
  <c r="CE10" i="7"/>
  <c r="DK10" i="7"/>
  <c r="EJ10" i="7"/>
  <c r="EZ10" i="7"/>
  <c r="M11" i="7"/>
  <c r="AB11" i="7"/>
  <c r="AK11" i="7"/>
  <c r="AS11" i="7"/>
  <c r="BA11" i="7"/>
  <c r="BI11" i="7"/>
  <c r="BQ11" i="7"/>
  <c r="BY11" i="7"/>
  <c r="CG11" i="7"/>
  <c r="CO11" i="7"/>
  <c r="CW11" i="7"/>
  <c r="DE11" i="7"/>
  <c r="DM11" i="7"/>
  <c r="DU11" i="7"/>
  <c r="EC11" i="7"/>
  <c r="EK11" i="7"/>
  <c r="ES11" i="7"/>
  <c r="FA11" i="7"/>
  <c r="F12" i="7"/>
  <c r="N12" i="7"/>
  <c r="V12" i="7"/>
  <c r="AD12" i="7"/>
  <c r="AL12" i="7"/>
  <c r="AT12" i="7"/>
  <c r="BB12" i="7"/>
  <c r="BJ12" i="7"/>
  <c r="BR12" i="7"/>
  <c r="BZ12" i="7"/>
  <c r="CH12" i="7"/>
  <c r="CP12" i="7"/>
  <c r="CX12" i="7"/>
  <c r="DF12" i="7"/>
  <c r="DN12" i="7"/>
  <c r="DV12" i="7"/>
  <c r="ED12" i="7"/>
  <c r="EL12" i="7"/>
  <c r="ET12" i="7"/>
  <c r="FB12" i="7"/>
  <c r="G13" i="7"/>
  <c r="O13" i="7"/>
  <c r="W13" i="7"/>
  <c r="AE13" i="7"/>
  <c r="AM13" i="7"/>
  <c r="AU13" i="7"/>
  <c r="BC13" i="7"/>
  <c r="BK13" i="7"/>
  <c r="BS13" i="7"/>
  <c r="CA13" i="7"/>
  <c r="CI13" i="7"/>
  <c r="CQ13" i="7"/>
  <c r="CY13" i="7"/>
  <c r="DG13" i="7"/>
  <c r="DO13" i="7"/>
  <c r="DW13" i="7"/>
  <c r="EE13" i="7"/>
  <c r="EM13" i="7"/>
  <c r="EU13" i="7"/>
  <c r="FC13" i="7"/>
  <c r="H14" i="7"/>
  <c r="P14" i="7"/>
  <c r="X14" i="7"/>
  <c r="AF14" i="7"/>
  <c r="AN14" i="7"/>
  <c r="AV14" i="7"/>
  <c r="BD14" i="7"/>
  <c r="BL14" i="7"/>
  <c r="BT14" i="7"/>
  <c r="CB14" i="7"/>
  <c r="CJ14" i="7"/>
  <c r="CR14" i="7"/>
  <c r="CZ14" i="7"/>
  <c r="DH14" i="7"/>
  <c r="DP14" i="7"/>
  <c r="DX14" i="7"/>
  <c r="EF14" i="7"/>
  <c r="EN14" i="7"/>
  <c r="EV14" i="7"/>
  <c r="FD14" i="7"/>
  <c r="I15" i="7"/>
  <c r="Q15" i="7"/>
  <c r="Y15" i="7"/>
  <c r="AG15" i="7"/>
  <c r="AO15" i="7"/>
  <c r="AW15" i="7"/>
  <c r="BE15" i="7"/>
  <c r="BM15" i="7"/>
  <c r="BU15" i="7"/>
  <c r="CC15" i="7"/>
  <c r="CK15" i="7"/>
  <c r="CS15" i="7"/>
  <c r="DA15" i="7"/>
  <c r="DI15" i="7"/>
  <c r="CA7" i="7"/>
  <c r="EM7" i="7"/>
  <c r="AV8" i="7"/>
  <c r="DH8" i="7"/>
  <c r="Q9" i="7"/>
  <c r="CC9" i="7"/>
  <c r="EO9" i="7"/>
  <c r="AX10" i="7"/>
  <c r="CL10" i="7"/>
  <c r="DR10" i="7"/>
  <c r="EK10" i="7"/>
  <c r="FA10" i="7"/>
  <c r="N11" i="7"/>
  <c r="AC11" i="7"/>
  <c r="AL11" i="7"/>
  <c r="AT11" i="7"/>
  <c r="BB11" i="7"/>
  <c r="BJ11" i="7"/>
  <c r="BR11" i="7"/>
  <c r="BZ11" i="7"/>
  <c r="CH11" i="7"/>
  <c r="CP11" i="7"/>
  <c r="CX11" i="7"/>
  <c r="DF11" i="7"/>
  <c r="DN11" i="7"/>
  <c r="DV11" i="7"/>
  <c r="ED11" i="7"/>
  <c r="EL11" i="7"/>
  <c r="ET11" i="7"/>
  <c r="FB11" i="7"/>
  <c r="G12" i="7"/>
  <c r="O12" i="7"/>
  <c r="W12" i="7"/>
  <c r="AE12" i="7"/>
  <c r="AM12" i="7"/>
  <c r="AU12" i="7"/>
  <c r="BC12" i="7"/>
  <c r="BK12" i="7"/>
  <c r="BS12" i="7"/>
  <c r="CA12" i="7"/>
  <c r="CI12" i="7"/>
  <c r="CQ12" i="7"/>
  <c r="CY12" i="7"/>
  <c r="DG12" i="7"/>
  <c r="DO12" i="7"/>
  <c r="DW12" i="7"/>
  <c r="EE12" i="7"/>
  <c r="EM12" i="7"/>
  <c r="EU12" i="7"/>
  <c r="FC12" i="7"/>
  <c r="H13" i="7"/>
  <c r="P13" i="7"/>
  <c r="X13" i="7"/>
  <c r="AF13" i="7"/>
  <c r="AN13" i="7"/>
  <c r="AV13" i="7"/>
  <c r="BD13" i="7"/>
  <c r="BL13" i="7"/>
  <c r="BT13" i="7"/>
  <c r="CB13" i="7"/>
  <c r="CJ13" i="7"/>
  <c r="CR13" i="7"/>
  <c r="CZ13" i="7"/>
  <c r="DH13" i="7"/>
  <c r="DP13" i="7"/>
  <c r="DX13" i="7"/>
  <c r="EF13" i="7"/>
  <c r="EN13" i="7"/>
  <c r="EV13" i="7"/>
  <c r="FD13" i="7"/>
  <c r="I14" i="7"/>
  <c r="Q14" i="7"/>
  <c r="Y14" i="7"/>
  <c r="AG14" i="7"/>
  <c r="AO14" i="7"/>
  <c r="AW14" i="7"/>
  <c r="BE14" i="7"/>
  <c r="BM14" i="7"/>
  <c r="CI7" i="7"/>
  <c r="EU7" i="7"/>
  <c r="BD8" i="7"/>
  <c r="DP8" i="7"/>
  <c r="Y9" i="7"/>
  <c r="CK9" i="7"/>
  <c r="EW9" i="7"/>
  <c r="BF10" i="7"/>
  <c r="CM10" i="7"/>
  <c r="DS10" i="7"/>
  <c r="EP10" i="7"/>
  <c r="C11" i="7"/>
  <c r="S11" i="7"/>
  <c r="AD11" i="7"/>
  <c r="AM11" i="7"/>
  <c r="AU11" i="7"/>
  <c r="BC11" i="7"/>
  <c r="BK11" i="7"/>
  <c r="BS11" i="7"/>
  <c r="CA11" i="7"/>
  <c r="CI11" i="7"/>
  <c r="CQ11" i="7"/>
  <c r="CY11" i="7"/>
  <c r="DG11" i="7"/>
  <c r="DO11" i="7"/>
  <c r="DW11" i="7"/>
  <c r="EE11" i="7"/>
  <c r="EM11" i="7"/>
  <c r="EU11" i="7"/>
  <c r="FC11" i="7"/>
  <c r="H12" i="7"/>
  <c r="P12" i="7"/>
  <c r="X12" i="7"/>
  <c r="AF12" i="7"/>
  <c r="AN12" i="7"/>
  <c r="AV12" i="7"/>
  <c r="BD12" i="7"/>
  <c r="BL12" i="7"/>
  <c r="BT12" i="7"/>
  <c r="CB12" i="7"/>
  <c r="CJ12" i="7"/>
  <c r="CR12" i="7"/>
  <c r="CZ12" i="7"/>
  <c r="DH12" i="7"/>
  <c r="DP12" i="7"/>
  <c r="DX12" i="7"/>
  <c r="EF12" i="7"/>
  <c r="EN12" i="7"/>
  <c r="EV12" i="7"/>
  <c r="FD12" i="7"/>
  <c r="I13" i="7"/>
  <c r="Q13" i="7"/>
  <c r="Y13" i="7"/>
  <c r="AG13" i="7"/>
  <c r="AO13" i="7"/>
  <c r="AW13" i="7"/>
  <c r="BE13" i="7"/>
  <c r="BM13" i="7"/>
  <c r="BU13" i="7"/>
  <c r="CC13" i="7"/>
  <c r="CK13" i="7"/>
  <c r="CS13" i="7"/>
  <c r="DA13" i="7"/>
  <c r="DI13" i="7"/>
  <c r="DQ13" i="7"/>
  <c r="DY13" i="7"/>
  <c r="EG13" i="7"/>
  <c r="EO13" i="7"/>
  <c r="EW13" i="7"/>
  <c r="FE13" i="7"/>
  <c r="J14" i="7"/>
  <c r="R14" i="7"/>
  <c r="Z14" i="7"/>
  <c r="AH14" i="7"/>
  <c r="AP14" i="7"/>
  <c r="AX14" i="7"/>
  <c r="BF14" i="7"/>
  <c r="BN14" i="7"/>
  <c r="BV14" i="7"/>
  <c r="CD14" i="7"/>
  <c r="CL14" i="7"/>
  <c r="CT14" i="7"/>
  <c r="DB14" i="7"/>
  <c r="DJ14" i="7"/>
  <c r="DR14" i="7"/>
  <c r="DZ14" i="7"/>
  <c r="EH14" i="7"/>
  <c r="EP14" i="7"/>
  <c r="EX14" i="7"/>
  <c r="C15" i="7"/>
  <c r="K15" i="7"/>
  <c r="S15" i="7"/>
  <c r="AA15" i="7"/>
  <c r="AI15" i="7"/>
  <c r="AQ15" i="7"/>
  <c r="AY15" i="7"/>
  <c r="BG15" i="7"/>
  <c r="BO15" i="7"/>
  <c r="BW15" i="7"/>
  <c r="CE15" i="7"/>
  <c r="CM15" i="7"/>
  <c r="CQ7" i="7"/>
  <c r="FC7" i="7"/>
  <c r="BL8" i="7"/>
  <c r="DX8" i="7"/>
  <c r="AG9" i="7"/>
  <c r="AM7" i="7"/>
  <c r="AU7" i="7"/>
  <c r="DG7" i="7"/>
  <c r="P8" i="7"/>
  <c r="CB8" i="7"/>
  <c r="EN8" i="7"/>
  <c r="AW9" i="7"/>
  <c r="DI9" i="7"/>
  <c r="R10" i="7"/>
  <c r="BV10" i="7"/>
  <c r="DB10" i="7"/>
  <c r="EC10" i="7"/>
  <c r="ES10" i="7"/>
  <c r="F11" i="7"/>
  <c r="V11" i="7"/>
  <c r="AH11" i="7"/>
  <c r="AP11" i="7"/>
  <c r="AX11" i="7"/>
  <c r="BF11" i="7"/>
  <c r="BN11" i="7"/>
  <c r="BV11" i="7"/>
  <c r="CD11" i="7"/>
  <c r="CL11" i="7"/>
  <c r="CT11" i="7"/>
  <c r="DB11" i="7"/>
  <c r="DJ11" i="7"/>
  <c r="DR11" i="7"/>
  <c r="DZ11" i="7"/>
  <c r="EH11" i="7"/>
  <c r="EP11" i="7"/>
  <c r="EX11" i="7"/>
  <c r="C12" i="7"/>
  <c r="K12" i="7"/>
  <c r="S12" i="7"/>
  <c r="AA12" i="7"/>
  <c r="AI12" i="7"/>
  <c r="AQ12" i="7"/>
  <c r="AY12" i="7"/>
  <c r="BG12" i="7"/>
  <c r="BO12" i="7"/>
  <c r="BW12" i="7"/>
  <c r="CE12" i="7"/>
  <c r="CM12" i="7"/>
  <c r="CU12" i="7"/>
  <c r="DC12" i="7"/>
  <c r="DK12" i="7"/>
  <c r="DS12" i="7"/>
  <c r="EA12" i="7"/>
  <c r="EI12" i="7"/>
  <c r="EQ12" i="7"/>
  <c r="EY12" i="7"/>
  <c r="D13" i="7"/>
  <c r="L13" i="7"/>
  <c r="T13" i="7"/>
  <c r="AB13" i="7"/>
  <c r="AJ13" i="7"/>
  <c r="AR13" i="7"/>
  <c r="AZ13" i="7"/>
  <c r="BH13" i="7"/>
  <c r="BP13" i="7"/>
  <c r="BX13" i="7"/>
  <c r="CF13" i="7"/>
  <c r="CN13" i="7"/>
  <c r="CV13" i="7"/>
  <c r="DD13" i="7"/>
  <c r="DL13" i="7"/>
  <c r="DT13" i="7"/>
  <c r="EB13" i="7"/>
  <c r="EJ13" i="7"/>
  <c r="ER13" i="7"/>
  <c r="EZ13" i="7"/>
  <c r="E14" i="7"/>
  <c r="M14" i="7"/>
  <c r="U14" i="7"/>
  <c r="AC14" i="7"/>
  <c r="AK14" i="7"/>
  <c r="AS14" i="7"/>
  <c r="BC7" i="7"/>
  <c r="DO7" i="7"/>
  <c r="X8" i="7"/>
  <c r="CJ8" i="7"/>
  <c r="EV8" i="7"/>
  <c r="BE9" i="7"/>
  <c r="DQ9" i="7"/>
  <c r="Z10" i="7"/>
  <c r="BW10" i="7"/>
  <c r="DC10" i="7"/>
  <c r="EH10" i="7"/>
  <c r="EX10" i="7"/>
  <c r="K11" i="7"/>
  <c r="X11" i="7"/>
  <c r="AI11" i="7"/>
  <c r="AQ11" i="7"/>
  <c r="AY11" i="7"/>
  <c r="BG11" i="7"/>
  <c r="BO11" i="7"/>
  <c r="BW11" i="7"/>
  <c r="CE11" i="7"/>
  <c r="CM11" i="7"/>
  <c r="CU11" i="7"/>
  <c r="DC11" i="7"/>
  <c r="DK11" i="7"/>
  <c r="DS11" i="7"/>
  <c r="EA11" i="7"/>
  <c r="EI11" i="7"/>
  <c r="EQ11" i="7"/>
  <c r="EY11" i="7"/>
  <c r="D12" i="7"/>
  <c r="L12" i="7"/>
  <c r="T12" i="7"/>
  <c r="AB12" i="7"/>
  <c r="AJ12" i="7"/>
  <c r="AR12" i="7"/>
  <c r="AZ12" i="7"/>
  <c r="BH12" i="7"/>
  <c r="BP12" i="7"/>
  <c r="BX12" i="7"/>
  <c r="CF12" i="7"/>
  <c r="CN12" i="7"/>
  <c r="CV12" i="7"/>
  <c r="DD12" i="7"/>
  <c r="DL12" i="7"/>
  <c r="DT12" i="7"/>
  <c r="EB12" i="7"/>
  <c r="EJ12" i="7"/>
  <c r="ER12" i="7"/>
  <c r="EZ12" i="7"/>
  <c r="E13" i="7"/>
  <c r="M13" i="7"/>
  <c r="U13" i="7"/>
  <c r="AC13" i="7"/>
  <c r="AK13" i="7"/>
  <c r="AS13" i="7"/>
  <c r="BA13" i="7"/>
  <c r="BI13" i="7"/>
  <c r="BQ13" i="7"/>
  <c r="BY13" i="7"/>
  <c r="CG13" i="7"/>
  <c r="CO13" i="7"/>
  <c r="CW13" i="7"/>
  <c r="DE13" i="7"/>
  <c r="DM13" i="7"/>
  <c r="DU13" i="7"/>
  <c r="EC13" i="7"/>
  <c r="EK13" i="7"/>
  <c r="ES13" i="7"/>
  <c r="FA13" i="7"/>
  <c r="F14" i="7"/>
  <c r="N14" i="7"/>
  <c r="V14" i="7"/>
  <c r="AD14" i="7"/>
  <c r="AL14" i="7"/>
  <c r="AT14" i="7"/>
  <c r="BB14" i="7"/>
  <c r="BJ14" i="7"/>
  <c r="BR14" i="7"/>
  <c r="BZ14" i="7"/>
  <c r="CH14" i="7"/>
  <c r="CP14" i="7"/>
  <c r="CX14" i="7"/>
  <c r="DF14" i="7"/>
  <c r="DN14" i="7"/>
  <c r="EF8" i="7"/>
  <c r="CT10" i="7"/>
  <c r="T11" i="7"/>
  <c r="BD11" i="7"/>
  <c r="CJ11" i="7"/>
  <c r="DP11" i="7"/>
  <c r="EV11" i="7"/>
  <c r="Y12" i="7"/>
  <c r="BE12" i="7"/>
  <c r="CK12" i="7"/>
  <c r="DQ12" i="7"/>
  <c r="EW12" i="7"/>
  <c r="Z13" i="7"/>
  <c r="BF13" i="7"/>
  <c r="CL13" i="7"/>
  <c r="DR13" i="7"/>
  <c r="EX13" i="7"/>
  <c r="AA14" i="7"/>
  <c r="BA14" i="7"/>
  <c r="BW14" i="7"/>
  <c r="CM14" i="7"/>
  <c r="DC14" i="7"/>
  <c r="DS14" i="7"/>
  <c r="ED14" i="7"/>
  <c r="ER14" i="7"/>
  <c r="FE14" i="7"/>
  <c r="N15" i="7"/>
  <c r="AB15" i="7"/>
  <c r="AM15" i="7"/>
  <c r="BA15" i="7"/>
  <c r="BN15" i="7"/>
  <c r="BZ15" i="7"/>
  <c r="CN15" i="7"/>
  <c r="CX15" i="7"/>
  <c r="DH15" i="7"/>
  <c r="DQ15" i="7"/>
  <c r="DY15" i="7"/>
  <c r="EG15" i="7"/>
  <c r="EO15" i="7"/>
  <c r="EW15" i="7"/>
  <c r="FE15" i="7"/>
  <c r="J16" i="7"/>
  <c r="R16" i="7"/>
  <c r="Z16" i="7"/>
  <c r="AH16" i="7"/>
  <c r="AP16" i="7"/>
  <c r="AX16" i="7"/>
  <c r="BF16" i="7"/>
  <c r="BN16" i="7"/>
  <c r="BV16" i="7"/>
  <c r="CD16" i="7"/>
  <c r="CL16" i="7"/>
  <c r="CT16" i="7"/>
  <c r="DB16" i="7"/>
  <c r="DJ16" i="7"/>
  <c r="DR16" i="7"/>
  <c r="DZ16" i="7"/>
  <c r="EH16" i="7"/>
  <c r="EP16" i="7"/>
  <c r="EX16" i="7"/>
  <c r="C17" i="7"/>
  <c r="K17" i="7"/>
  <c r="S17" i="7"/>
  <c r="AA17" i="7"/>
  <c r="AI17" i="7"/>
  <c r="AQ17" i="7"/>
  <c r="AY17" i="7"/>
  <c r="BG17" i="7"/>
  <c r="BO17" i="7"/>
  <c r="BW17" i="7"/>
  <c r="CE17" i="7"/>
  <c r="CM17" i="7"/>
  <c r="CU17" i="7"/>
  <c r="DC17" i="7"/>
  <c r="DK17" i="7"/>
  <c r="DS17" i="7"/>
  <c r="AO9" i="7"/>
  <c r="CU10" i="7"/>
  <c r="U11" i="7"/>
  <c r="BE11" i="7"/>
  <c r="CK11" i="7"/>
  <c r="DQ11" i="7"/>
  <c r="EW11" i="7"/>
  <c r="Z12" i="7"/>
  <c r="BF12" i="7"/>
  <c r="CL12" i="7"/>
  <c r="DR12" i="7"/>
  <c r="EX12" i="7"/>
  <c r="AA13" i="7"/>
  <c r="BG13" i="7"/>
  <c r="CM13" i="7"/>
  <c r="DS13" i="7"/>
  <c r="EY13" i="7"/>
  <c r="AB14" i="7"/>
  <c r="BG14" i="7"/>
  <c r="BX14" i="7"/>
  <c r="CN14" i="7"/>
  <c r="DD14" i="7"/>
  <c r="DT14" i="7"/>
  <c r="EG14" i="7"/>
  <c r="ES14" i="7"/>
  <c r="D15" i="7"/>
  <c r="O15" i="7"/>
  <c r="AC15" i="7"/>
  <c r="AP15" i="7"/>
  <c r="BB15" i="7"/>
  <c r="BP15" i="7"/>
  <c r="CA15" i="7"/>
  <c r="CO15" i="7"/>
  <c r="CY15" i="7"/>
  <c r="DJ15" i="7"/>
  <c r="DR15" i="7"/>
  <c r="DZ15" i="7"/>
  <c r="EH15" i="7"/>
  <c r="EP15" i="7"/>
  <c r="EX15" i="7"/>
  <c r="C16" i="7"/>
  <c r="K16" i="7"/>
  <c r="S16" i="7"/>
  <c r="AA16" i="7"/>
  <c r="AI16" i="7"/>
  <c r="AQ16" i="7"/>
  <c r="AY16" i="7"/>
  <c r="BG16" i="7"/>
  <c r="BO16" i="7"/>
  <c r="BW16" i="7"/>
  <c r="CE16" i="7"/>
  <c r="CM16" i="7"/>
  <c r="CU16" i="7"/>
  <c r="DC16" i="7"/>
  <c r="DK16" i="7"/>
  <c r="DS16" i="7"/>
  <c r="EA16" i="7"/>
  <c r="EI16" i="7"/>
  <c r="EQ16" i="7"/>
  <c r="EY16" i="7"/>
  <c r="D17" i="7"/>
  <c r="L17" i="7"/>
  <c r="T17" i="7"/>
  <c r="AB17" i="7"/>
  <c r="AJ17" i="7"/>
  <c r="AR17" i="7"/>
  <c r="AZ17" i="7"/>
  <c r="BH17" i="7"/>
  <c r="BP17" i="7"/>
  <c r="BX17" i="7"/>
  <c r="CF17" i="7"/>
  <c r="CN17" i="7"/>
  <c r="CV17" i="7"/>
  <c r="DD17" i="7"/>
  <c r="DL17" i="7"/>
  <c r="DT17" i="7"/>
  <c r="EB17" i="7"/>
  <c r="EJ17" i="7"/>
  <c r="ER17" i="7"/>
  <c r="EZ17" i="7"/>
  <c r="E18" i="7"/>
  <c r="M18" i="7"/>
  <c r="U18" i="7"/>
  <c r="AC18" i="7"/>
  <c r="AK18" i="7"/>
  <c r="AS18" i="7"/>
  <c r="BA18" i="7"/>
  <c r="BI18" i="7"/>
  <c r="CS9" i="7"/>
  <c r="DZ10" i="7"/>
  <c r="AF11" i="7"/>
  <c r="BL11" i="7"/>
  <c r="CR11" i="7"/>
  <c r="DX11" i="7"/>
  <c r="FD11" i="7"/>
  <c r="AG12" i="7"/>
  <c r="BM12" i="7"/>
  <c r="CS12" i="7"/>
  <c r="DY12" i="7"/>
  <c r="FE12" i="7"/>
  <c r="AH13" i="7"/>
  <c r="BN13" i="7"/>
  <c r="CT13" i="7"/>
  <c r="DZ13" i="7"/>
  <c r="C14" i="7"/>
  <c r="AI14" i="7"/>
  <c r="BH14" i="7"/>
  <c r="BY14" i="7"/>
  <c r="CO14" i="7"/>
  <c r="DE14" i="7"/>
  <c r="DU14" i="7"/>
  <c r="EI14" i="7"/>
  <c r="ET14" i="7"/>
  <c r="E15" i="7"/>
  <c r="R15" i="7"/>
  <c r="AD15" i="7"/>
  <c r="AR15" i="7"/>
  <c r="BC15" i="7"/>
  <c r="BQ15" i="7"/>
  <c r="CD15" i="7"/>
  <c r="CP15" i="7"/>
  <c r="DB15" i="7"/>
  <c r="DK15" i="7"/>
  <c r="DS15" i="7"/>
  <c r="EA15" i="7"/>
  <c r="EI15" i="7"/>
  <c r="EQ15" i="7"/>
  <c r="EY15" i="7"/>
  <c r="D16" i="7"/>
  <c r="L16" i="7"/>
  <c r="T16" i="7"/>
  <c r="AB16" i="7"/>
  <c r="AJ16" i="7"/>
  <c r="AR16" i="7"/>
  <c r="AZ16" i="7"/>
  <c r="BH16" i="7"/>
  <c r="BP16" i="7"/>
  <c r="BX16" i="7"/>
  <c r="CF16" i="7"/>
  <c r="CN16" i="7"/>
  <c r="CV16" i="7"/>
  <c r="DD16" i="7"/>
  <c r="DL16" i="7"/>
  <c r="DT16" i="7"/>
  <c r="EB16" i="7"/>
  <c r="EJ16" i="7"/>
  <c r="ER16" i="7"/>
  <c r="EZ16" i="7"/>
  <c r="E17" i="7"/>
  <c r="M17" i="7"/>
  <c r="U17" i="7"/>
  <c r="AC17" i="7"/>
  <c r="AK17" i="7"/>
  <c r="AS17" i="7"/>
  <c r="BA17" i="7"/>
  <c r="BI17" i="7"/>
  <c r="BQ17" i="7"/>
  <c r="BY17" i="7"/>
  <c r="CG17" i="7"/>
  <c r="CO17" i="7"/>
  <c r="CW17" i="7"/>
  <c r="DE17" i="7"/>
  <c r="DM17" i="7"/>
  <c r="DU17" i="7"/>
  <c r="EC17" i="7"/>
  <c r="EK17" i="7"/>
  <c r="ES17" i="7"/>
  <c r="FA17" i="7"/>
  <c r="F18" i="7"/>
  <c r="N18" i="7"/>
  <c r="V18" i="7"/>
  <c r="AD18" i="7"/>
  <c r="AL18" i="7"/>
  <c r="DA9" i="7"/>
  <c r="EA10" i="7"/>
  <c r="AG11" i="7"/>
  <c r="BM11" i="7"/>
  <c r="CS11" i="7"/>
  <c r="DY11" i="7"/>
  <c r="FE11" i="7"/>
  <c r="AH12" i="7"/>
  <c r="BN12" i="7"/>
  <c r="CT12" i="7"/>
  <c r="DZ12" i="7"/>
  <c r="C13" i="7"/>
  <c r="AI13" i="7"/>
  <c r="BO13" i="7"/>
  <c r="CU13" i="7"/>
  <c r="EA13" i="7"/>
  <c r="D14" i="7"/>
  <c r="AJ14" i="7"/>
  <c r="BI14" i="7"/>
  <c r="CC14" i="7"/>
  <c r="CS14" i="7"/>
  <c r="DI14" i="7"/>
  <c r="DV14" i="7"/>
  <c r="EJ14" i="7"/>
  <c r="EW14" i="7"/>
  <c r="F15" i="7"/>
  <c r="T15" i="7"/>
  <c r="AE15" i="7"/>
  <c r="AS15" i="7"/>
  <c r="BF15" i="7"/>
  <c r="BR15" i="7"/>
  <c r="CF15" i="7"/>
  <c r="CQ15" i="7"/>
  <c r="DC15" i="7"/>
  <c r="DL15" i="7"/>
  <c r="DT15" i="7"/>
  <c r="EB15" i="7"/>
  <c r="EJ15" i="7"/>
  <c r="ER15" i="7"/>
  <c r="EZ15" i="7"/>
  <c r="E16" i="7"/>
  <c r="M16" i="7"/>
  <c r="U16" i="7"/>
  <c r="AC16" i="7"/>
  <c r="AK16" i="7"/>
  <c r="AS16" i="7"/>
  <c r="BA16" i="7"/>
  <c r="BI16" i="7"/>
  <c r="BQ16" i="7"/>
  <c r="BY16" i="7"/>
  <c r="CG16" i="7"/>
  <c r="CO16" i="7"/>
  <c r="CW16" i="7"/>
  <c r="DE16" i="7"/>
  <c r="DM16" i="7"/>
  <c r="DU16" i="7"/>
  <c r="EC16" i="7"/>
  <c r="EK16" i="7"/>
  <c r="ES16" i="7"/>
  <c r="FA16" i="7"/>
  <c r="F17" i="7"/>
  <c r="N17" i="7"/>
  <c r="V17" i="7"/>
  <c r="AD17" i="7"/>
  <c r="AL17" i="7"/>
  <c r="AT17" i="7"/>
  <c r="BB17" i="7"/>
  <c r="BJ17" i="7"/>
  <c r="BR17" i="7"/>
  <c r="BZ17" i="7"/>
  <c r="CH17" i="7"/>
  <c r="CP17" i="7"/>
  <c r="CX17" i="7"/>
  <c r="DF17" i="7"/>
  <c r="DN17" i="7"/>
  <c r="DV17" i="7"/>
  <c r="ED17" i="7"/>
  <c r="EL17" i="7"/>
  <c r="ET17" i="7"/>
  <c r="FB17" i="7"/>
  <c r="G18" i="7"/>
  <c r="O18" i="7"/>
  <c r="W18" i="7"/>
  <c r="AE18" i="7"/>
  <c r="AM18" i="7"/>
  <c r="FE9" i="7"/>
  <c r="EQ10" i="7"/>
  <c r="AN11" i="7"/>
  <c r="BT11" i="7"/>
  <c r="CZ11" i="7"/>
  <c r="EF11" i="7"/>
  <c r="I12" i="7"/>
  <c r="AO12" i="7"/>
  <c r="BU12" i="7"/>
  <c r="DA12" i="7"/>
  <c r="EG12" i="7"/>
  <c r="J13" i="7"/>
  <c r="AP13" i="7"/>
  <c r="BV13" i="7"/>
  <c r="DB13" i="7"/>
  <c r="EH13" i="7"/>
  <c r="K14" i="7"/>
  <c r="AQ14" i="7"/>
  <c r="BO14" i="7"/>
  <c r="CE14" i="7"/>
  <c r="CU14" i="7"/>
  <c r="DK14" i="7"/>
  <c r="DY14" i="7"/>
  <c r="EK14" i="7"/>
  <c r="EY14" i="7"/>
  <c r="G15" i="7"/>
  <c r="U15" i="7"/>
  <c r="AH15" i="7"/>
  <c r="AT15" i="7"/>
  <c r="BH15" i="7"/>
  <c r="BS15" i="7"/>
  <c r="CG15" i="7"/>
  <c r="CT15" i="7"/>
  <c r="DD15" i="7"/>
  <c r="DM15" i="7"/>
  <c r="DU15" i="7"/>
  <c r="EC15" i="7"/>
  <c r="CY7" i="7"/>
  <c r="J10" i="7"/>
  <c r="ER10" i="7"/>
  <c r="AO11" i="7"/>
  <c r="BU11" i="7"/>
  <c r="DA11" i="7"/>
  <c r="EG11" i="7"/>
  <c r="J12" i="7"/>
  <c r="AP12" i="7"/>
  <c r="BV12" i="7"/>
  <c r="DB12" i="7"/>
  <c r="EH12" i="7"/>
  <c r="K13" i="7"/>
  <c r="AQ13" i="7"/>
  <c r="BW13" i="7"/>
  <c r="DC13" i="7"/>
  <c r="EI13" i="7"/>
  <c r="L14" i="7"/>
  <c r="AR14" i="7"/>
  <c r="BP14" i="7"/>
  <c r="CF14" i="7"/>
  <c r="CV14" i="7"/>
  <c r="DL14" i="7"/>
  <c r="EA14" i="7"/>
  <c r="EL14" i="7"/>
  <c r="EZ14" i="7"/>
  <c r="J15" i="7"/>
  <c r="V15" i="7"/>
  <c r="AJ15" i="7"/>
  <c r="AU15" i="7"/>
  <c r="BI15" i="7"/>
  <c r="BV15" i="7"/>
  <c r="CH15" i="7"/>
  <c r="CU15" i="7"/>
  <c r="DE15" i="7"/>
  <c r="DN15" i="7"/>
  <c r="DV15" i="7"/>
  <c r="ED15" i="7"/>
  <c r="EL15" i="7"/>
  <c r="ET15" i="7"/>
  <c r="FB15" i="7"/>
  <c r="G16" i="7"/>
  <c r="O16" i="7"/>
  <c r="W16" i="7"/>
  <c r="AE16" i="7"/>
  <c r="AM16" i="7"/>
  <c r="AU16" i="7"/>
  <c r="BC16" i="7"/>
  <c r="BK16" i="7"/>
  <c r="BS16" i="7"/>
  <c r="CA16" i="7"/>
  <c r="CI16" i="7"/>
  <c r="CQ16" i="7"/>
  <c r="CY16" i="7"/>
  <c r="DG16" i="7"/>
  <c r="DO16" i="7"/>
  <c r="DW16" i="7"/>
  <c r="EE16" i="7"/>
  <c r="EM16" i="7"/>
  <c r="H8" i="7"/>
  <c r="BN10" i="7"/>
  <c r="D11" i="7"/>
  <c r="AV11" i="7"/>
  <c r="CB11" i="7"/>
  <c r="DH11" i="7"/>
  <c r="EN11" i="7"/>
  <c r="Q12" i="7"/>
  <c r="AW12" i="7"/>
  <c r="CC12" i="7"/>
  <c r="DI12" i="7"/>
  <c r="EO12" i="7"/>
  <c r="R13" i="7"/>
  <c r="AX13" i="7"/>
  <c r="CD13" i="7"/>
  <c r="DJ13" i="7"/>
  <c r="EP13" i="7"/>
  <c r="S14" i="7"/>
  <c r="AY14" i="7"/>
  <c r="BQ14" i="7"/>
  <c r="CG14" i="7"/>
  <c r="CW14" i="7"/>
  <c r="DM14" i="7"/>
  <c r="EB14" i="7"/>
  <c r="EO14" i="7"/>
  <c r="FA14" i="7"/>
  <c r="L15" i="7"/>
  <c r="W15" i="7"/>
  <c r="AK15" i="7"/>
  <c r="AX15" i="7"/>
  <c r="BJ15" i="7"/>
  <c r="BX15" i="7"/>
  <c r="CI15" i="7"/>
  <c r="CV15" i="7"/>
  <c r="DF15" i="7"/>
  <c r="DO15" i="7"/>
  <c r="DW15" i="7"/>
  <c r="EE15" i="7"/>
  <c r="EM15" i="7"/>
  <c r="EU15" i="7"/>
  <c r="FC15" i="7"/>
  <c r="H16" i="7"/>
  <c r="P16" i="7"/>
  <c r="X16" i="7"/>
  <c r="AF16" i="7"/>
  <c r="AN16" i="7"/>
  <c r="AV16" i="7"/>
  <c r="BD16" i="7"/>
  <c r="BL16" i="7"/>
  <c r="BT16" i="7"/>
  <c r="CB16" i="7"/>
  <c r="CJ16" i="7"/>
  <c r="CR16" i="7"/>
  <c r="CZ16" i="7"/>
  <c r="DH16" i="7"/>
  <c r="DP16" i="7"/>
  <c r="DX16" i="7"/>
  <c r="EF16" i="7"/>
  <c r="EN16" i="7"/>
  <c r="EV16" i="7"/>
  <c r="FD16" i="7"/>
  <c r="I17" i="7"/>
  <c r="Q17" i="7"/>
  <c r="Y17" i="7"/>
  <c r="AG17" i="7"/>
  <c r="AO17" i="7"/>
  <c r="AW17" i="7"/>
  <c r="BE17" i="7"/>
  <c r="BM17" i="7"/>
  <c r="BU17" i="7"/>
  <c r="CC17" i="7"/>
  <c r="CK17" i="7"/>
  <c r="CS17" i="7"/>
  <c r="DA17" i="7"/>
  <c r="DI17" i="7"/>
  <c r="DQ17" i="7"/>
  <c r="DY17" i="7"/>
  <c r="EG17" i="7"/>
  <c r="EO17" i="7"/>
  <c r="EW17" i="7"/>
  <c r="FE17" i="7"/>
  <c r="J18" i="7"/>
  <c r="R18" i="7"/>
  <c r="Z18" i="7"/>
  <c r="AH18" i="7"/>
  <c r="AP18" i="7"/>
  <c r="AX18" i="7"/>
  <c r="BF18" i="7"/>
  <c r="BN18" i="7"/>
  <c r="AW11" i="7"/>
  <c r="EP12" i="7"/>
  <c r="BU14" i="7"/>
  <c r="Z15" i="7"/>
  <c r="DP15" i="7"/>
  <c r="FD15" i="7"/>
  <c r="AG16" i="7"/>
  <c r="BM16" i="7"/>
  <c r="CS16" i="7"/>
  <c r="DY16" i="7"/>
  <c r="FB16" i="7"/>
  <c r="R17" i="7"/>
  <c r="AN17" i="7"/>
  <c r="BK17" i="7"/>
  <c r="CD17" i="7"/>
  <c r="CZ17" i="7"/>
  <c r="DW17" i="7"/>
  <c r="EM17" i="7"/>
  <c r="FC17" i="7"/>
  <c r="P18" i="7"/>
  <c r="AF18" i="7"/>
  <c r="AT18" i="7"/>
  <c r="BD18" i="7"/>
  <c r="BO18" i="7"/>
  <c r="BW18" i="7"/>
  <c r="CE18" i="7"/>
  <c r="CM18" i="7"/>
  <c r="CU18" i="7"/>
  <c r="DC18" i="7"/>
  <c r="DK18" i="7"/>
  <c r="DS18" i="7"/>
  <c r="EA18" i="7"/>
  <c r="EI18" i="7"/>
  <c r="EQ18" i="7"/>
  <c r="EY18" i="7"/>
  <c r="D19" i="7"/>
  <c r="L19" i="7"/>
  <c r="T19" i="7"/>
  <c r="AB19" i="7"/>
  <c r="AJ19" i="7"/>
  <c r="AR19" i="7"/>
  <c r="AZ19" i="7"/>
  <c r="BH19" i="7"/>
  <c r="BP19" i="7"/>
  <c r="BX19" i="7"/>
  <c r="CF19" i="7"/>
  <c r="CN19" i="7"/>
  <c r="CV19" i="7"/>
  <c r="DD19" i="7"/>
  <c r="DL19" i="7"/>
  <c r="DT19" i="7"/>
  <c r="EB19" i="7"/>
  <c r="EJ19" i="7"/>
  <c r="ER19" i="7"/>
  <c r="EZ19" i="7"/>
  <c r="E20" i="7"/>
  <c r="M20" i="7"/>
  <c r="U20" i="7"/>
  <c r="AC20" i="7"/>
  <c r="AK20" i="7"/>
  <c r="AS20" i="7"/>
  <c r="BA20" i="7"/>
  <c r="BI20" i="7"/>
  <c r="BQ20" i="7"/>
  <c r="BY20" i="7"/>
  <c r="CG20" i="7"/>
  <c r="CO20" i="7"/>
  <c r="CW20" i="7"/>
  <c r="DE20" i="7"/>
  <c r="DM20" i="7"/>
  <c r="DU20" i="7"/>
  <c r="EC20" i="7"/>
  <c r="EK20" i="7"/>
  <c r="ES20" i="7"/>
  <c r="FA20" i="7"/>
  <c r="F21" i="7"/>
  <c r="N21" i="7"/>
  <c r="V21" i="7"/>
  <c r="AD21" i="7"/>
  <c r="AL21" i="7"/>
  <c r="AT21" i="7"/>
  <c r="BB21" i="7"/>
  <c r="BJ21" i="7"/>
  <c r="BR21" i="7"/>
  <c r="BZ21" i="7"/>
  <c r="CH21" i="7"/>
  <c r="CP21" i="7"/>
  <c r="CX21" i="7"/>
  <c r="CC11" i="7"/>
  <c r="S13" i="7"/>
  <c r="CK14" i="7"/>
  <c r="AL15" i="7"/>
  <c r="DX15" i="7"/>
  <c r="F16" i="7"/>
  <c r="AL16" i="7"/>
  <c r="BR16" i="7"/>
  <c r="CX16" i="7"/>
  <c r="ED16" i="7"/>
  <c r="FC16" i="7"/>
  <c r="W17" i="7"/>
  <c r="AP17" i="7"/>
  <c r="BL17" i="7"/>
  <c r="CI17" i="7"/>
  <c r="DB17" i="7"/>
  <c r="DX17" i="7"/>
  <c r="EN17" i="7"/>
  <c r="FD17" i="7"/>
  <c r="Q18" i="7"/>
  <c r="AG18" i="7"/>
  <c r="AU18" i="7"/>
  <c r="BE18" i="7"/>
  <c r="BP18" i="7"/>
  <c r="BX18" i="7"/>
  <c r="CF18" i="7"/>
  <c r="CN18" i="7"/>
  <c r="CV18" i="7"/>
  <c r="DD18" i="7"/>
  <c r="DL18" i="7"/>
  <c r="DT18" i="7"/>
  <c r="EB18" i="7"/>
  <c r="EJ18" i="7"/>
  <c r="ER18" i="7"/>
  <c r="EZ18" i="7"/>
  <c r="E19" i="7"/>
  <c r="M19" i="7"/>
  <c r="U19" i="7"/>
  <c r="AC19" i="7"/>
  <c r="AK19" i="7"/>
  <c r="AS19" i="7"/>
  <c r="BA19" i="7"/>
  <c r="BI19" i="7"/>
  <c r="BQ19" i="7"/>
  <c r="BY19" i="7"/>
  <c r="CG19" i="7"/>
  <c r="CO19" i="7"/>
  <c r="CW19" i="7"/>
  <c r="DE19" i="7"/>
  <c r="DM19" i="7"/>
  <c r="DU19" i="7"/>
  <c r="EC19" i="7"/>
  <c r="EK19" i="7"/>
  <c r="ES19" i="7"/>
  <c r="FA19" i="7"/>
  <c r="F20" i="7"/>
  <c r="N20" i="7"/>
  <c r="V20" i="7"/>
  <c r="AD20" i="7"/>
  <c r="AL20" i="7"/>
  <c r="AT20" i="7"/>
  <c r="BB20" i="7"/>
  <c r="BJ20" i="7"/>
  <c r="BR20" i="7"/>
  <c r="BZ20" i="7"/>
  <c r="CH20" i="7"/>
  <c r="CP20" i="7"/>
  <c r="CX20" i="7"/>
  <c r="DF20" i="7"/>
  <c r="DN20" i="7"/>
  <c r="DV20" i="7"/>
  <c r="ED20" i="7"/>
  <c r="EL20" i="7"/>
  <c r="ET20" i="7"/>
  <c r="FB20" i="7"/>
  <c r="G21" i="7"/>
  <c r="O21" i="7"/>
  <c r="W21" i="7"/>
  <c r="AE21" i="7"/>
  <c r="AM21" i="7"/>
  <c r="AU21" i="7"/>
  <c r="BC21" i="7"/>
  <c r="BK21" i="7"/>
  <c r="BS21" i="7"/>
  <c r="CA21" i="7"/>
  <c r="CI21" i="7"/>
  <c r="DI11" i="7"/>
  <c r="AY13" i="7"/>
  <c r="DA14" i="7"/>
  <c r="AZ15" i="7"/>
  <c r="EF15" i="7"/>
  <c r="I16" i="7"/>
  <c r="AO16" i="7"/>
  <c r="BU16" i="7"/>
  <c r="DA16" i="7"/>
  <c r="EG16" i="7"/>
  <c r="FE16" i="7"/>
  <c r="X17" i="7"/>
  <c r="AU17" i="7"/>
  <c r="BN17" i="7"/>
  <c r="CJ17" i="7"/>
  <c r="DG17" i="7"/>
  <c r="DZ17" i="7"/>
  <c r="EP17" i="7"/>
  <c r="C18" i="7"/>
  <c r="S18" i="7"/>
  <c r="AI18" i="7"/>
  <c r="AV18" i="7"/>
  <c r="BG18" i="7"/>
  <c r="BQ18" i="7"/>
  <c r="BY18" i="7"/>
  <c r="CG18" i="7"/>
  <c r="CO18" i="7"/>
  <c r="CW18" i="7"/>
  <c r="DE18" i="7"/>
  <c r="DM18" i="7"/>
  <c r="DU18" i="7"/>
  <c r="EC18" i="7"/>
  <c r="EK18" i="7"/>
  <c r="ES18" i="7"/>
  <c r="FA18" i="7"/>
  <c r="F19" i="7"/>
  <c r="N19" i="7"/>
  <c r="V19" i="7"/>
  <c r="AD19" i="7"/>
  <c r="AL19" i="7"/>
  <c r="AT19" i="7"/>
  <c r="BB19" i="7"/>
  <c r="BJ19" i="7"/>
  <c r="BR19" i="7"/>
  <c r="BZ19" i="7"/>
  <c r="CH19" i="7"/>
  <c r="CP19" i="7"/>
  <c r="CX19" i="7"/>
  <c r="DF19" i="7"/>
  <c r="DN19" i="7"/>
  <c r="DV19" i="7"/>
  <c r="ED19" i="7"/>
  <c r="EL19" i="7"/>
  <c r="ET19" i="7"/>
  <c r="FB19" i="7"/>
  <c r="G20" i="7"/>
  <c r="O20" i="7"/>
  <c r="W20" i="7"/>
  <c r="AE20" i="7"/>
  <c r="AM20" i="7"/>
  <c r="AU20" i="7"/>
  <c r="BC20" i="7"/>
  <c r="BK20" i="7"/>
  <c r="BS20" i="7"/>
  <c r="CA20" i="7"/>
  <c r="CI20" i="7"/>
  <c r="CQ20" i="7"/>
  <c r="CY20" i="7"/>
  <c r="DG20" i="7"/>
  <c r="DO20" i="7"/>
  <c r="DW20" i="7"/>
  <c r="EE20" i="7"/>
  <c r="EM20" i="7"/>
  <c r="EU20" i="7"/>
  <c r="FC20" i="7"/>
  <c r="H21" i="7"/>
  <c r="P21" i="7"/>
  <c r="X21" i="7"/>
  <c r="AF21" i="7"/>
  <c r="AN21" i="7"/>
  <c r="AV21" i="7"/>
  <c r="BD21" i="7"/>
  <c r="BL21" i="7"/>
  <c r="BT21" i="7"/>
  <c r="CB21" i="7"/>
  <c r="CJ21" i="7"/>
  <c r="CR21" i="7"/>
  <c r="CZ21" i="7"/>
  <c r="EO11" i="7"/>
  <c r="CE13" i="7"/>
  <c r="DQ14" i="7"/>
  <c r="BK15" i="7"/>
  <c r="EK15" i="7"/>
  <c r="N16" i="7"/>
  <c r="AT16" i="7"/>
  <c r="BZ16" i="7"/>
  <c r="DF16" i="7"/>
  <c r="EL16" i="7"/>
  <c r="G17" i="7"/>
  <c r="Z17" i="7"/>
  <c r="AV17" i="7"/>
  <c r="BS17" i="7"/>
  <c r="CL17" i="7"/>
  <c r="DH17" i="7"/>
  <c r="EA17" i="7"/>
  <c r="EQ17" i="7"/>
  <c r="D18" i="7"/>
  <c r="T18" i="7"/>
  <c r="AJ18" i="7"/>
  <c r="AW18" i="7"/>
  <c r="BH18" i="7"/>
  <c r="BR18" i="7"/>
  <c r="BZ18" i="7"/>
  <c r="CH18" i="7"/>
  <c r="CP18" i="7"/>
  <c r="CX18" i="7"/>
  <c r="DF18" i="7"/>
  <c r="DN18" i="7"/>
  <c r="DV18" i="7"/>
  <c r="ED18" i="7"/>
  <c r="EL18" i="7"/>
  <c r="ET18" i="7"/>
  <c r="FB18" i="7"/>
  <c r="G19" i="7"/>
  <c r="O19" i="7"/>
  <c r="W19" i="7"/>
  <c r="AE19" i="7"/>
  <c r="AM19" i="7"/>
  <c r="AU19" i="7"/>
  <c r="BC19" i="7"/>
  <c r="BK19" i="7"/>
  <c r="BS19" i="7"/>
  <c r="CA19" i="7"/>
  <c r="CI19" i="7"/>
  <c r="CQ19" i="7"/>
  <c r="CY19" i="7"/>
  <c r="DG19" i="7"/>
  <c r="DO19" i="7"/>
  <c r="DW19" i="7"/>
  <c r="EE19" i="7"/>
  <c r="EM19" i="7"/>
  <c r="EU19" i="7"/>
  <c r="FC19" i="7"/>
  <c r="H20" i="7"/>
  <c r="P20" i="7"/>
  <c r="X20" i="7"/>
  <c r="AF20" i="7"/>
  <c r="AN20" i="7"/>
  <c r="AV20" i="7"/>
  <c r="BD20" i="7"/>
  <c r="BL20" i="7"/>
  <c r="BT20" i="7"/>
  <c r="CB20" i="7"/>
  <c r="CJ20" i="7"/>
  <c r="CR20" i="7"/>
  <c r="CZ20" i="7"/>
  <c r="DH20" i="7"/>
  <c r="DP20" i="7"/>
  <c r="DX20" i="7"/>
  <c r="EF20" i="7"/>
  <c r="EN20" i="7"/>
  <c r="EV20" i="7"/>
  <c r="FD20" i="7"/>
  <c r="I21" i="7"/>
  <c r="Q21" i="7"/>
  <c r="Y21" i="7"/>
  <c r="AG21" i="7"/>
  <c r="AO21" i="7"/>
  <c r="AW21" i="7"/>
  <c r="BE21" i="7"/>
  <c r="BM21" i="7"/>
  <c r="BU21" i="7"/>
  <c r="CC21" i="7"/>
  <c r="CK21" i="7"/>
  <c r="R12" i="7"/>
  <c r="DK13" i="7"/>
  <c r="EC14" i="7"/>
  <c r="BY15" i="7"/>
  <c r="EN15" i="7"/>
  <c r="Q16" i="7"/>
  <c r="AW16" i="7"/>
  <c r="CC16" i="7"/>
  <c r="DI16" i="7"/>
  <c r="EO16" i="7"/>
  <c r="H17" i="7"/>
  <c r="AE17" i="7"/>
  <c r="AX17" i="7"/>
  <c r="BT17" i="7"/>
  <c r="CQ17" i="7"/>
  <c r="DJ17" i="7"/>
  <c r="EE17" i="7"/>
  <c r="EU17" i="7"/>
  <c r="H18" i="7"/>
  <c r="X18" i="7"/>
  <c r="AN18" i="7"/>
  <c r="AY18" i="7"/>
  <c r="BJ18" i="7"/>
  <c r="BS18" i="7"/>
  <c r="CA18" i="7"/>
  <c r="CI18" i="7"/>
  <c r="CQ18" i="7"/>
  <c r="CY18" i="7"/>
  <c r="DG18" i="7"/>
  <c r="DO18" i="7"/>
  <c r="DW18" i="7"/>
  <c r="EE18" i="7"/>
  <c r="EM18" i="7"/>
  <c r="EU18" i="7"/>
  <c r="FC18" i="7"/>
  <c r="H19" i="7"/>
  <c r="P19" i="7"/>
  <c r="X19" i="7"/>
  <c r="AF19" i="7"/>
  <c r="AN19" i="7"/>
  <c r="AV19" i="7"/>
  <c r="BD19" i="7"/>
  <c r="BL19" i="7"/>
  <c r="BT19" i="7"/>
  <c r="CB19" i="7"/>
  <c r="CJ19" i="7"/>
  <c r="CR19" i="7"/>
  <c r="CZ19" i="7"/>
  <c r="DH19" i="7"/>
  <c r="DP19" i="7"/>
  <c r="DX19" i="7"/>
  <c r="EF19" i="7"/>
  <c r="EN19" i="7"/>
  <c r="EV19" i="7"/>
  <c r="FD19" i="7"/>
  <c r="I20" i="7"/>
  <c r="Q20" i="7"/>
  <c r="Y20" i="7"/>
  <c r="AG20" i="7"/>
  <c r="AO20" i="7"/>
  <c r="AW20" i="7"/>
  <c r="BE20" i="7"/>
  <c r="BM20" i="7"/>
  <c r="BU20" i="7"/>
  <c r="CC20" i="7"/>
  <c r="CK20" i="7"/>
  <c r="CS20" i="7"/>
  <c r="DA20" i="7"/>
  <c r="DI20" i="7"/>
  <c r="DQ20" i="7"/>
  <c r="DY20" i="7"/>
  <c r="EG20" i="7"/>
  <c r="EO20" i="7"/>
  <c r="EW20" i="7"/>
  <c r="FE20" i="7"/>
  <c r="J21" i="7"/>
  <c r="R21" i="7"/>
  <c r="Z21" i="7"/>
  <c r="AH21" i="7"/>
  <c r="AP21" i="7"/>
  <c r="AX21" i="7"/>
  <c r="BF21" i="7"/>
  <c r="BN21" i="7"/>
  <c r="BV21" i="7"/>
  <c r="CD21" i="7"/>
  <c r="BT8" i="7"/>
  <c r="AX12" i="7"/>
  <c r="EQ13" i="7"/>
  <c r="EQ14" i="7"/>
  <c r="CL15" i="7"/>
  <c r="ES15" i="7"/>
  <c r="V16" i="7"/>
  <c r="BB16" i="7"/>
  <c r="CH16" i="7"/>
  <c r="DN16" i="7"/>
  <c r="ET16" i="7"/>
  <c r="J17" i="7"/>
  <c r="AF17" i="7"/>
  <c r="BC17" i="7"/>
  <c r="BV17" i="7"/>
  <c r="CR17" i="7"/>
  <c r="DO17" i="7"/>
  <c r="EF17" i="7"/>
  <c r="EV17" i="7"/>
  <c r="I18" i="7"/>
  <c r="Y18" i="7"/>
  <c r="AO18" i="7"/>
  <c r="AZ18" i="7"/>
  <c r="BK18" i="7"/>
  <c r="BT18" i="7"/>
  <c r="CB18" i="7"/>
  <c r="CJ18" i="7"/>
  <c r="CR18" i="7"/>
  <c r="CZ18" i="7"/>
  <c r="DH18" i="7"/>
  <c r="DP18" i="7"/>
  <c r="DX18" i="7"/>
  <c r="EF18" i="7"/>
  <c r="EN18" i="7"/>
  <c r="EV18" i="7"/>
  <c r="FD18" i="7"/>
  <c r="I19" i="7"/>
  <c r="Q19" i="7"/>
  <c r="Y19" i="7"/>
  <c r="AG19" i="7"/>
  <c r="AO19" i="7"/>
  <c r="AW19" i="7"/>
  <c r="BE19" i="7"/>
  <c r="BM19" i="7"/>
  <c r="BU19" i="7"/>
  <c r="CC19" i="7"/>
  <c r="CK19" i="7"/>
  <c r="CS19" i="7"/>
  <c r="DA19" i="7"/>
  <c r="DI19" i="7"/>
  <c r="DQ19" i="7"/>
  <c r="DY19" i="7"/>
  <c r="EG19" i="7"/>
  <c r="EO19" i="7"/>
  <c r="EW19" i="7"/>
  <c r="FE19" i="7"/>
  <c r="J20" i="7"/>
  <c r="R20" i="7"/>
  <c r="Z20" i="7"/>
  <c r="AH20" i="7"/>
  <c r="AP20" i="7"/>
  <c r="AX20" i="7"/>
  <c r="BF20" i="7"/>
  <c r="BN20" i="7"/>
  <c r="BV20" i="7"/>
  <c r="CD20" i="7"/>
  <c r="CL20" i="7"/>
  <c r="CT20" i="7"/>
  <c r="DB20" i="7"/>
  <c r="DJ20" i="7"/>
  <c r="DR20" i="7"/>
  <c r="DZ20" i="7"/>
  <c r="EH20" i="7"/>
  <c r="EP20" i="7"/>
  <c r="EX20" i="7"/>
  <c r="C21" i="7"/>
  <c r="K21" i="7"/>
  <c r="S21" i="7"/>
  <c r="AA21" i="7"/>
  <c r="AI21" i="7"/>
  <c r="AQ21" i="7"/>
  <c r="AY21" i="7"/>
  <c r="BG21" i="7"/>
  <c r="BO21" i="7"/>
  <c r="BW21" i="7"/>
  <c r="BO10" i="7"/>
  <c r="CD12" i="7"/>
  <c r="T14" i="7"/>
  <c r="FB14" i="7"/>
  <c r="BE16" i="7"/>
  <c r="O17" i="7"/>
  <c r="CT17" i="7"/>
  <c r="K18" i="7"/>
  <c r="BL18" i="7"/>
  <c r="CS18" i="7"/>
  <c r="DY18" i="7"/>
  <c r="FE18" i="7"/>
  <c r="AH19" i="7"/>
  <c r="BN19" i="7"/>
  <c r="CT19" i="7"/>
  <c r="DZ19" i="7"/>
  <c r="C20" i="7"/>
  <c r="AI20" i="7"/>
  <c r="BO20" i="7"/>
  <c r="CU20" i="7"/>
  <c r="EA20" i="7"/>
  <c r="D21" i="7"/>
  <c r="AJ21" i="7"/>
  <c r="BP21" i="7"/>
  <c r="CM21" i="7"/>
  <c r="CW21" i="7"/>
  <c r="DG21" i="7"/>
  <c r="DO21" i="7"/>
  <c r="DW21" i="7"/>
  <c r="EE21" i="7"/>
  <c r="EM21" i="7"/>
  <c r="EU21" i="7"/>
  <c r="FC21" i="7"/>
  <c r="H22" i="7"/>
  <c r="P22" i="7"/>
  <c r="X22" i="7"/>
  <c r="AF22" i="7"/>
  <c r="AN22" i="7"/>
  <c r="AV22" i="7"/>
  <c r="BD22" i="7"/>
  <c r="BL22" i="7"/>
  <c r="BT22" i="7"/>
  <c r="CB22" i="7"/>
  <c r="CJ22" i="7"/>
  <c r="CR22" i="7"/>
  <c r="CZ22" i="7"/>
  <c r="DH22" i="7"/>
  <c r="DP22" i="7"/>
  <c r="DX22" i="7"/>
  <c r="EF22" i="7"/>
  <c r="EN22" i="7"/>
  <c r="EV22" i="7"/>
  <c r="FD22" i="7"/>
  <c r="I23" i="7"/>
  <c r="Q23" i="7"/>
  <c r="Y23" i="7"/>
  <c r="AG23" i="7"/>
  <c r="AO23" i="7"/>
  <c r="AW23" i="7"/>
  <c r="BE23" i="7"/>
  <c r="BM23" i="7"/>
  <c r="BU23" i="7"/>
  <c r="CC23" i="7"/>
  <c r="CK23" i="7"/>
  <c r="CS23" i="7"/>
  <c r="DA23" i="7"/>
  <c r="DI23" i="7"/>
  <c r="DQ23" i="7"/>
  <c r="DY23" i="7"/>
  <c r="EG23" i="7"/>
  <c r="EO23" i="7"/>
  <c r="EW23" i="7"/>
  <c r="FE23" i="7"/>
  <c r="J24" i="7"/>
  <c r="R24" i="7"/>
  <c r="Z24" i="7"/>
  <c r="AH24" i="7"/>
  <c r="AP24" i="7"/>
  <c r="AX24" i="7"/>
  <c r="BF24" i="7"/>
  <c r="BN24" i="7"/>
  <c r="BV24" i="7"/>
  <c r="CD24" i="7"/>
  <c r="CL24" i="7"/>
  <c r="CT24" i="7"/>
  <c r="DB24" i="7"/>
  <c r="DJ24" i="7"/>
  <c r="DR24" i="7"/>
  <c r="DZ24" i="7"/>
  <c r="EH24" i="7"/>
  <c r="EP24" i="7"/>
  <c r="EX24" i="7"/>
  <c r="C25" i="7"/>
  <c r="K25" i="7"/>
  <c r="S25" i="7"/>
  <c r="AA25" i="7"/>
  <c r="AI25" i="7"/>
  <c r="AQ25" i="7"/>
  <c r="AY25" i="7"/>
  <c r="BG25" i="7"/>
  <c r="BO25" i="7"/>
  <c r="BW25" i="7"/>
  <c r="CE25" i="7"/>
  <c r="CM25" i="7"/>
  <c r="CU25" i="7"/>
  <c r="DC25" i="7"/>
  <c r="DK25" i="7"/>
  <c r="DS25" i="7"/>
  <c r="EA25" i="7"/>
  <c r="EI25" i="7"/>
  <c r="EQ25" i="7"/>
  <c r="EY25" i="7"/>
  <c r="M15" i="7"/>
  <c r="BJ16" i="7"/>
  <c r="P17" i="7"/>
  <c r="CY17" i="7"/>
  <c r="L18" i="7"/>
  <c r="BM18" i="7"/>
  <c r="CT18" i="7"/>
  <c r="DZ18" i="7"/>
  <c r="C19" i="7"/>
  <c r="AI19" i="7"/>
  <c r="BO19" i="7"/>
  <c r="CU19" i="7"/>
  <c r="EA19" i="7"/>
  <c r="D20" i="7"/>
  <c r="AJ20" i="7"/>
  <c r="BP20" i="7"/>
  <c r="CV20" i="7"/>
  <c r="EB20" i="7"/>
  <c r="E21" i="7"/>
  <c r="AK21" i="7"/>
  <c r="BQ21" i="7"/>
  <c r="CN21" i="7"/>
  <c r="CY21" i="7"/>
  <c r="DH21" i="7"/>
  <c r="DP21" i="7"/>
  <c r="DX21" i="7"/>
  <c r="EF21" i="7"/>
  <c r="EN21" i="7"/>
  <c r="EV21" i="7"/>
  <c r="FD21" i="7"/>
  <c r="I22" i="7"/>
  <c r="Q22" i="7"/>
  <c r="Y22" i="7"/>
  <c r="AG22" i="7"/>
  <c r="AO22" i="7"/>
  <c r="AW22" i="7"/>
  <c r="BE22" i="7"/>
  <c r="BM22" i="7"/>
  <c r="BU22" i="7"/>
  <c r="CC22" i="7"/>
  <c r="CK22" i="7"/>
  <c r="CS22" i="7"/>
  <c r="DA22" i="7"/>
  <c r="DI22" i="7"/>
  <c r="DQ22" i="7"/>
  <c r="DY22" i="7"/>
  <c r="EG22" i="7"/>
  <c r="EO22" i="7"/>
  <c r="EW22" i="7"/>
  <c r="FE22" i="7"/>
  <c r="J23" i="7"/>
  <c r="R23" i="7"/>
  <c r="Z23" i="7"/>
  <c r="AH23" i="7"/>
  <c r="AP23" i="7"/>
  <c r="AX23" i="7"/>
  <c r="BF23" i="7"/>
  <c r="BN23" i="7"/>
  <c r="BV23" i="7"/>
  <c r="CD23" i="7"/>
  <c r="CL23" i="7"/>
  <c r="CT23" i="7"/>
  <c r="DB23" i="7"/>
  <c r="DJ23" i="7"/>
  <c r="DR23" i="7"/>
  <c r="DZ23" i="7"/>
  <c r="EH23" i="7"/>
  <c r="EP23" i="7"/>
  <c r="EX23" i="7"/>
  <c r="C24" i="7"/>
  <c r="K24" i="7"/>
  <c r="S24" i="7"/>
  <c r="AA24" i="7"/>
  <c r="AI24" i="7"/>
  <c r="AQ24" i="7"/>
  <c r="AY24" i="7"/>
  <c r="BG24" i="7"/>
  <c r="BO24" i="7"/>
  <c r="BW24" i="7"/>
  <c r="CE24" i="7"/>
  <c r="CM24" i="7"/>
  <c r="CU24" i="7"/>
  <c r="DC24" i="7"/>
  <c r="DK24" i="7"/>
  <c r="DS24" i="7"/>
  <c r="EA24" i="7"/>
  <c r="EI24" i="7"/>
  <c r="EQ24" i="7"/>
  <c r="EY24" i="7"/>
  <c r="D25" i="7"/>
  <c r="L25" i="7"/>
  <c r="T25" i="7"/>
  <c r="AB25" i="7"/>
  <c r="AJ25" i="7"/>
  <c r="AR25" i="7"/>
  <c r="AZ25" i="7"/>
  <c r="BH25" i="7"/>
  <c r="BP25" i="7"/>
  <c r="BX25" i="7"/>
  <c r="CF25" i="7"/>
  <c r="CN25" i="7"/>
  <c r="CV25" i="7"/>
  <c r="DD25" i="7"/>
  <c r="DL25" i="7"/>
  <c r="DT25" i="7"/>
  <c r="EB25" i="7"/>
  <c r="EJ25" i="7"/>
  <c r="ER25" i="7"/>
  <c r="EZ25" i="7"/>
  <c r="CW15" i="7"/>
  <c r="CK16" i="7"/>
  <c r="AH17" i="7"/>
  <c r="DP17" i="7"/>
  <c r="AA18" i="7"/>
  <c r="BU18" i="7"/>
  <c r="DA18" i="7"/>
  <c r="EG18" i="7"/>
  <c r="J19" i="7"/>
  <c r="AP19" i="7"/>
  <c r="BV19" i="7"/>
  <c r="DB19" i="7"/>
  <c r="EH19" i="7"/>
  <c r="K20" i="7"/>
  <c r="AQ20" i="7"/>
  <c r="BW20" i="7"/>
  <c r="DC20" i="7"/>
  <c r="EI20" i="7"/>
  <c r="L21" i="7"/>
  <c r="AR21" i="7"/>
  <c r="BX21" i="7"/>
  <c r="CO21" i="7"/>
  <c r="DA21" i="7"/>
  <c r="DI21" i="7"/>
  <c r="DQ21" i="7"/>
  <c r="DY21" i="7"/>
  <c r="EG21" i="7"/>
  <c r="EO21" i="7"/>
  <c r="EW21" i="7"/>
  <c r="FE21" i="7"/>
  <c r="J22" i="7"/>
  <c r="R22" i="7"/>
  <c r="Z22" i="7"/>
  <c r="AH22" i="7"/>
  <c r="AP22" i="7"/>
  <c r="AX22" i="7"/>
  <c r="BF22" i="7"/>
  <c r="BN22" i="7"/>
  <c r="BV22" i="7"/>
  <c r="CD22" i="7"/>
  <c r="CL22" i="7"/>
  <c r="CT22" i="7"/>
  <c r="DB22" i="7"/>
  <c r="DJ22" i="7"/>
  <c r="DR22" i="7"/>
  <c r="DZ22" i="7"/>
  <c r="EH22" i="7"/>
  <c r="EP22" i="7"/>
  <c r="EX22" i="7"/>
  <c r="C23" i="7"/>
  <c r="K23" i="7"/>
  <c r="S23" i="7"/>
  <c r="AA23" i="7"/>
  <c r="AI23" i="7"/>
  <c r="AQ23" i="7"/>
  <c r="AY23" i="7"/>
  <c r="BG23" i="7"/>
  <c r="BO23" i="7"/>
  <c r="BW23" i="7"/>
  <c r="CE23" i="7"/>
  <c r="CM23" i="7"/>
  <c r="CU23" i="7"/>
  <c r="DC23" i="7"/>
  <c r="DK23" i="7"/>
  <c r="DS23" i="7"/>
  <c r="EA23" i="7"/>
  <c r="EI23" i="7"/>
  <c r="EQ23" i="7"/>
  <c r="EY23" i="7"/>
  <c r="D24" i="7"/>
  <c r="L24" i="7"/>
  <c r="T24" i="7"/>
  <c r="AB24" i="7"/>
  <c r="AJ24" i="7"/>
  <c r="AR24" i="7"/>
  <c r="AZ24" i="7"/>
  <c r="BH24" i="7"/>
  <c r="BP24" i="7"/>
  <c r="BX24" i="7"/>
  <c r="CF24" i="7"/>
  <c r="CN24" i="7"/>
  <c r="CV24" i="7"/>
  <c r="DD24" i="7"/>
  <c r="DL24" i="7"/>
  <c r="DT24" i="7"/>
  <c r="EB24" i="7"/>
  <c r="EJ24" i="7"/>
  <c r="ER24" i="7"/>
  <c r="EZ24" i="7"/>
  <c r="E25" i="7"/>
  <c r="M25" i="7"/>
  <c r="U25" i="7"/>
  <c r="AC25" i="7"/>
  <c r="AK25" i="7"/>
  <c r="AS25" i="7"/>
  <c r="BA25" i="7"/>
  <c r="BI25" i="7"/>
  <c r="BQ25" i="7"/>
  <c r="BY25" i="7"/>
  <c r="CG25" i="7"/>
  <c r="CO25" i="7"/>
  <c r="CW25" i="7"/>
  <c r="DE25" i="7"/>
  <c r="DM25" i="7"/>
  <c r="DU25" i="7"/>
  <c r="EC25" i="7"/>
  <c r="EK25" i="7"/>
  <c r="ES25" i="7"/>
  <c r="FA25" i="7"/>
  <c r="DG15" i="7"/>
  <c r="CP16" i="7"/>
  <c r="AM17" i="7"/>
  <c r="DR17" i="7"/>
  <c r="AB18" i="7"/>
  <c r="BV18" i="7"/>
  <c r="DB18" i="7"/>
  <c r="EH18" i="7"/>
  <c r="K19" i="7"/>
  <c r="AQ19" i="7"/>
  <c r="BW19" i="7"/>
  <c r="DC19" i="7"/>
  <c r="EI19" i="7"/>
  <c r="L20" i="7"/>
  <c r="AR20" i="7"/>
  <c r="BX20" i="7"/>
  <c r="DD20" i="7"/>
  <c r="EJ20" i="7"/>
  <c r="M21" i="7"/>
  <c r="AS21" i="7"/>
  <c r="BY21" i="7"/>
  <c r="CQ21" i="7"/>
  <c r="DB21" i="7"/>
  <c r="DJ21" i="7"/>
  <c r="DR21" i="7"/>
  <c r="DZ21" i="7"/>
  <c r="EH21" i="7"/>
  <c r="EP21" i="7"/>
  <c r="EX21" i="7"/>
  <c r="C22" i="7"/>
  <c r="K22" i="7"/>
  <c r="S22" i="7"/>
  <c r="AA22" i="7"/>
  <c r="AI22" i="7"/>
  <c r="AQ22" i="7"/>
  <c r="AY22" i="7"/>
  <c r="BG22" i="7"/>
  <c r="BO22" i="7"/>
  <c r="BW22" i="7"/>
  <c r="CE22" i="7"/>
  <c r="CM22" i="7"/>
  <c r="CU22" i="7"/>
  <c r="DC22" i="7"/>
  <c r="DK22" i="7"/>
  <c r="DS22" i="7"/>
  <c r="EA22" i="7"/>
  <c r="EI22" i="7"/>
  <c r="EQ22" i="7"/>
  <c r="EY22" i="7"/>
  <c r="D23" i="7"/>
  <c r="L23" i="7"/>
  <c r="T23" i="7"/>
  <c r="AB23" i="7"/>
  <c r="AJ23" i="7"/>
  <c r="AR23" i="7"/>
  <c r="AZ23" i="7"/>
  <c r="BH23" i="7"/>
  <c r="BP23" i="7"/>
  <c r="BX23" i="7"/>
  <c r="CF23" i="7"/>
  <c r="CN23" i="7"/>
  <c r="CV23" i="7"/>
  <c r="DD23" i="7"/>
  <c r="DL23" i="7"/>
  <c r="DT23" i="7"/>
  <c r="EB23" i="7"/>
  <c r="EJ23" i="7"/>
  <c r="ER23" i="7"/>
  <c r="EZ23" i="7"/>
  <c r="E24" i="7"/>
  <c r="M24" i="7"/>
  <c r="U24" i="7"/>
  <c r="AC24" i="7"/>
  <c r="AK24" i="7"/>
  <c r="AS24" i="7"/>
  <c r="BA24" i="7"/>
  <c r="BI24" i="7"/>
  <c r="BQ24" i="7"/>
  <c r="BY24" i="7"/>
  <c r="CG24" i="7"/>
  <c r="CO24" i="7"/>
  <c r="CW24" i="7"/>
  <c r="DE24" i="7"/>
  <c r="DM24" i="7"/>
  <c r="DU24" i="7"/>
  <c r="EC24" i="7"/>
  <c r="EK24" i="7"/>
  <c r="ES24" i="7"/>
  <c r="FA24" i="7"/>
  <c r="F25" i="7"/>
  <c r="N25" i="7"/>
  <c r="V25" i="7"/>
  <c r="AD25" i="7"/>
  <c r="AL25" i="7"/>
  <c r="AT25" i="7"/>
  <c r="BB25" i="7"/>
  <c r="BJ25" i="7"/>
  <c r="BR25" i="7"/>
  <c r="BZ25" i="7"/>
  <c r="CH25" i="7"/>
  <c r="CP25" i="7"/>
  <c r="CX25" i="7"/>
  <c r="DF25" i="7"/>
  <c r="DN25" i="7"/>
  <c r="DV25" i="7"/>
  <c r="ED25" i="7"/>
  <c r="EL25" i="7"/>
  <c r="ET25" i="7"/>
  <c r="FB25" i="7"/>
  <c r="EV15" i="7"/>
  <c r="DQ16" i="7"/>
  <c r="BD17" i="7"/>
  <c r="EH17" i="7"/>
  <c r="AQ18" i="7"/>
  <c r="CC18" i="7"/>
  <c r="DI18" i="7"/>
  <c r="EO18" i="7"/>
  <c r="R19" i="7"/>
  <c r="AX19" i="7"/>
  <c r="CD19" i="7"/>
  <c r="DJ19" i="7"/>
  <c r="EP19" i="7"/>
  <c r="S20" i="7"/>
  <c r="AY20" i="7"/>
  <c r="CE20" i="7"/>
  <c r="DK20" i="7"/>
  <c r="EQ20" i="7"/>
  <c r="T21" i="7"/>
  <c r="AZ21" i="7"/>
  <c r="CE21" i="7"/>
  <c r="CS21" i="7"/>
  <c r="DC21" i="7"/>
  <c r="DK21" i="7"/>
  <c r="DS21" i="7"/>
  <c r="EA21" i="7"/>
  <c r="EI21" i="7"/>
  <c r="EQ21" i="7"/>
  <c r="EY21" i="7"/>
  <c r="D22" i="7"/>
  <c r="L22" i="7"/>
  <c r="T22" i="7"/>
  <c r="AB22" i="7"/>
  <c r="AJ22" i="7"/>
  <c r="AR22" i="7"/>
  <c r="AZ22" i="7"/>
  <c r="BH22" i="7"/>
  <c r="BP22" i="7"/>
  <c r="BX22" i="7"/>
  <c r="CF22" i="7"/>
  <c r="CN22" i="7"/>
  <c r="CV22" i="7"/>
  <c r="DD22" i="7"/>
  <c r="DL22" i="7"/>
  <c r="DT22" i="7"/>
  <c r="EB22" i="7"/>
  <c r="EJ22" i="7"/>
  <c r="ER22" i="7"/>
  <c r="EZ22" i="7"/>
  <c r="E23" i="7"/>
  <c r="M23" i="7"/>
  <c r="U23" i="7"/>
  <c r="AC23" i="7"/>
  <c r="AK23" i="7"/>
  <c r="AS23" i="7"/>
  <c r="BA23" i="7"/>
  <c r="BI23" i="7"/>
  <c r="BQ23" i="7"/>
  <c r="BY23" i="7"/>
  <c r="CG23" i="7"/>
  <c r="CO23" i="7"/>
  <c r="CW23" i="7"/>
  <c r="DE23" i="7"/>
  <c r="DM23" i="7"/>
  <c r="DU23" i="7"/>
  <c r="EC23" i="7"/>
  <c r="EK23" i="7"/>
  <c r="ES23" i="7"/>
  <c r="FA23" i="7"/>
  <c r="F24" i="7"/>
  <c r="N24" i="7"/>
  <c r="V24" i="7"/>
  <c r="AD24" i="7"/>
  <c r="AL24" i="7"/>
  <c r="AT24" i="7"/>
  <c r="BB24" i="7"/>
  <c r="BJ24" i="7"/>
  <c r="BR24" i="7"/>
  <c r="BZ24" i="7"/>
  <c r="CH24" i="7"/>
  <c r="CP24" i="7"/>
  <c r="CX24" i="7"/>
  <c r="DF24" i="7"/>
  <c r="DN24" i="7"/>
  <c r="DV24" i="7"/>
  <c r="ED24" i="7"/>
  <c r="EL24" i="7"/>
  <c r="ET24" i="7"/>
  <c r="FB24" i="7"/>
  <c r="G25" i="7"/>
  <c r="O25" i="7"/>
  <c r="W25" i="7"/>
  <c r="AE25" i="7"/>
  <c r="E11" i="7"/>
  <c r="FA15" i="7"/>
  <c r="DV16" i="7"/>
  <c r="BF17" i="7"/>
  <c r="EI17" i="7"/>
  <c r="AR18" i="7"/>
  <c r="CD18" i="7"/>
  <c r="DJ18" i="7"/>
  <c r="EP18" i="7"/>
  <c r="S19" i="7"/>
  <c r="AY19" i="7"/>
  <c r="CE19" i="7"/>
  <c r="DK19" i="7"/>
  <c r="EQ19" i="7"/>
  <c r="T20" i="7"/>
  <c r="AZ20" i="7"/>
  <c r="CF20" i="7"/>
  <c r="DL20" i="7"/>
  <c r="ER20" i="7"/>
  <c r="U21" i="7"/>
  <c r="BA21" i="7"/>
  <c r="CF21" i="7"/>
  <c r="CT21" i="7"/>
  <c r="DD21" i="7"/>
  <c r="DL21" i="7"/>
  <c r="DT21" i="7"/>
  <c r="EB21" i="7"/>
  <c r="EJ21" i="7"/>
  <c r="ER21" i="7"/>
  <c r="EZ21" i="7"/>
  <c r="E22" i="7"/>
  <c r="M22" i="7"/>
  <c r="U22" i="7"/>
  <c r="AC22" i="7"/>
  <c r="AK22" i="7"/>
  <c r="AS22" i="7"/>
  <c r="BA22" i="7"/>
  <c r="BI22" i="7"/>
  <c r="BQ22" i="7"/>
  <c r="BY22" i="7"/>
  <c r="CG22" i="7"/>
  <c r="CO22" i="7"/>
  <c r="CW22" i="7"/>
  <c r="DE22" i="7"/>
  <c r="DM22" i="7"/>
  <c r="DU22" i="7"/>
  <c r="EC22" i="7"/>
  <c r="EK22" i="7"/>
  <c r="ES22" i="7"/>
  <c r="FA22" i="7"/>
  <c r="F23" i="7"/>
  <c r="N23" i="7"/>
  <c r="V23" i="7"/>
  <c r="AD23" i="7"/>
  <c r="AL23" i="7"/>
  <c r="AT23" i="7"/>
  <c r="BB23" i="7"/>
  <c r="BJ23" i="7"/>
  <c r="BR23" i="7"/>
  <c r="BZ23" i="7"/>
  <c r="CH23" i="7"/>
  <c r="CP23" i="7"/>
  <c r="CX23" i="7"/>
  <c r="DF23" i="7"/>
  <c r="DN23" i="7"/>
  <c r="DV23" i="7"/>
  <c r="ED23" i="7"/>
  <c r="EL23" i="7"/>
  <c r="ET23" i="7"/>
  <c r="FB23" i="7"/>
  <c r="G24" i="7"/>
  <c r="O24" i="7"/>
  <c r="W24" i="7"/>
  <c r="AE24" i="7"/>
  <c r="AM24" i="7"/>
  <c r="AU24" i="7"/>
  <c r="BC24" i="7"/>
  <c r="BK24" i="7"/>
  <c r="BS24" i="7"/>
  <c r="CA24" i="7"/>
  <c r="CI24" i="7"/>
  <c r="CQ24" i="7"/>
  <c r="CY24" i="7"/>
  <c r="DG24" i="7"/>
  <c r="DO24" i="7"/>
  <c r="DW24" i="7"/>
  <c r="EE24" i="7"/>
  <c r="EM24" i="7"/>
  <c r="EU24" i="7"/>
  <c r="FC24" i="7"/>
  <c r="H25" i="7"/>
  <c r="P25" i="7"/>
  <c r="X25" i="7"/>
  <c r="AF25" i="7"/>
  <c r="AN25" i="7"/>
  <c r="AV25" i="7"/>
  <c r="BD25" i="7"/>
  <c r="BL25" i="7"/>
  <c r="BT25" i="7"/>
  <c r="CB25" i="7"/>
  <c r="CJ25" i="7"/>
  <c r="CR25" i="7"/>
  <c r="CZ25" i="7"/>
  <c r="DH25" i="7"/>
  <c r="DP25" i="7"/>
  <c r="DX25" i="7"/>
  <c r="EF25" i="7"/>
  <c r="EN25" i="7"/>
  <c r="EV25" i="7"/>
  <c r="FD25" i="7"/>
  <c r="DJ12" i="7"/>
  <c r="Y16" i="7"/>
  <c r="EU16" i="7"/>
  <c r="CA17" i="7"/>
  <c r="EX17" i="7"/>
  <c r="BB18" i="7"/>
  <c r="CK18" i="7"/>
  <c r="DQ18" i="7"/>
  <c r="EW18" i="7"/>
  <c r="Z19" i="7"/>
  <c r="BF19" i="7"/>
  <c r="CL19" i="7"/>
  <c r="DR19" i="7"/>
  <c r="EX19" i="7"/>
  <c r="AA20" i="7"/>
  <c r="BG20" i="7"/>
  <c r="CM20" i="7"/>
  <c r="DS20" i="7"/>
  <c r="EY20" i="7"/>
  <c r="AB21" i="7"/>
  <c r="BH21" i="7"/>
  <c r="CG21" i="7"/>
  <c r="CU21" i="7"/>
  <c r="DE21" i="7"/>
  <c r="DM21" i="7"/>
  <c r="DU21" i="7"/>
  <c r="EC21" i="7"/>
  <c r="EK21" i="7"/>
  <c r="ES21" i="7"/>
  <c r="FA21" i="7"/>
  <c r="F22" i="7"/>
  <c r="N22" i="7"/>
  <c r="V22" i="7"/>
  <c r="AD22" i="7"/>
  <c r="AL22" i="7"/>
  <c r="AT22" i="7"/>
  <c r="BB22" i="7"/>
  <c r="BJ22" i="7"/>
  <c r="BR22" i="7"/>
  <c r="BZ22" i="7"/>
  <c r="CH22" i="7"/>
  <c r="CP22" i="7"/>
  <c r="CX22" i="7"/>
  <c r="DF22" i="7"/>
  <c r="DN22" i="7"/>
  <c r="DV22" i="7"/>
  <c r="ED22" i="7"/>
  <c r="EL22" i="7"/>
  <c r="ET22" i="7"/>
  <c r="FB22" i="7"/>
  <c r="G23" i="7"/>
  <c r="O23" i="7"/>
  <c r="W23" i="7"/>
  <c r="AE23" i="7"/>
  <c r="AM23" i="7"/>
  <c r="AU23" i="7"/>
  <c r="BC23" i="7"/>
  <c r="BK23" i="7"/>
  <c r="BS23" i="7"/>
  <c r="CA23" i="7"/>
  <c r="CI23" i="7"/>
  <c r="CQ23" i="7"/>
  <c r="CY23" i="7"/>
  <c r="DG23" i="7"/>
  <c r="DO23" i="7"/>
  <c r="DW23" i="7"/>
  <c r="EE23" i="7"/>
  <c r="EM23" i="7"/>
  <c r="EU23" i="7"/>
  <c r="FC23" i="7"/>
  <c r="CB17" i="7"/>
  <c r="CM19" i="7"/>
  <c r="AC21" i="7"/>
  <c r="EL21" i="7"/>
  <c r="AU22" i="7"/>
  <c r="DG22" i="7"/>
  <c r="P23" i="7"/>
  <c r="CB23" i="7"/>
  <c r="EN23" i="7"/>
  <c r="Y24" i="7"/>
  <c r="BE24" i="7"/>
  <c r="CK24" i="7"/>
  <c r="DQ24" i="7"/>
  <c r="EW24" i="7"/>
  <c r="Z25" i="7"/>
  <c r="AX25" i="7"/>
  <c r="BU25" i="7"/>
  <c r="CQ25" i="7"/>
  <c r="DJ25" i="7"/>
  <c r="EG25" i="7"/>
  <c r="FC25" i="7"/>
  <c r="EY17" i="7"/>
  <c r="DS19" i="7"/>
  <c r="BI21" i="7"/>
  <c r="ET21" i="7"/>
  <c r="BC22" i="7"/>
  <c r="DO22" i="7"/>
  <c r="X23" i="7"/>
  <c r="CJ23" i="7"/>
  <c r="EV23" i="7"/>
  <c r="AF24" i="7"/>
  <c r="BL24" i="7"/>
  <c r="CR24" i="7"/>
  <c r="DX24" i="7"/>
  <c r="FD24" i="7"/>
  <c r="AG25" i="7"/>
  <c r="BC25" i="7"/>
  <c r="BV25" i="7"/>
  <c r="CS25" i="7"/>
  <c r="DO25" i="7"/>
  <c r="EH25" i="7"/>
  <c r="FE25" i="7"/>
  <c r="BC18" i="7"/>
  <c r="EY19" i="7"/>
  <c r="CL21" i="7"/>
  <c r="FB21" i="7"/>
  <c r="BK22" i="7"/>
  <c r="DW22" i="7"/>
  <c r="AF23" i="7"/>
  <c r="CR23" i="7"/>
  <c r="FD23" i="7"/>
  <c r="AG24" i="7"/>
  <c r="BM24" i="7"/>
  <c r="CS24" i="7"/>
  <c r="DY24" i="7"/>
  <c r="FE24" i="7"/>
  <c r="AH25" i="7"/>
  <c r="BE25" i="7"/>
  <c r="CA25" i="7"/>
  <c r="CT25" i="7"/>
  <c r="DQ25" i="7"/>
  <c r="EM25" i="7"/>
  <c r="CL18" i="7"/>
  <c r="AB20" i="7"/>
  <c r="CV21" i="7"/>
  <c r="G22" i="7"/>
  <c r="BS22" i="7"/>
  <c r="EE22" i="7"/>
  <c r="AN23" i="7"/>
  <c r="CZ23" i="7"/>
  <c r="H24" i="7"/>
  <c r="AN24" i="7"/>
  <c r="BT24" i="7"/>
  <c r="CZ24" i="7"/>
  <c r="EF24" i="7"/>
  <c r="I25" i="7"/>
  <c r="AM25" i="7"/>
  <c r="BF25" i="7"/>
  <c r="CC25" i="7"/>
  <c r="CY25" i="7"/>
  <c r="DR25" i="7"/>
  <c r="EO25" i="7"/>
  <c r="DR18" i="7"/>
  <c r="BH20" i="7"/>
  <c r="DF21" i="7"/>
  <c r="O22" i="7"/>
  <c r="CA22" i="7"/>
  <c r="EM22" i="7"/>
  <c r="AV23" i="7"/>
  <c r="DH23" i="7"/>
  <c r="I24" i="7"/>
  <c r="AO24" i="7"/>
  <c r="BU24" i="7"/>
  <c r="DA24" i="7"/>
  <c r="EG24" i="7"/>
  <c r="J25" i="7"/>
  <c r="AO25" i="7"/>
  <c r="BK25" i="7"/>
  <c r="CD25" i="7"/>
  <c r="DA25" i="7"/>
  <c r="DW25" i="7"/>
  <c r="EP25" i="7"/>
  <c r="EX18" i="7"/>
  <c r="ED21" i="7"/>
  <c r="FC22" i="7"/>
  <c r="P24" i="7"/>
  <c r="CJ24" i="7"/>
  <c r="R25" i="7"/>
  <c r="CI25" i="7"/>
  <c r="EE25" i="7"/>
  <c r="EF23" i="7"/>
  <c r="AA19" i="7"/>
  <c r="W22" i="7"/>
  <c r="H23" i="7"/>
  <c r="Q24" i="7"/>
  <c r="DH24" i="7"/>
  <c r="Y25" i="7"/>
  <c r="CK25" i="7"/>
  <c r="EU25" i="7"/>
  <c r="DN21" i="7"/>
  <c r="EV24" i="7"/>
  <c r="DY25" i="7"/>
  <c r="DV21" i="7"/>
  <c r="BS25" i="7"/>
  <c r="BG19" i="7"/>
  <c r="AE22" i="7"/>
  <c r="BD23" i="7"/>
  <c r="X24" i="7"/>
  <c r="DI24" i="7"/>
  <c r="AP25" i="7"/>
  <c r="CL25" i="7"/>
  <c r="EW25" i="7"/>
  <c r="CY22" i="7"/>
  <c r="BN25" i="7"/>
  <c r="Q25" i="7"/>
  <c r="CN20" i="7"/>
  <c r="AM22" i="7"/>
  <c r="BL23" i="7"/>
  <c r="AV24" i="7"/>
  <c r="DP24" i="7"/>
  <c r="AU25" i="7"/>
  <c r="DB25" i="7"/>
  <c r="EX25" i="7"/>
  <c r="DX23" i="7"/>
  <c r="EU22" i="7"/>
  <c r="DT20" i="7"/>
  <c r="CI22" i="7"/>
  <c r="BT23" i="7"/>
  <c r="AW24" i="7"/>
  <c r="EN24" i="7"/>
  <c r="AW25" i="7"/>
  <c r="DG25" i="7"/>
  <c r="AZ14" i="7"/>
  <c r="EZ20" i="7"/>
  <c r="CQ22" i="7"/>
  <c r="DP23" i="7"/>
  <c r="BD24" i="7"/>
  <c r="EO24" i="7"/>
  <c r="BM25" i="7"/>
  <c r="DI25" i="7"/>
  <c r="AD16" i="7"/>
  <c r="CB24" i="7"/>
  <c r="CC24" i="7"/>
  <c r="DZ25" i="7"/>
  <c r="EW16" i="7"/>
  <c r="H30" i="8"/>
  <c r="P30" i="8"/>
  <c r="X30" i="8"/>
  <c r="AF30" i="8"/>
  <c r="T31" i="8"/>
  <c r="P32" i="8"/>
  <c r="AF32" i="8"/>
  <c r="AN32" i="8"/>
  <c r="L33" i="8"/>
  <c r="AJ33" i="8"/>
  <c r="H34" i="8"/>
  <c r="AB35" i="8"/>
  <c r="P36" i="8"/>
  <c r="AN36" i="8"/>
  <c r="AB37" i="8"/>
  <c r="AJ37" i="8"/>
  <c r="P38" i="8"/>
  <c r="AF38" i="8"/>
  <c r="Q30" i="8"/>
  <c r="AG30" i="8"/>
  <c r="M31" i="8"/>
  <c r="AK31" i="8"/>
  <c r="Y32" i="8"/>
  <c r="AG32" i="8"/>
  <c r="AO32" i="8"/>
  <c r="AC33" i="8"/>
  <c r="AK33" i="8"/>
  <c r="AG34" i="8"/>
  <c r="AO34" i="8"/>
  <c r="I36" i="8"/>
  <c r="Q36" i="8"/>
  <c r="Y36" i="8"/>
  <c r="AG36" i="8"/>
  <c r="AO36" i="8"/>
  <c r="M37" i="8"/>
  <c r="Y38" i="8"/>
  <c r="AG38" i="8"/>
  <c r="M39" i="8"/>
  <c r="AK39" i="8"/>
  <c r="Q40" i="8"/>
  <c r="AG40" i="8"/>
  <c r="M41" i="8"/>
  <c r="U41" i="8"/>
  <c r="AK41" i="8"/>
  <c r="Q42" i="8"/>
  <c r="Y42" i="8"/>
  <c r="Z30" i="8"/>
  <c r="N31" i="8"/>
  <c r="Z32" i="8"/>
  <c r="AH32" i="8"/>
  <c r="AP32" i="8"/>
  <c r="K30" i="8"/>
  <c r="G31" i="8"/>
  <c r="O31" i="8"/>
  <c r="K32" i="8"/>
  <c r="S32" i="8"/>
  <c r="AI32" i="8"/>
  <c r="AE33" i="8"/>
  <c r="AM33" i="8"/>
  <c r="K34" i="8"/>
  <c r="AA34" i="8"/>
  <c r="AI34" i="8"/>
  <c r="G35" i="8"/>
  <c r="O35" i="8"/>
  <c r="W35" i="8"/>
  <c r="K36" i="8"/>
  <c r="S36" i="8"/>
  <c r="AI36" i="8"/>
  <c r="G37" i="8"/>
  <c r="W37" i="8"/>
  <c r="AE37" i="8"/>
  <c r="AM37" i="8"/>
  <c r="S38" i="8"/>
  <c r="AA38" i="8"/>
  <c r="AI38" i="8"/>
  <c r="G39" i="8"/>
  <c r="W39" i="8"/>
  <c r="AE39" i="8"/>
  <c r="S40" i="8"/>
  <c r="AA40" i="8"/>
  <c r="AI40" i="8"/>
  <c r="AE41" i="8"/>
  <c r="K42" i="8"/>
  <c r="L30" i="8"/>
  <c r="H31" i="8"/>
  <c r="X31" i="8"/>
  <c r="AF31" i="8"/>
  <c r="T32" i="8"/>
  <c r="AB32" i="8"/>
  <c r="AN33" i="8"/>
  <c r="L34" i="8"/>
  <c r="AJ34" i="8"/>
  <c r="H35" i="8"/>
  <c r="P35" i="8"/>
  <c r="X35" i="8"/>
  <c r="T36" i="8"/>
  <c r="AB36" i="8"/>
  <c r="AJ36" i="8"/>
  <c r="H37" i="8"/>
  <c r="P37" i="8"/>
  <c r="X37" i="8"/>
  <c r="L38" i="8"/>
  <c r="T38" i="8"/>
  <c r="AB38" i="8"/>
  <c r="AJ38" i="8"/>
  <c r="P39" i="8"/>
  <c r="AN39" i="8"/>
  <c r="T40" i="8"/>
  <c r="H41" i="8"/>
  <c r="M30" i="8"/>
  <c r="AC30" i="8"/>
  <c r="Q31" i="8"/>
  <c r="Y31" i="8"/>
  <c r="AO31" i="8"/>
  <c r="AC32" i="8"/>
  <c r="Q33" i="8"/>
  <c r="AG33" i="8"/>
  <c r="M34" i="8"/>
  <c r="U34" i="8"/>
  <c r="AC34" i="8"/>
  <c r="AK34" i="8"/>
  <c r="Q35" i="8"/>
  <c r="AO35" i="8"/>
  <c r="M36" i="8"/>
  <c r="U36" i="8"/>
  <c r="AC36" i="8"/>
  <c r="I37" i="8"/>
  <c r="AO37" i="8"/>
  <c r="I39" i="8"/>
  <c r="Q39" i="8"/>
  <c r="M40" i="8"/>
  <c r="U40" i="8"/>
  <c r="AC40" i="8"/>
  <c r="AC42" i="8"/>
  <c r="AK42" i="8"/>
  <c r="I43" i="8"/>
  <c r="AG43" i="8"/>
  <c r="Q45" i="8"/>
  <c r="Y45" i="8"/>
  <c r="AG45" i="8"/>
  <c r="M46" i="8"/>
  <c r="N30" i="8"/>
  <c r="V30" i="8"/>
  <c r="AD30" i="8"/>
  <c r="AL30" i="8"/>
  <c r="J31" i="8"/>
  <c r="Z31" i="8"/>
  <c r="AP31" i="8"/>
  <c r="N32" i="8"/>
  <c r="V32" i="8"/>
  <c r="AD32" i="8"/>
  <c r="J33" i="8"/>
  <c r="AP33" i="8"/>
  <c r="N34" i="8"/>
  <c r="AD34" i="8"/>
  <c r="AL34" i="8"/>
  <c r="J35" i="8"/>
  <c r="Z35" i="8"/>
  <c r="AH35" i="8"/>
  <c r="N36" i="8"/>
  <c r="V36" i="8"/>
  <c r="AD36" i="8"/>
  <c r="AL36" i="8"/>
  <c r="J37" i="8"/>
  <c r="Z37" i="8"/>
  <c r="AH37" i="8"/>
  <c r="AP37" i="8"/>
  <c r="N38" i="8"/>
  <c r="AD38" i="8"/>
  <c r="AL38" i="8"/>
  <c r="Z39" i="8"/>
  <c r="AP39" i="8"/>
  <c r="N40" i="8"/>
  <c r="AD40" i="8"/>
  <c r="AL40" i="8"/>
  <c r="AH41" i="8"/>
  <c r="AD42" i="8"/>
  <c r="AL42" i="8"/>
  <c r="J43" i="8"/>
  <c r="Z43" i="8"/>
  <c r="AL44" i="8"/>
  <c r="AP45" i="8"/>
  <c r="N46" i="8"/>
  <c r="V46" i="8"/>
  <c r="AM30" i="8"/>
  <c r="AE32" i="8"/>
  <c r="K31" i="8"/>
  <c r="AM32" i="8"/>
  <c r="AL33" i="8"/>
  <c r="AH34" i="8"/>
  <c r="AD35" i="8"/>
  <c r="V37" i="8"/>
  <c r="K39" i="8"/>
  <c r="AD39" i="8"/>
  <c r="P40" i="8"/>
  <c r="V41" i="8"/>
  <c r="AH42" i="8"/>
  <c r="H43" i="8"/>
  <c r="AN43" i="8"/>
  <c r="P44" i="8"/>
  <c r="Z44" i="8"/>
  <c r="V45" i="8"/>
  <c r="AF45" i="8"/>
  <c r="AA46" i="8"/>
  <c r="AJ46" i="8"/>
  <c r="AN47" i="8"/>
  <c r="K33" i="8"/>
  <c r="G34" i="8"/>
  <c r="AE36" i="8"/>
  <c r="W38" i="8"/>
  <c r="L39" i="8"/>
  <c r="AI39" i="8"/>
  <c r="AN40" i="8"/>
  <c r="G42" i="8"/>
  <c r="W42" i="8"/>
  <c r="K43" i="8"/>
  <c r="U43" i="8"/>
  <c r="AE43" i="8"/>
  <c r="G44" i="8"/>
  <c r="Q44" i="8"/>
  <c r="AA31" i="8"/>
  <c r="AP34" i="8"/>
  <c r="AL35" i="8"/>
  <c r="AH36" i="8"/>
  <c r="Z38" i="8"/>
  <c r="AJ39" i="8"/>
  <c r="AP40" i="8"/>
  <c r="X42" i="8"/>
  <c r="AJ42" i="8"/>
  <c r="V43" i="8"/>
  <c r="AF43" i="8"/>
  <c r="H44" i="8"/>
  <c r="AB44" i="8"/>
  <c r="N45" i="8"/>
  <c r="J46" i="8"/>
  <c r="T46" i="8"/>
  <c r="AI31" i="8"/>
  <c r="O34" i="8"/>
  <c r="K35" i="8"/>
  <c r="AM36" i="8"/>
  <c r="AI37" i="8"/>
  <c r="AE38" i="8"/>
  <c r="Z42" i="8"/>
  <c r="AM42" i="8"/>
  <c r="M43" i="8"/>
  <c r="W43" i="8"/>
  <c r="I44" i="8"/>
  <c r="S44" i="8"/>
  <c r="AE44" i="8"/>
  <c r="AO44" i="8"/>
  <c r="O45" i="8"/>
  <c r="AA45" i="8"/>
  <c r="O30" i="8"/>
  <c r="V33" i="8"/>
  <c r="J36" i="8"/>
  <c r="AL37" i="8"/>
  <c r="AH38" i="8"/>
  <c r="Z40" i="8"/>
  <c r="AF41" i="8"/>
  <c r="N43" i="8"/>
  <c r="J44" i="8"/>
  <c r="T44" i="8"/>
  <c r="AF44" i="8"/>
  <c r="AP44" i="8"/>
  <c r="P45" i="8"/>
  <c r="AL45" i="8"/>
  <c r="W46" i="8"/>
  <c r="AF46" i="8"/>
  <c r="L47" i="8"/>
  <c r="T47" i="8"/>
  <c r="O32" i="8"/>
  <c r="W34" i="8"/>
  <c r="O36" i="8"/>
  <c r="AM38" i="8"/>
  <c r="V35" i="8"/>
  <c r="AN38" i="8"/>
  <c r="G43" i="8"/>
  <c r="AL43" i="8"/>
  <c r="AG44" i="8"/>
  <c r="S45" i="8"/>
  <c r="AK45" i="8"/>
  <c r="Q47" i="8"/>
  <c r="AA47" i="8"/>
  <c r="AL47" i="8"/>
  <c r="AH40" i="8"/>
  <c r="P42" i="8"/>
  <c r="O43" i="8"/>
  <c r="T45" i="8"/>
  <c r="AM45" i="8"/>
  <c r="AG46" i="8"/>
  <c r="G47" i="8"/>
  <c r="P43" i="8"/>
  <c r="AI44" i="8"/>
  <c r="U45" i="8"/>
  <c r="U46" i="8"/>
  <c r="I47" i="8"/>
  <c r="S47" i="8"/>
  <c r="AD47" i="8"/>
  <c r="AO47" i="8"/>
  <c r="W36" i="8"/>
  <c r="AB39" i="8"/>
  <c r="S43" i="8"/>
  <c r="L44" i="8"/>
  <c r="W45" i="8"/>
  <c r="X46" i="8"/>
  <c r="U47" i="8"/>
  <c r="AE47" i="8"/>
  <c r="T41" i="8"/>
  <c r="AF42" i="8"/>
  <c r="AA43" i="8"/>
  <c r="O44" i="8"/>
  <c r="AK46" i="8"/>
  <c r="V47" i="8"/>
  <c r="AG47" i="8"/>
  <c r="AJ41" i="8"/>
  <c r="AC43" i="8"/>
  <c r="AE40" i="8"/>
  <c r="K46" i="8"/>
  <c r="AO46" i="8"/>
  <c r="AI47" i="8"/>
  <c r="AI45" i="8"/>
  <c r="AK47" i="8"/>
  <c r="AH47" i="8"/>
  <c r="H45" i="8"/>
  <c r="W32" i="8"/>
  <c r="AG42" i="8"/>
  <c r="Z46" i="8"/>
  <c r="O47" i="8"/>
  <c r="Z34" i="8"/>
  <c r="M45" i="8"/>
  <c r="AB46" i="8"/>
  <c r="S37" i="8"/>
  <c r="AB43" i="8"/>
  <c r="AD45" i="8"/>
  <c r="AC46" i="8"/>
  <c r="W44" i="8"/>
  <c r="AE45" i="8"/>
  <c r="AL46" i="8"/>
  <c r="Z47" i="8"/>
  <c r="J40" i="8"/>
  <c r="AS3" i="8"/>
  <c r="AS27" i="8" s="1"/>
  <c r="AV23" i="8" l="1"/>
  <c r="AV47" i="8" s="1"/>
  <c r="AV15" i="8"/>
  <c r="AV39" i="8" s="1"/>
  <c r="AV20" i="8"/>
  <c r="AV44" i="8" s="1"/>
  <c r="AV16" i="8"/>
  <c r="AV40" i="8" s="1"/>
  <c r="AV5" i="8"/>
  <c r="AV29" i="8" s="1"/>
  <c r="AV9" i="8"/>
  <c r="AV33" i="8" s="1"/>
  <c r="AV14" i="8"/>
  <c r="AV38" i="8" s="1"/>
  <c r="AV13" i="8"/>
  <c r="AV37" i="8" s="1"/>
  <c r="AV6" i="8"/>
  <c r="AV30" i="8" s="1"/>
  <c r="AV12" i="8"/>
  <c r="AV36" i="8" s="1"/>
  <c r="AV19" i="8"/>
  <c r="AV43" i="8" s="1"/>
  <c r="AV8" i="8"/>
  <c r="AV32" i="8" s="1"/>
  <c r="AV10" i="8"/>
  <c r="AV34" i="8" s="1"/>
  <c r="AV11" i="8"/>
  <c r="AV35" i="8" s="1"/>
  <c r="AV7" i="8"/>
  <c r="AV31" i="8" s="1"/>
  <c r="AV21" i="8"/>
  <c r="AV45" i="8" s="1"/>
  <c r="AV22" i="8"/>
  <c r="AV46" i="8" s="1"/>
  <c r="AV17" i="8"/>
  <c r="AV41" i="8" s="1"/>
  <c r="AV18" i="8"/>
  <c r="AV42" i="8" s="1"/>
  <c r="AT7" i="8"/>
  <c r="C16" i="8"/>
  <c r="C40" i="8" s="1"/>
  <c r="C13" i="8"/>
  <c r="D21" i="8"/>
  <c r="D45" i="8" s="1"/>
  <c r="C7" i="8"/>
  <c r="C31" i="8" s="1"/>
  <c r="D13" i="8"/>
  <c r="D37" i="8" s="1"/>
  <c r="C12" i="8"/>
  <c r="C36" i="8" s="1"/>
  <c r="C5" i="8"/>
  <c r="C29" i="8" s="1"/>
  <c r="C21" i="8"/>
  <c r="C45" i="8" s="1"/>
  <c r="C10" i="8"/>
  <c r="C34" i="8" s="1"/>
  <c r="D20" i="8"/>
  <c r="D44" i="8" s="1"/>
  <c r="C17" i="8"/>
  <c r="C41" i="8" s="1"/>
  <c r="D5" i="8"/>
  <c r="D29" i="8" s="1"/>
  <c r="D23" i="8"/>
  <c r="D47" i="8" s="1"/>
  <c r="C22" i="8"/>
  <c r="C46" i="8" s="1"/>
  <c r="D16" i="8"/>
  <c r="D40" i="8" s="1"/>
  <c r="D17" i="8"/>
  <c r="D41" i="8" s="1"/>
  <c r="C18" i="8"/>
  <c r="C42" i="8" s="1"/>
  <c r="D19" i="8"/>
  <c r="D43" i="8" s="1"/>
  <c r="C6" i="8"/>
  <c r="C30" i="8" s="1"/>
  <c r="D9" i="8"/>
  <c r="D33" i="8" s="1"/>
  <c r="D12" i="8"/>
  <c r="D36" i="8" s="1"/>
  <c r="D11" i="8"/>
  <c r="D35" i="8" s="1"/>
  <c r="C23" i="8"/>
  <c r="C47" i="8" s="1"/>
  <c r="D8" i="8"/>
  <c r="D32" i="8" s="1"/>
  <c r="C14" i="8"/>
  <c r="C38" i="8" s="1"/>
  <c r="D15" i="8"/>
  <c r="D39" i="8" s="1"/>
  <c r="D6" i="8"/>
  <c r="D30" i="8" s="1"/>
  <c r="C20" i="8"/>
  <c r="C44" i="8" s="1"/>
  <c r="C15" i="8"/>
  <c r="C39" i="8" s="1"/>
  <c r="C19" i="8"/>
  <c r="C43" i="8" s="1"/>
  <c r="D7" i="8"/>
  <c r="D31" i="8" s="1"/>
  <c r="D22" i="8"/>
  <c r="D46" i="8" s="1"/>
  <c r="C9" i="8"/>
  <c r="C33" i="8" s="1"/>
  <c r="D10" i="8"/>
  <c r="D34" i="8" s="1"/>
  <c r="C11" i="8"/>
  <c r="C35" i="8" s="1"/>
  <c r="C8" i="8"/>
  <c r="C32" i="8" s="1"/>
  <c r="D14" i="8"/>
  <c r="D38" i="8" s="1"/>
  <c r="D18" i="8"/>
  <c r="D42" i="8" s="1"/>
  <c r="G4" i="8"/>
  <c r="G28" i="8" s="1"/>
  <c r="AT31" i="8"/>
  <c r="AT14" i="8"/>
  <c r="AT38" i="8" s="1"/>
  <c r="AS23" i="8"/>
  <c r="AS47" i="8" s="1"/>
  <c r="AS22" i="8"/>
  <c r="AS46" i="8" s="1"/>
  <c r="AT20" i="8"/>
  <c r="AT44" i="8" s="1"/>
  <c r="AR14" i="8"/>
  <c r="AR38" i="8" s="1"/>
  <c r="AT17" i="8"/>
  <c r="AT41" i="8" s="1"/>
  <c r="AR18" i="8"/>
  <c r="AR42" i="8" s="1"/>
  <c r="AS9" i="8"/>
  <c r="AS33" i="8" s="1"/>
  <c r="AS7" i="8"/>
  <c r="AS31" i="8" s="1"/>
  <c r="AR15" i="8"/>
  <c r="AR39" i="8" s="1"/>
  <c r="AT18" i="8"/>
  <c r="AT42" i="8" s="1"/>
  <c r="AR16" i="8"/>
  <c r="AR40" i="8" s="1"/>
  <c r="AS18" i="8"/>
  <c r="AS42" i="8" s="1"/>
  <c r="AS14" i="8"/>
  <c r="AS38" i="8" s="1"/>
  <c r="AS6" i="8"/>
  <c r="AS30" i="8" s="1"/>
  <c r="AS10" i="8"/>
  <c r="AS34" i="8" s="1"/>
  <c r="AT12" i="8"/>
  <c r="AT36" i="8" s="1"/>
  <c r="AR10" i="8"/>
  <c r="AR34" i="8" s="1"/>
  <c r="AR7" i="8"/>
  <c r="AR31" i="8" s="1"/>
  <c r="AR8" i="8"/>
  <c r="AR32" i="8" s="1"/>
  <c r="AT23" i="8"/>
  <c r="AT47" i="8" s="1"/>
  <c r="AR21" i="8"/>
  <c r="AR45" i="8" s="1"/>
  <c r="AS15" i="8"/>
  <c r="AS39" i="8" s="1"/>
  <c r="AS16" i="8"/>
  <c r="AS40" i="8" s="1"/>
  <c r="AS19" i="8"/>
  <c r="AS43" i="8" s="1"/>
  <c r="AR19" i="8"/>
  <c r="AR43" i="8" s="1"/>
  <c r="AT9" i="8"/>
  <c r="AT33" i="8" s="1"/>
  <c r="AT10" i="8"/>
  <c r="AT34" i="8" s="1"/>
  <c r="AT8" i="8"/>
  <c r="AT32" i="8" s="1"/>
  <c r="AR6" i="8"/>
  <c r="AR30" i="8" s="1"/>
  <c r="AR22" i="8"/>
  <c r="AR46" i="8" s="1"/>
  <c r="AT15" i="8"/>
  <c r="AT39" i="8" s="1"/>
  <c r="AR13" i="8"/>
  <c r="AR37" i="8" s="1"/>
  <c r="AR11" i="8"/>
  <c r="AR35" i="8" s="1"/>
  <c r="AR23" i="8"/>
  <c r="AR47" i="8" s="1"/>
  <c r="AT16" i="8"/>
  <c r="AT40" i="8" s="1"/>
  <c r="AS17" i="8"/>
  <c r="AS41" i="8" s="1"/>
  <c r="AT19" i="8"/>
  <c r="AT43" i="8" s="1"/>
  <c r="AR17" i="8"/>
  <c r="AR41" i="8" s="1"/>
  <c r="AT11" i="8"/>
  <c r="AT35" i="8" s="1"/>
  <c r="AR9" i="8"/>
  <c r="AR33" i="8" s="1"/>
  <c r="AS11" i="8"/>
  <c r="AS35" i="8" s="1"/>
  <c r="AS8" i="8"/>
  <c r="AS32" i="8" s="1"/>
  <c r="AT22" i="8"/>
  <c r="AT46" i="8" s="1"/>
  <c r="F42" i="8"/>
  <c r="R40" i="8"/>
  <c r="R35" i="8"/>
  <c r="AJ4" i="8"/>
  <c r="AJ28" i="8" s="1"/>
  <c r="AJ29" i="8"/>
  <c r="F32" i="8"/>
  <c r="F30" i="8"/>
  <c r="F40" i="8"/>
  <c r="F38" i="8"/>
  <c r="F4" i="8"/>
  <c r="F29" i="8"/>
  <c r="AI4" i="8"/>
  <c r="AI28" i="8" s="1"/>
  <c r="AI29" i="8"/>
  <c r="F43" i="8"/>
  <c r="R31" i="8"/>
  <c r="Z4" i="8"/>
  <c r="Z28" i="8" s="1"/>
  <c r="Z29" i="8"/>
  <c r="I4" i="8"/>
  <c r="I28" i="8" s="1"/>
  <c r="I29" i="8"/>
  <c r="P4" i="8"/>
  <c r="P28" i="8" s="1"/>
  <c r="P29" i="8"/>
  <c r="V4" i="8"/>
  <c r="V28" i="8" s="1"/>
  <c r="V29" i="8"/>
  <c r="AB4" i="8"/>
  <c r="AB28" i="8" s="1"/>
  <c r="AB29" i="8"/>
  <c r="DO5" i="7"/>
  <c r="AR5" i="8"/>
  <c r="AR29" i="8" s="1"/>
  <c r="CI5" i="7"/>
  <c r="EO5" i="7"/>
  <c r="CC5" i="7"/>
  <c r="Q5" i="7"/>
  <c r="CZ5" i="7"/>
  <c r="AN5" i="7"/>
  <c r="G5" i="7"/>
  <c r="FB5" i="7"/>
  <c r="CP5" i="7"/>
  <c r="AD5" i="7"/>
  <c r="DM5" i="7"/>
  <c r="BA5" i="7"/>
  <c r="EB5" i="7"/>
  <c r="BP5" i="7"/>
  <c r="D5" i="7"/>
  <c r="CU5" i="7"/>
  <c r="AI5" i="7"/>
  <c r="DZ5" i="7"/>
  <c r="BN5" i="7"/>
  <c r="R39" i="8"/>
  <c r="R34" i="8"/>
  <c r="R33" i="8"/>
  <c r="G29" i="8"/>
  <c r="AD4" i="8"/>
  <c r="AD28" i="8" s="1"/>
  <c r="AD29" i="8"/>
  <c r="F33" i="8"/>
  <c r="F37" i="8"/>
  <c r="F46" i="8"/>
  <c r="F35" i="8"/>
  <c r="R46" i="8"/>
  <c r="R45" i="8"/>
  <c r="R4" i="8"/>
  <c r="R29" i="8"/>
  <c r="H4" i="8"/>
  <c r="H28" i="8" s="1"/>
  <c r="H29" i="8"/>
  <c r="N4" i="8"/>
  <c r="N28" i="8" s="1"/>
  <c r="N29" i="8"/>
  <c r="T4" i="8"/>
  <c r="T28" i="8" s="1"/>
  <c r="T29" i="8"/>
  <c r="CY5" i="7"/>
  <c r="BC5" i="7"/>
  <c r="AS13" i="8"/>
  <c r="AS37" i="8" s="1"/>
  <c r="AT13" i="8"/>
  <c r="AT37" i="8" s="1"/>
  <c r="EG5" i="7"/>
  <c r="BU5" i="7"/>
  <c r="I5" i="7"/>
  <c r="FD5" i="7"/>
  <c r="CR5" i="7"/>
  <c r="AF5" i="7"/>
  <c r="ET5" i="7"/>
  <c r="CH5" i="7"/>
  <c r="V5" i="7"/>
  <c r="DE5" i="7"/>
  <c r="AS5" i="7"/>
  <c r="DT5" i="7"/>
  <c r="BH5" i="7"/>
  <c r="EY5" i="7"/>
  <c r="CM5" i="7"/>
  <c r="AA5" i="7"/>
  <c r="DR5" i="7"/>
  <c r="BF5" i="7"/>
  <c r="R47" i="8"/>
  <c r="AF4" i="8"/>
  <c r="AF28" i="8" s="1"/>
  <c r="AF29" i="8"/>
  <c r="M4" i="8"/>
  <c r="M28" i="8" s="1"/>
  <c r="M29" i="8"/>
  <c r="R36" i="8"/>
  <c r="AA4" i="8"/>
  <c r="AA28" i="8" s="1"/>
  <c r="AA29" i="8"/>
  <c r="K4" i="8"/>
  <c r="K28" i="8" s="1"/>
  <c r="K29" i="8"/>
  <c r="R43" i="8"/>
  <c r="L4" i="8"/>
  <c r="L28" i="8" s="1"/>
  <c r="L29" i="8"/>
  <c r="FC5" i="7"/>
  <c r="DY5" i="7"/>
  <c r="BM5" i="7"/>
  <c r="EV5" i="7"/>
  <c r="AS5" i="8"/>
  <c r="AS29" i="8" s="1"/>
  <c r="CJ5" i="7"/>
  <c r="AT5" i="8"/>
  <c r="AT29" i="8" s="1"/>
  <c r="X5" i="7"/>
  <c r="EL5" i="7"/>
  <c r="BZ5" i="7"/>
  <c r="N5" i="7"/>
  <c r="CW5" i="7"/>
  <c r="AK5" i="7"/>
  <c r="DL5" i="7"/>
  <c r="AZ5" i="7"/>
  <c r="EQ5" i="7"/>
  <c r="CE5" i="7"/>
  <c r="S5" i="7"/>
  <c r="DJ5" i="7"/>
  <c r="AX5" i="7"/>
  <c r="R42" i="8"/>
  <c r="AP4" i="8"/>
  <c r="AP28" i="8" s="1"/>
  <c r="AP29" i="8"/>
  <c r="Y4" i="8"/>
  <c r="Y28" i="8" s="1"/>
  <c r="Y29" i="8"/>
  <c r="AL4" i="8"/>
  <c r="AL28" i="8" s="1"/>
  <c r="AL29" i="8"/>
  <c r="F45" i="8"/>
  <c r="F36" i="8"/>
  <c r="J4" i="8"/>
  <c r="J28" i="8" s="1"/>
  <c r="J29" i="8"/>
  <c r="F34" i="8"/>
  <c r="R44" i="8"/>
  <c r="R41" i="8"/>
  <c r="AM4" i="8"/>
  <c r="AM28" i="8" s="1"/>
  <c r="AM29" i="8"/>
  <c r="R32" i="8"/>
  <c r="AK4" i="8"/>
  <c r="AK28" i="8" s="1"/>
  <c r="AK29" i="8"/>
  <c r="AS21" i="8"/>
  <c r="AS45" i="8" s="1"/>
  <c r="AT21" i="8"/>
  <c r="AT45" i="8" s="1"/>
  <c r="CQ5" i="7"/>
  <c r="DQ5" i="7"/>
  <c r="BE5" i="7"/>
  <c r="EN5" i="7"/>
  <c r="CB5" i="7"/>
  <c r="P5" i="7"/>
  <c r="ED5" i="7"/>
  <c r="BR5" i="7"/>
  <c r="F5" i="7"/>
  <c r="FA5" i="7"/>
  <c r="CO5" i="7"/>
  <c r="AC5" i="7"/>
  <c r="DD5" i="7"/>
  <c r="AR5" i="7"/>
  <c r="EI5" i="7"/>
  <c r="BW5" i="7"/>
  <c r="K5" i="7"/>
  <c r="DB5" i="7"/>
  <c r="AP5" i="7"/>
  <c r="DG5" i="7"/>
  <c r="DW5" i="7"/>
  <c r="DI5" i="7"/>
  <c r="AW5" i="7"/>
  <c r="EF5" i="7"/>
  <c r="BT5" i="7"/>
  <c r="H5" i="7"/>
  <c r="DV5" i="7"/>
  <c r="BJ5" i="7"/>
  <c r="ES5" i="7"/>
  <c r="CG5" i="7"/>
  <c r="U5" i="7"/>
  <c r="CV5" i="7"/>
  <c r="AJ5" i="7"/>
  <c r="EA5" i="7"/>
  <c r="BO5" i="7"/>
  <c r="C5" i="7"/>
  <c r="CT5" i="7"/>
  <c r="AH5" i="7"/>
  <c r="AO4" i="8"/>
  <c r="AO28" i="8" s="1"/>
  <c r="AO29" i="8"/>
  <c r="AE4" i="8"/>
  <c r="AE28" i="8" s="1"/>
  <c r="AE29" i="8"/>
  <c r="R30" i="8"/>
  <c r="AC4" i="8"/>
  <c r="AC28" i="8" s="1"/>
  <c r="AC29" i="8"/>
  <c r="F44" i="8"/>
  <c r="F39" i="8"/>
  <c r="R38" i="8"/>
  <c r="S4" i="8"/>
  <c r="S28" i="8" s="1"/>
  <c r="S29" i="8"/>
  <c r="C37" i="8"/>
  <c r="R37" i="8"/>
  <c r="AG4" i="8"/>
  <c r="AG28" i="8" s="1"/>
  <c r="AG29" i="8"/>
  <c r="AN4" i="8"/>
  <c r="AN28" i="8" s="1"/>
  <c r="AN29" i="8"/>
  <c r="W4" i="8"/>
  <c r="W28" i="8" s="1"/>
  <c r="W29" i="8"/>
  <c r="U4" i="8"/>
  <c r="U28" i="8" s="1"/>
  <c r="U29" i="8"/>
  <c r="AR20" i="8"/>
  <c r="AR44" i="8" s="1"/>
  <c r="AS20" i="8"/>
  <c r="AS44" i="8" s="1"/>
  <c r="AU5" i="7"/>
  <c r="EM5" i="7"/>
  <c r="EE5" i="7"/>
  <c r="AR12" i="8"/>
  <c r="AR36" i="8" s="1"/>
  <c r="AS12" i="8"/>
  <c r="AS36" i="8" s="1"/>
  <c r="BK5" i="7"/>
  <c r="DA5" i="7"/>
  <c r="AO5" i="7"/>
  <c r="DX5" i="7"/>
  <c r="BL5" i="7"/>
  <c r="AE5" i="7"/>
  <c r="DN5" i="7"/>
  <c r="BB5" i="7"/>
  <c r="EK5" i="7"/>
  <c r="BY5" i="7"/>
  <c r="M5" i="7"/>
  <c r="EZ5" i="7"/>
  <c r="CN5" i="7"/>
  <c r="AB5" i="7"/>
  <c r="DS5" i="7"/>
  <c r="BG5" i="7"/>
  <c r="EX5" i="7"/>
  <c r="CL5" i="7"/>
  <c r="Z5" i="7"/>
  <c r="F31" i="8"/>
  <c r="AM5" i="7"/>
  <c r="CA5" i="7"/>
  <c r="BS5" i="7"/>
  <c r="FE5" i="7"/>
  <c r="CS5" i="7"/>
  <c r="AG5" i="7"/>
  <c r="AT6" i="8"/>
  <c r="AT30" i="8" s="1"/>
  <c r="DP5" i="7"/>
  <c r="BD5" i="7"/>
  <c r="W5" i="7"/>
  <c r="DF5" i="7"/>
  <c r="AT5" i="7"/>
  <c r="EC5" i="7"/>
  <c r="BQ5" i="7"/>
  <c r="E5" i="7"/>
  <c r="ER5" i="7"/>
  <c r="CF5" i="7"/>
  <c r="T5" i="7"/>
  <c r="DK5" i="7"/>
  <c r="AY5" i="7"/>
  <c r="EP5" i="7"/>
  <c r="CD5" i="7"/>
  <c r="R5" i="7"/>
  <c r="F47" i="8"/>
  <c r="O4" i="8"/>
  <c r="O28" i="8" s="1"/>
  <c r="O29" i="8"/>
  <c r="F41" i="8"/>
  <c r="AH4" i="8"/>
  <c r="AH28" i="8" s="1"/>
  <c r="AH29" i="8"/>
  <c r="Q4" i="8"/>
  <c r="Q28" i="8" s="1"/>
  <c r="Q29" i="8"/>
  <c r="X4" i="8"/>
  <c r="X28" i="8" s="1"/>
  <c r="X29" i="8"/>
  <c r="EU5" i="7"/>
  <c r="EW5" i="7"/>
  <c r="CK5" i="7"/>
  <c r="Y5" i="7"/>
  <c r="DH5" i="7"/>
  <c r="AV5" i="7"/>
  <c r="O5" i="7"/>
  <c r="CX5" i="7"/>
  <c r="AL5" i="7"/>
  <c r="DU5" i="7"/>
  <c r="BI5" i="7"/>
  <c r="EJ5" i="7"/>
  <c r="BX5" i="7"/>
  <c r="L5" i="7"/>
  <c r="DC5" i="7"/>
  <c r="AQ5" i="7"/>
  <c r="EH5" i="7"/>
  <c r="BV5" i="7"/>
  <c r="J5" i="7"/>
  <c r="C4" i="8" l="1"/>
  <c r="C28" i="8" s="1"/>
  <c r="D4" i="8"/>
  <c r="D28" i="8" s="1"/>
  <c r="AT4" i="8"/>
  <c r="AT28" i="8" s="1"/>
  <c r="R28" i="8"/>
  <c r="F28" i="8"/>
  <c r="AV4" i="8"/>
  <c r="AV28" i="8" s="1"/>
  <c r="AR4" i="8"/>
  <c r="AR28" i="8" s="1"/>
  <c r="AS4" i="8"/>
  <c r="AS28" i="8" s="1"/>
</calcChain>
</file>

<file path=xl/sharedStrings.xml><?xml version="1.0" encoding="utf-8"?>
<sst xmlns="http://schemas.openxmlformats.org/spreadsheetml/2006/main" count="17500" uniqueCount="1876">
  <si>
    <t>No</t>
  </si>
  <si>
    <t>ConfirmationWC</t>
  </si>
  <si>
    <t>OccurredWC</t>
  </si>
  <si>
    <t>source</t>
  </si>
  <si>
    <t>OccurredDate</t>
  </si>
  <si>
    <t>ConfirmDate</t>
  </si>
  <si>
    <t>TVPlant</t>
  </si>
  <si>
    <t>LineName</t>
  </si>
  <si>
    <t>Position</t>
  </si>
  <si>
    <t>SetName</t>
  </si>
  <si>
    <t>ModelName</t>
  </si>
  <si>
    <t>ModuleID</t>
  </si>
  <si>
    <t>WeekCode</t>
  </si>
  <si>
    <t>SonyPN</t>
  </si>
  <si>
    <t>SITE</t>
  </si>
  <si>
    <t>CellModel</t>
  </si>
  <si>
    <t>CellID</t>
  </si>
  <si>
    <t>NoticedSymptom</t>
  </si>
  <si>
    <t>OSSorFFAjudgement</t>
  </si>
  <si>
    <t>Classify</t>
  </si>
  <si>
    <t>FY_mod</t>
  </si>
  <si>
    <t>na</t>
  </si>
  <si>
    <t>Inprocess</t>
  </si>
  <si>
    <t>TV</t>
  </si>
  <si>
    <t>2021-05-06</t>
  </si>
  <si>
    <t>2021-05-19</t>
  </si>
  <si>
    <t>2021-06-11</t>
  </si>
  <si>
    <t>2021-07-09</t>
  </si>
  <si>
    <t>2021-07-19</t>
  </si>
  <si>
    <t>2021-07-01</t>
  </si>
  <si>
    <t>2021-04-20</t>
  </si>
  <si>
    <t>2021-06-07</t>
  </si>
  <si>
    <t>2021-06-08</t>
  </si>
  <si>
    <t>2021-06-09</t>
  </si>
  <si>
    <t>2021-08-11</t>
  </si>
  <si>
    <t>2021-01-04</t>
  </si>
  <si>
    <t>2021-01-08</t>
  </si>
  <si>
    <t>2021-01-13</t>
  </si>
  <si>
    <t>2021-01-14</t>
  </si>
  <si>
    <t>2021-01-15</t>
  </si>
  <si>
    <t>2021-01-18</t>
  </si>
  <si>
    <t>2021-01-19</t>
  </si>
  <si>
    <t>2021-01-20</t>
  </si>
  <si>
    <t>2021-01-21</t>
  </si>
  <si>
    <t>2021-01-22</t>
  </si>
  <si>
    <t>2021-01-27</t>
  </si>
  <si>
    <t>2021-01-28</t>
  </si>
  <si>
    <t>2021-01-29</t>
  </si>
  <si>
    <t>2021-02-01</t>
  </si>
  <si>
    <t>2021-02-02</t>
  </si>
  <si>
    <t>2021-02-03</t>
  </si>
  <si>
    <t>2021-02-04</t>
  </si>
  <si>
    <t>2021-02-05</t>
  </si>
  <si>
    <t>2021-02-08</t>
  </si>
  <si>
    <t>2021-02-15</t>
  </si>
  <si>
    <t>2021-02-16</t>
  </si>
  <si>
    <t>2021-02-18</t>
  </si>
  <si>
    <t>2021-02-20</t>
  </si>
  <si>
    <t>2021-02-22</t>
  </si>
  <si>
    <t>2021-02-26</t>
  </si>
  <si>
    <t>2021-03-03</t>
  </si>
  <si>
    <t>2021-03-04</t>
  </si>
  <si>
    <t>2021-03-08</t>
  </si>
  <si>
    <t>2021-03-10</t>
  </si>
  <si>
    <t>2021-03-11</t>
  </si>
  <si>
    <t>2021-03-15</t>
  </si>
  <si>
    <t>2021-03-16</t>
  </si>
  <si>
    <t>2021-03-23</t>
  </si>
  <si>
    <t>2021-03-25</t>
  </si>
  <si>
    <t>2021-03-26</t>
  </si>
  <si>
    <t>2021-04-01</t>
  </si>
  <si>
    <t>2021-04-21</t>
  </si>
  <si>
    <t>2021-04-22</t>
  </si>
  <si>
    <t>2021-04-26</t>
  </si>
  <si>
    <t>2021-05-04</t>
  </si>
  <si>
    <t>2021-05-05</t>
  </si>
  <si>
    <t>2021-05-11</t>
  </si>
  <si>
    <t>2021-05-17</t>
  </si>
  <si>
    <t>2021-05-21</t>
  </si>
  <si>
    <t>2021-05-22</t>
  </si>
  <si>
    <t>2021-05-24</t>
  </si>
  <si>
    <t>2021-05-25</t>
  </si>
  <si>
    <t>2021-05-26</t>
  </si>
  <si>
    <t>2021-05-28</t>
  </si>
  <si>
    <t>2021-06-01</t>
  </si>
  <si>
    <t>2021-06-02</t>
  </si>
  <si>
    <t>2021-06-10</t>
  </si>
  <si>
    <t>2021-06-16</t>
  </si>
  <si>
    <t>2021-06-24</t>
  </si>
  <si>
    <t>2021-06-28</t>
  </si>
  <si>
    <t>2021-06-29</t>
  </si>
  <si>
    <t>2021-06-30</t>
  </si>
  <si>
    <t>2021-07-02</t>
  </si>
  <si>
    <t>2021-07-07</t>
  </si>
  <si>
    <t>2021-07-08</t>
  </si>
  <si>
    <t>2021-07-12</t>
  </si>
  <si>
    <t>2021-07-13</t>
  </si>
  <si>
    <t>2021-07-14</t>
  </si>
  <si>
    <t>2021-07-15</t>
  </si>
  <si>
    <t>2021-07-16</t>
  </si>
  <si>
    <t>2021-07-20</t>
  </si>
  <si>
    <t>2021-07-21</t>
  </si>
  <si>
    <t>2021-07-22</t>
  </si>
  <si>
    <t>2021-07-23</t>
  </si>
  <si>
    <t>2021-08-09</t>
  </si>
  <si>
    <t>2021-08-12</t>
  </si>
  <si>
    <t>2021-08-16</t>
  </si>
  <si>
    <t>2021-08-17</t>
  </si>
  <si>
    <t>2021-08-18</t>
  </si>
  <si>
    <t>2021-08-19</t>
  </si>
  <si>
    <t>2021-08-20</t>
  </si>
  <si>
    <t>2020-06-18</t>
  </si>
  <si>
    <t>2020-02-26</t>
  </si>
  <si>
    <t>2020-02-28</t>
  </si>
  <si>
    <t>2020-04-08</t>
  </si>
  <si>
    <t>2020-05-08</t>
  </si>
  <si>
    <t>2020-06-01</t>
  </si>
  <si>
    <t>2020-08-13</t>
  </si>
  <si>
    <t>2020-09-30</t>
  </si>
  <si>
    <t>2020-12-02</t>
  </si>
  <si>
    <t>2020-12-23</t>
  </si>
  <si>
    <t>2021-06-23</t>
  </si>
  <si>
    <t>2021-06-22</t>
  </si>
  <si>
    <t>2020-02-27</t>
  </si>
  <si>
    <t>2020-05-20</t>
  </si>
  <si>
    <t>2020-05-21</t>
  </si>
  <si>
    <t>2020-06-10</t>
  </si>
  <si>
    <t>2020-06-11</t>
  </si>
  <si>
    <t>2020-06-12</t>
  </si>
  <si>
    <t>2020-06-15</t>
  </si>
  <si>
    <t>2020-06-16</t>
  </si>
  <si>
    <t>2020-06-19</t>
  </si>
  <si>
    <t>2020-06-23</t>
  </si>
  <si>
    <t>2020-06-25</t>
  </si>
  <si>
    <t>2020-07-08</t>
  </si>
  <si>
    <t>2020-07-09</t>
  </si>
  <si>
    <t>2020-07-10</t>
  </si>
  <si>
    <t>2020-07-16</t>
  </si>
  <si>
    <t>2020-07-15</t>
  </si>
  <si>
    <t>2020-07-27</t>
  </si>
  <si>
    <t>2020-08-08</t>
  </si>
  <si>
    <t>2020-08-10</t>
  </si>
  <si>
    <t>2020-08-12</t>
  </si>
  <si>
    <t>2020-08-15</t>
  </si>
  <si>
    <t>2020-08-26</t>
  </si>
  <si>
    <t>2020-09-03</t>
  </si>
  <si>
    <t>2020-09-07</t>
  </si>
  <si>
    <t>2020-09-14</t>
  </si>
  <si>
    <t>2020-09-25</t>
  </si>
  <si>
    <t>2020-10-08</t>
  </si>
  <si>
    <t>2020-10-21</t>
  </si>
  <si>
    <t>2020-10-22</t>
  </si>
  <si>
    <t>2020-12-04</t>
  </si>
  <si>
    <t>2021-02-11</t>
  </si>
  <si>
    <t>2021-02-24</t>
  </si>
  <si>
    <t>2021-03-01</t>
  </si>
  <si>
    <t>2021-03-22</t>
  </si>
  <si>
    <t>2021-04-12</t>
  </si>
  <si>
    <t>2020-05-28</t>
  </si>
  <si>
    <t>2020-07-21</t>
  </si>
  <si>
    <t>2020-07-22</t>
  </si>
  <si>
    <t>2020-08-21</t>
  </si>
  <si>
    <t>2020-09-02</t>
  </si>
  <si>
    <t>2020-09-17</t>
  </si>
  <si>
    <t>2020-11-30</t>
  </si>
  <si>
    <t>2020-12-16</t>
  </si>
  <si>
    <t>2021-04-03</t>
  </si>
  <si>
    <t>2020-08-03</t>
  </si>
  <si>
    <t>2020-08-04</t>
  </si>
  <si>
    <t>2020-08-14</t>
  </si>
  <si>
    <t>2020-08-18</t>
  </si>
  <si>
    <t>2020-08-19</t>
  </si>
  <si>
    <t>2020-08-20</t>
  </si>
  <si>
    <t>2020-08-27</t>
  </si>
  <si>
    <t>2020-09-08</t>
  </si>
  <si>
    <t>2020-10-15</t>
  </si>
  <si>
    <t>2021-02-23</t>
  </si>
  <si>
    <t>2021-03-19</t>
  </si>
  <si>
    <t>2021-04-02</t>
  </si>
  <si>
    <t>2021-07-26</t>
  </si>
  <si>
    <t>2021-07-31</t>
  </si>
  <si>
    <t>2021-08-02</t>
  </si>
  <si>
    <t>2021-04-16</t>
  </si>
  <si>
    <t>2021-05-03</t>
  </si>
  <si>
    <t>2021-06-03</t>
  </si>
  <si>
    <t>2021-06-04</t>
  </si>
  <si>
    <t>2021-06-05</t>
  </si>
  <si>
    <t>2020-10-02</t>
  </si>
  <si>
    <t>2020-10-06</t>
  </si>
  <si>
    <t>2020-10-09</t>
  </si>
  <si>
    <t>2020-10-27</t>
  </si>
  <si>
    <t>2021-01-07</t>
  </si>
  <si>
    <t>2021-02-06</t>
  </si>
  <si>
    <t>2021-03-05</t>
  </si>
  <si>
    <t>2021-04-10</t>
  </si>
  <si>
    <t>2021-04-14</t>
  </si>
  <si>
    <t>2021-04-15</t>
  </si>
  <si>
    <t>2021-04-24</t>
  </si>
  <si>
    <t>2021-04-27</t>
  </si>
  <si>
    <t>2021-05-27</t>
  </si>
  <si>
    <t>2021-06-25</t>
  </si>
  <si>
    <t>2021-07-27</t>
  </si>
  <si>
    <t>2021-07-29</t>
  </si>
  <si>
    <t>2021-08-14</t>
  </si>
  <si>
    <t>2021-08-15</t>
  </si>
  <si>
    <t>2021-05-07</t>
  </si>
  <si>
    <t>2021-05-08</t>
  </si>
  <si>
    <t>2021-06-12</t>
  </si>
  <si>
    <t>2021-06-15</t>
  </si>
  <si>
    <t>2021-08-08</t>
  </si>
  <si>
    <t>2021-05-20</t>
  </si>
  <si>
    <t>2021-07-28</t>
  </si>
  <si>
    <t>2020-02-11</t>
  </si>
  <si>
    <t>2020-02-14</t>
  </si>
  <si>
    <t>2020-05-16</t>
  </si>
  <si>
    <t>2020-05-18</t>
  </si>
  <si>
    <t>2020-06-03</t>
  </si>
  <si>
    <t>2020-06-13</t>
  </si>
  <si>
    <t>2020-06-17</t>
  </si>
  <si>
    <t>2020-06-24</t>
  </si>
  <si>
    <t>2020-07-20</t>
  </si>
  <si>
    <t>2020-08-05</t>
  </si>
  <si>
    <t>2020-08-06</t>
  </si>
  <si>
    <t>2020-08-07</t>
  </si>
  <si>
    <t>2020-08-17</t>
  </si>
  <si>
    <t>2020-08-25</t>
  </si>
  <si>
    <t>2020-08-29</t>
  </si>
  <si>
    <t>2020-09-01</t>
  </si>
  <si>
    <t>2020-09-05</t>
  </si>
  <si>
    <t>2021-04-09</t>
  </si>
  <si>
    <t>2020-07-17</t>
  </si>
  <si>
    <t>2020-07-24</t>
  </si>
  <si>
    <t>2020-08-11</t>
  </si>
  <si>
    <t>2020-08-24</t>
  </si>
  <si>
    <t>2020-09-10</t>
  </si>
  <si>
    <t>2021-01-05</t>
  </si>
  <si>
    <t>2021-03-24</t>
  </si>
  <si>
    <t>2021-04-13</t>
  </si>
  <si>
    <t>2021-05-31</t>
  </si>
  <si>
    <t>2021-05-06 00:00:00</t>
  </si>
  <si>
    <t>2021-05-19 00:00:00</t>
  </si>
  <si>
    <t>2021-06-11 00:00:00</t>
  </si>
  <si>
    <t>2021-07-09 00:00:00</t>
  </si>
  <si>
    <t>2021-07-19 00:00:00</t>
  </si>
  <si>
    <t>2021-07-01 00:00:00</t>
  </si>
  <si>
    <t>2021-04-20 00:00:00</t>
  </si>
  <si>
    <t>2021-06-07 00:00:00</t>
  </si>
  <si>
    <t>2021-06-08 00:00:00</t>
  </si>
  <si>
    <t>2021-06-09 00:00:00</t>
  </si>
  <si>
    <t>2021-07-23 00:00:00</t>
  </si>
  <si>
    <t>2021-08-12 00:00:00</t>
  </si>
  <si>
    <t>nan</t>
  </si>
  <si>
    <t>2020/6/218</t>
  </si>
  <si>
    <t>2021-07-20 00:00:00</t>
  </si>
  <si>
    <t>2020-02-26 00:00:00</t>
  </si>
  <si>
    <t>2020-02-28 00:00:00</t>
  </si>
  <si>
    <t>2020-04-08 00:00:00</t>
  </si>
  <si>
    <t>2020-05-08 00:00:00</t>
  </si>
  <si>
    <t>2020-06-01 00:00:00</t>
  </si>
  <si>
    <t>2020-08-17 00:00:00</t>
  </si>
  <si>
    <t>2020-09-30 00:00:00</t>
  </si>
  <si>
    <t>2020-12-02 00:00:00</t>
  </si>
  <si>
    <t>2020-12-23 00:00:00</t>
  </si>
  <si>
    <t>2021-01-13 00:00:00</t>
  </si>
  <si>
    <t>2021-02-08 00:00:00</t>
  </si>
  <si>
    <t>2021-06-10 00:00:00</t>
  </si>
  <si>
    <t>2021-06-29 00:00:00</t>
  </si>
  <si>
    <t>2021-06-23 00:00:00</t>
  </si>
  <si>
    <t>2021-04-22 00:00:00</t>
  </si>
  <si>
    <t>2021-06-22 00:00:00</t>
  </si>
  <si>
    <t>2020-02-27 00:00:00</t>
  </si>
  <si>
    <t>2020-05-20 00:00:00</t>
  </si>
  <si>
    <t>2020-05-21 00:00:00</t>
  </si>
  <si>
    <t>2020-06-10 00:00:00</t>
  </si>
  <si>
    <t>2020-06-11 00:00:00</t>
  </si>
  <si>
    <t>2020-06-12 00:00:00</t>
  </si>
  <si>
    <t>2020-06-15 00:00:00</t>
  </si>
  <si>
    <t>2020-06-16 00:00:00</t>
  </si>
  <si>
    <t>2020-06-19 00:00:00</t>
  </si>
  <si>
    <t>2020-06-23 00:00:00</t>
  </si>
  <si>
    <t>2020-06-25 00:00:00</t>
  </si>
  <si>
    <t>2020-07-08 00:00:00</t>
  </si>
  <si>
    <t>2020-07-09 00:00:00</t>
  </si>
  <si>
    <t>2020-07-10 00:00:00</t>
  </si>
  <si>
    <t>2020-07-16 00:00:00</t>
  </si>
  <si>
    <t>2020-07-15 00:00:00</t>
  </si>
  <si>
    <t>2020-07-27 00:00:00</t>
  </si>
  <si>
    <t>2020-08-08 00:00:00</t>
  </si>
  <si>
    <t>2020-08-10 00:00:00</t>
  </si>
  <si>
    <t>2020-08-12 00:00:00</t>
  </si>
  <si>
    <t>2020-08-15 00:00:00</t>
  </si>
  <si>
    <t>2020-08-26 00:00:00</t>
  </si>
  <si>
    <t>2020-09-03 00:00:00</t>
  </si>
  <si>
    <t>2020-09-07 00:00:00</t>
  </si>
  <si>
    <t>2020-09-14 00:00:00</t>
  </si>
  <si>
    <t>2020-09-25 00:00:00</t>
  </si>
  <si>
    <t>2020-10-08 00:00:00</t>
  </si>
  <si>
    <t>2020-10-21 00:00:00</t>
  </si>
  <si>
    <t>2020-10-22 00:00:00</t>
  </si>
  <si>
    <t>2020-12-04 00:00:00</t>
  </si>
  <si>
    <t>2021-01-04 00:00:00</t>
  </si>
  <si>
    <t>2021-01-19 00:00:00</t>
  </si>
  <si>
    <t>2021-01-29 00:00:00</t>
  </si>
  <si>
    <t>2021-02-11 00:00:00</t>
  </si>
  <si>
    <t>2021-02-24 00:00:00</t>
  </si>
  <si>
    <t>2021-03-01 00:00:00</t>
  </si>
  <si>
    <t>2021-03-22 00:00:00</t>
  </si>
  <si>
    <t>2021-03-23 00:00:00</t>
  </si>
  <si>
    <t>2021-04-01 00:00:00</t>
  </si>
  <si>
    <t>2021-04-12 00:00:00</t>
  </si>
  <si>
    <t>2020-05-28 00:00:00</t>
  </si>
  <si>
    <t>2020-07-21 00:00:00</t>
  </si>
  <si>
    <t>2020-07-22 00:00:00</t>
  </si>
  <si>
    <t>2020-08-21 00:00:00</t>
  </si>
  <si>
    <t>2020-09-02 00:00:00</t>
  </si>
  <si>
    <t>2020-09-17 00:00:00</t>
  </si>
  <si>
    <t>2020-11-30 00:00:00</t>
  </si>
  <si>
    <t>2020-12-16 00:00:00</t>
  </si>
  <si>
    <t>2021-04-03 00:00:00</t>
  </si>
  <si>
    <t>2021-05-26 00:00:00</t>
  </si>
  <si>
    <t>2020-08-03 00:00:00</t>
  </si>
  <si>
    <t>2020-08-04 00:00:00</t>
  </si>
  <si>
    <t>2020-08-14 00:00:00</t>
  </si>
  <si>
    <t>2020-08-18 00:00:00</t>
  </si>
  <si>
    <t>2020-08-19 00:00:00</t>
  </si>
  <si>
    <t>2020-08-20 00:00:00</t>
  </si>
  <si>
    <t>2020-08-27 00:00:00</t>
  </si>
  <si>
    <t>2020-09-08 00:00:00</t>
  </si>
  <si>
    <t>2020-10-15 00:00:00</t>
  </si>
  <si>
    <t>2021-02-23 00:00:00</t>
  </si>
  <si>
    <t>2021-03-19 00:00:00</t>
  </si>
  <si>
    <t>2021-04-02 00:00:00</t>
  </si>
  <si>
    <t>2021-05-04 00:00:00</t>
  </si>
  <si>
    <t>2021-06-01 00:00:00</t>
  </si>
  <si>
    <t>2021-07-26 00:00:00</t>
  </si>
  <si>
    <t>2021-05-25 00:00:00</t>
  </si>
  <si>
    <t>2021-07-31 00:00:00</t>
  </si>
  <si>
    <t>2021-08-02 00:00:00</t>
  </si>
  <si>
    <t>2021-04-16 00:00:00</t>
  </si>
  <si>
    <t>2021-05-03 00:00:00</t>
  </si>
  <si>
    <t>2021-06-02 00:00:00</t>
  </si>
  <si>
    <t>2021-06-03 00:00:00</t>
  </si>
  <si>
    <t>2021-06-04 00:00:00</t>
  </si>
  <si>
    <t>2021-06-05 00:00:00</t>
  </si>
  <si>
    <t>2021-08-17 00:00:00</t>
  </si>
  <si>
    <t>2020-10-02 00:00:00</t>
  </si>
  <si>
    <t>2020-10-06 00:00:00</t>
  </si>
  <si>
    <t>2020-10-09 00:00:00</t>
  </si>
  <si>
    <t>2020-10-27 00:00:00</t>
  </si>
  <si>
    <t>2021-01-07 00:00:00</t>
  </si>
  <si>
    <t>2021-02-04 00:00:00</t>
  </si>
  <si>
    <t>2021-02-06 00:00:00</t>
  </si>
  <si>
    <t>2021-03-05 00:00:00</t>
  </si>
  <si>
    <t>2021-04-10 00:00:00</t>
  </si>
  <si>
    <t>2021-04-14 00:00:00</t>
  </si>
  <si>
    <t>2021-04-15 00:00:00</t>
  </si>
  <si>
    <t>2021-04-24 00:00:00</t>
  </si>
  <si>
    <t>2021-04-26 00:00:00</t>
  </si>
  <si>
    <t>2021-04-27 00:00:00</t>
  </si>
  <si>
    <t>2021-05-27 00:00:00</t>
  </si>
  <si>
    <t>2021-06-25 00:00:00</t>
  </si>
  <si>
    <t>2021-06-28 00:00:00</t>
  </si>
  <si>
    <t>2021-07-27 00:00:00</t>
  </si>
  <si>
    <t>2021-07-29 00:00:00</t>
  </si>
  <si>
    <t>2021-08-14 00:00:00</t>
  </si>
  <si>
    <t>2021-08-15 00:00:00</t>
  </si>
  <si>
    <t>2021-08-16 00:00:00</t>
  </si>
  <si>
    <t>2021-05-05 00:00:00</t>
  </si>
  <si>
    <t>2021-05-07 00:00:00</t>
  </si>
  <si>
    <t>2021-05-08 00:00:00</t>
  </si>
  <si>
    <t>2021-06-12 00:00:00</t>
  </si>
  <si>
    <t>2021-06-15 00:00:00</t>
  </si>
  <si>
    <t>2021-07-15 00:00:00</t>
  </si>
  <si>
    <t>2021-08-08 00:00:00</t>
  </si>
  <si>
    <t>2021-05-20 00:00:00</t>
  </si>
  <si>
    <t>2021-08-11 00:00:00</t>
  </si>
  <si>
    <t>2021-08-19 00:00:00</t>
  </si>
  <si>
    <t>2020-02-12 00:00:00</t>
  </si>
  <si>
    <t>2020-02-15 00:00:00</t>
  </si>
  <si>
    <t>2020-05-16 00:00:00</t>
  </si>
  <si>
    <t>2020-05-18 00:00:00</t>
  </si>
  <si>
    <t>2020-06-03 00:00:00</t>
  </si>
  <si>
    <t>2020-06-13 00:00:00</t>
  </si>
  <si>
    <t>2020-06-17 00:00:00</t>
  </si>
  <si>
    <t>2020-06-24 00:00:00</t>
  </si>
  <si>
    <t>2020-07-20 00:00:00</t>
  </si>
  <si>
    <t>2020-08-05 00:00:00</t>
  </si>
  <si>
    <t>2020-08-06 00:00:00</t>
  </si>
  <si>
    <t>2020-08-07 00:00:00</t>
  </si>
  <si>
    <t>2020-08-25 00:00:00</t>
  </si>
  <si>
    <t>2020-08-29 00:00:00</t>
  </si>
  <si>
    <t>2020-09-01 00:00:00</t>
  </si>
  <si>
    <t>2020-09-05 00:00:00</t>
  </si>
  <si>
    <t>2021-04-09 00:00:00</t>
  </si>
  <si>
    <t>2021-08-18 00:00:00</t>
  </si>
  <si>
    <t>2020-07-17 00:00:00</t>
  </si>
  <si>
    <t>2020-07-24 00:00:00</t>
  </si>
  <si>
    <t>2020-08-11 00:00:00</t>
  </si>
  <si>
    <t>2020-08-24 00:00:00</t>
  </si>
  <si>
    <t>2020-09-10 00:00:00</t>
  </si>
  <si>
    <t>2021-01-05 00:00:00</t>
  </si>
  <si>
    <t>2021-01-18 00:00:00</t>
  </si>
  <si>
    <t>2021-02-02 00:00:00</t>
  </si>
  <si>
    <t>2021-03-24 00:00:00</t>
  </si>
  <si>
    <t>2021-04-13 00:00:00</t>
  </si>
  <si>
    <t>CTTI</t>
  </si>
  <si>
    <t>FBC</t>
  </si>
  <si>
    <t>FSK</t>
  </si>
  <si>
    <t>INZ</t>
  </si>
  <si>
    <t>SO'EM</t>
  </si>
  <si>
    <t>Line</t>
  </si>
  <si>
    <t>SBI</t>
  </si>
  <si>
    <t>SF12</t>
  </si>
  <si>
    <t>QA</t>
  </si>
  <si>
    <t>IQC</t>
  </si>
  <si>
    <t>R4</t>
  </si>
  <si>
    <t>R7</t>
  </si>
  <si>
    <t>LINE</t>
  </si>
  <si>
    <t>I5</t>
  </si>
  <si>
    <t>I9</t>
  </si>
  <si>
    <t>WB1</t>
  </si>
  <si>
    <t>P1</t>
  </si>
  <si>
    <t>I1</t>
  </si>
  <si>
    <t>NVM</t>
  </si>
  <si>
    <t>I8</t>
  </si>
  <si>
    <t>WB2</t>
  </si>
  <si>
    <t>I10</t>
  </si>
  <si>
    <t>P14</t>
  </si>
  <si>
    <t>P6</t>
  </si>
  <si>
    <t>P5</t>
  </si>
  <si>
    <t>I4</t>
  </si>
  <si>
    <t>P2</t>
  </si>
  <si>
    <t>I2</t>
  </si>
  <si>
    <t>I6</t>
  </si>
  <si>
    <t>75APH</t>
  </si>
  <si>
    <t>75AR</t>
  </si>
  <si>
    <t>75AQ</t>
  </si>
  <si>
    <t>85AQ</t>
  </si>
  <si>
    <t>75AG</t>
  </si>
  <si>
    <t>85NB</t>
  </si>
  <si>
    <t>55NH</t>
  </si>
  <si>
    <t>75NH</t>
  </si>
  <si>
    <t>75NB</t>
  </si>
  <si>
    <t>65NH</t>
  </si>
  <si>
    <t>75NX</t>
  </si>
  <si>
    <t>85NXB</t>
  </si>
  <si>
    <t>85NX</t>
  </si>
  <si>
    <t>75NXB</t>
  </si>
  <si>
    <t>75AX</t>
  </si>
  <si>
    <t>85AG</t>
  </si>
  <si>
    <t>85AX</t>
  </si>
  <si>
    <t>65AG</t>
  </si>
  <si>
    <t>75NE</t>
  </si>
  <si>
    <t>YSBM075CNO02</t>
  </si>
  <si>
    <t>YDBM075DCS02</t>
  </si>
  <si>
    <t>HDBO075DDU02</t>
  </si>
  <si>
    <t>HDBO085DDU02</t>
  </si>
  <si>
    <t>YDBO075DAS02</t>
  </si>
  <si>
    <t>NB85_YSAS085CNU02</t>
  </si>
  <si>
    <t>SBL2_YD9S049DND01</t>
  </si>
  <si>
    <t>NH55_YDAS055DNU02</t>
  </si>
  <si>
    <t>NH75_YDAS075DNN02</t>
  </si>
  <si>
    <t>NB75_YSAS075CNO02_B</t>
  </si>
  <si>
    <t>NH65_YDAS065DNU02</t>
  </si>
  <si>
    <t>NX75_YDAS075DNS02_C</t>
  </si>
  <si>
    <t>SB2H_YD9S085DTU01</t>
  </si>
  <si>
    <t>NX75_YDAS075DND02_S</t>
  </si>
  <si>
    <t>NXB85_YDAS085DNU01</t>
  </si>
  <si>
    <t>NX85_YDAS085DNU01</t>
  </si>
  <si>
    <t>NXB75_YDAS075DNS02_C</t>
  </si>
  <si>
    <t>APH75_YSBM075CNO02</t>
  </si>
  <si>
    <t>NB75_YSAS075CNG02_S</t>
  </si>
  <si>
    <t>AR75_YDBM075DCS02_4S</t>
  </si>
  <si>
    <t>AX75_YDBM075CCS02_4S</t>
  </si>
  <si>
    <t>AX75_YDBM075CCS02_2S</t>
  </si>
  <si>
    <t>AG85_YDBO085DAU02</t>
  </si>
  <si>
    <t>AX85_YDBM085CNU02</t>
  </si>
  <si>
    <t>AR75_YDBM075DCS02_2S</t>
  </si>
  <si>
    <t>AG75_YDBO075DAS02</t>
  </si>
  <si>
    <t>AQ85_HDBO085DDU02</t>
  </si>
  <si>
    <t>AQ75_HDBO075DDU02</t>
  </si>
  <si>
    <t>AG65_YDBO065DBU02</t>
  </si>
  <si>
    <t>HDAS075DTU02</t>
  </si>
  <si>
    <t>YDAS055DNU02</t>
  </si>
  <si>
    <t>YDAS065DNU02</t>
  </si>
  <si>
    <t>YDAS055DNU02(1)</t>
  </si>
  <si>
    <t>YDBO085DAU02</t>
  </si>
  <si>
    <t>YSAS085CNU02</t>
  </si>
  <si>
    <t>YDAS085DNU02</t>
  </si>
  <si>
    <t>YDAS085DNU01</t>
  </si>
  <si>
    <t>YDBM085CNU02</t>
  </si>
  <si>
    <t>YSAS075CNO02</t>
  </si>
  <si>
    <t>YDBM075CCS02</t>
  </si>
  <si>
    <t>YSAS075CNG02</t>
  </si>
  <si>
    <t>YDAS075DND01</t>
  </si>
  <si>
    <t>A5027725A$0003059_2112</t>
  </si>
  <si>
    <t>A5027725A$0000318_2102</t>
  </si>
  <si>
    <t>A5027725A$0008179_2115</t>
  </si>
  <si>
    <t>A5027725A$0002870_2115</t>
  </si>
  <si>
    <t>A5027725A$0010980_2117</t>
  </si>
  <si>
    <t>A5027725A$0016093_2123</t>
  </si>
  <si>
    <t>A5027707A$0006021_2120-YDBM075DCS02</t>
  </si>
  <si>
    <t>A5028174A$0000089_2108</t>
  </si>
  <si>
    <t>A5028174A$0000390_2111</t>
  </si>
  <si>
    <t>A5028174A$0000389_2111</t>
  </si>
  <si>
    <t>A5028174A$0000388_2111</t>
  </si>
  <si>
    <t>A5028174A$0000387_2111</t>
  </si>
  <si>
    <t>A5028174A$0000386_2111</t>
  </si>
  <si>
    <t>A5028174A$0000385_2111</t>
  </si>
  <si>
    <t>A5028174A$0000384_2111</t>
  </si>
  <si>
    <t>A5028174A$0000383_2111</t>
  </si>
  <si>
    <t>A5028174A$0000382_2111</t>
  </si>
  <si>
    <t>A5028174A$0000381_2111</t>
  </si>
  <si>
    <t>A5028174A$0000380_2111</t>
  </si>
  <si>
    <t>A5028174A$0000379_2111</t>
  </si>
  <si>
    <t>A5028174A$0000043_2108</t>
  </si>
  <si>
    <t>A5028174A$0000044_2108</t>
  </si>
  <si>
    <t>A5028174A$0000342_2111</t>
  </si>
  <si>
    <t>A5028174A$0000341_2111</t>
  </si>
  <si>
    <t>A5028174A$0000340_2111</t>
  </si>
  <si>
    <t>A5028174A$0000339_2111</t>
  </si>
  <si>
    <t>A5028174A$0000338_2111</t>
  </si>
  <si>
    <t>A5028174A$0000337_2111</t>
  </si>
  <si>
    <t>A5028174A$0000336_2111</t>
  </si>
  <si>
    <t>A5028174A$0000335_2111</t>
  </si>
  <si>
    <t>A5028174A$0000334_2111</t>
  </si>
  <si>
    <t>A5028174A$0000054_2108</t>
  </si>
  <si>
    <t>A5028174A$0000333_2111</t>
  </si>
  <si>
    <t>A5028174A$0000332_2111</t>
  </si>
  <si>
    <t>A5028174A$0000331_2111</t>
  </si>
  <si>
    <t>A5028174A$0000330_2111</t>
  </si>
  <si>
    <t>A5028174A$0000329_2111</t>
  </si>
  <si>
    <t>A5028174A$0000328_2111</t>
  </si>
  <si>
    <t>A5028174A$0000327_2111</t>
  </si>
  <si>
    <t>A5028174A$0000326_2111</t>
  </si>
  <si>
    <t>A5028174A$0000325_2111</t>
  </si>
  <si>
    <t>A5028174A$0000324_2111</t>
  </si>
  <si>
    <t>A5028174A$0000323_2111</t>
  </si>
  <si>
    <t>A5028174A$0000322_2111</t>
  </si>
  <si>
    <t>A5028174A$0000321_2111</t>
  </si>
  <si>
    <t>A5028174A$0000320_2111</t>
  </si>
  <si>
    <t>A5028174A$0000319_2111</t>
  </si>
  <si>
    <t>A5028174A$0000316_2111</t>
  </si>
  <si>
    <t>A5028174A$0000318_2111</t>
  </si>
  <si>
    <t>A5028174A$0000317_2111</t>
  </si>
  <si>
    <t>A5028174A$0000315_2111</t>
  </si>
  <si>
    <t>A5028174A$0000314_2111</t>
  </si>
  <si>
    <t>A5028174A$0000313_2111</t>
  </si>
  <si>
    <t>A5028174A$0000312_2111</t>
  </si>
  <si>
    <t>A5028174A$0000311_2111</t>
  </si>
  <si>
    <t>A5028174A$0000310_2111</t>
  </si>
  <si>
    <t>A5028174A$0000187_2109</t>
  </si>
  <si>
    <t>A5028174A$0000188_2109</t>
  </si>
  <si>
    <t>A5028174A$0000189_2109</t>
  </si>
  <si>
    <t>A5028174A$0000190_2109</t>
  </si>
  <si>
    <t>A5028174A$0000191_2109</t>
  </si>
  <si>
    <t>A5028174A$0000192_2109</t>
  </si>
  <si>
    <t>A5028174A$0000193_2109</t>
  </si>
  <si>
    <t>A5028174A$0000194_2109</t>
  </si>
  <si>
    <t>A5028174A$0000195_2109</t>
  </si>
  <si>
    <t>A5028174A$0000196_2109</t>
  </si>
  <si>
    <t>A5028174A$0000197_2109</t>
  </si>
  <si>
    <t>A5028174A$0000198_2109</t>
  </si>
  <si>
    <t>A5028174A$0000199_2109</t>
  </si>
  <si>
    <t>A5028174A$0000200_2109</t>
  </si>
  <si>
    <t>A5028174A$0000201_2109</t>
  </si>
  <si>
    <t>A5028174A$0000202_2109</t>
  </si>
  <si>
    <t>A5028174A$0000203_2109</t>
  </si>
  <si>
    <t>A5028174A$0000204_2109</t>
  </si>
  <si>
    <t>A5028174A$0000205_2109</t>
  </si>
  <si>
    <t>A5028174A$0000206_2109</t>
  </si>
  <si>
    <t>A5028174A$0000207_2109</t>
  </si>
  <si>
    <t>A5028174A$0000208_2109</t>
  </si>
  <si>
    <t>A5028174A$0000209_2109</t>
  </si>
  <si>
    <t>A5028174A$0000210_2109</t>
  </si>
  <si>
    <t>A5028174A$0000125_2109</t>
  </si>
  <si>
    <t>A5028174A$0000126_2109</t>
  </si>
  <si>
    <t>A5028174A$0000123_2109</t>
  </si>
  <si>
    <t>A5028174A$0000124_2109</t>
  </si>
  <si>
    <t>A5028174A$0000118_2109</t>
  </si>
  <si>
    <t>A5028174A$0000117_2109</t>
  </si>
  <si>
    <t>A5028174A$0000119_2109</t>
  </si>
  <si>
    <t>A5028174A$0000120_2109</t>
  </si>
  <si>
    <t>A5028174A$0000121_2109</t>
  </si>
  <si>
    <t>A5028174A$0000122_2109</t>
  </si>
  <si>
    <t>A5028174A$0000116_2109</t>
  </si>
  <si>
    <t>A5028174A$0000115_2109</t>
  </si>
  <si>
    <t>A5028174A$0000091_2109</t>
  </si>
  <si>
    <t>A5028174A$0000092_2109</t>
  </si>
  <si>
    <t>A5028174A$0000099_2109</t>
  </si>
  <si>
    <t>A5028174A$0000100_2109</t>
  </si>
  <si>
    <t>A5028174A$0000101_2109</t>
  </si>
  <si>
    <t>A5028174A$0000102_2109</t>
  </si>
  <si>
    <t>A5028174A$0000093_2109</t>
  </si>
  <si>
    <t>A5028174A$0000094_2109</t>
  </si>
  <si>
    <t>A5028174A$0000095_2109</t>
  </si>
  <si>
    <t>A5028174A$0000096_2109</t>
  </si>
  <si>
    <t>A5028174A$0000098_2109</t>
  </si>
  <si>
    <t>A5028174A$0000097_2109</t>
  </si>
  <si>
    <t>A5028174A$0000211_2111</t>
  </si>
  <si>
    <t>A5028174A$0000212_2111</t>
  </si>
  <si>
    <t>A5028174A$0000213_2111</t>
  </si>
  <si>
    <t>A5028174A$0000214_2111</t>
  </si>
  <si>
    <t>A5028174A$0000215_2111</t>
  </si>
  <si>
    <t>A5028174A$0000216_2111</t>
  </si>
  <si>
    <t>A5028174A$0000217_2111</t>
  </si>
  <si>
    <t>A5028174A$0000218_2111</t>
  </si>
  <si>
    <t>A5028174A$0000219_2111</t>
  </si>
  <si>
    <t>A5028174A$0000220_2111</t>
  </si>
  <si>
    <t>A5028174A$0000221_2111</t>
  </si>
  <si>
    <t>A5028174A$0000222_2111</t>
  </si>
  <si>
    <t>A5028174A$0000223_2111</t>
  </si>
  <si>
    <t>A5028174A$0000224_2111</t>
  </si>
  <si>
    <t>A5028174A$0000225_2111</t>
  </si>
  <si>
    <t>A5028174A$0000226_2111</t>
  </si>
  <si>
    <t>A5028174A$0000227_2111</t>
  </si>
  <si>
    <t>A5028174A$0000228_2111</t>
  </si>
  <si>
    <t>A5028174A$0000229_2111</t>
  </si>
  <si>
    <t>A5028174A$0000230_2111</t>
  </si>
  <si>
    <t>A5028174A$0000231_2111</t>
  </si>
  <si>
    <t>A5028174A$0000232_2111</t>
  </si>
  <si>
    <t>A5028174A$0000233_2111</t>
  </si>
  <si>
    <t>A5028174A$0000234_2111</t>
  </si>
  <si>
    <t>A5028174A$0000235_2111</t>
  </si>
  <si>
    <t>A5028174A$0000236_2111</t>
  </si>
  <si>
    <t>A5028174A$0000237_2111</t>
  </si>
  <si>
    <t>A5028174A$0000238_2111</t>
  </si>
  <si>
    <t>A5028174A$0000239_2111</t>
  </si>
  <si>
    <t>A5028174A$0000240_2111</t>
  </si>
  <si>
    <t>A5028174A$0000241_2111</t>
  </si>
  <si>
    <t>A5028174A$0000242_2111</t>
  </si>
  <si>
    <t>A5028174A$0000243_2111</t>
  </si>
  <si>
    <t>A5028174A$0000244_2111</t>
  </si>
  <si>
    <t>A5028174A$0000245_2111</t>
  </si>
  <si>
    <t>A5028174A$0000246_2111</t>
  </si>
  <si>
    <t>A5028174A$0000247_2111</t>
  </si>
  <si>
    <t>A5028174A$0000248_2111</t>
  </si>
  <si>
    <t>A5028174A$0000249_2111</t>
  </si>
  <si>
    <t>A5028174A$0000250_2111</t>
  </si>
  <si>
    <t>A5028174A$0000251_2111</t>
  </si>
  <si>
    <t>A5028174A$0000252_2111</t>
  </si>
  <si>
    <t>A5028174A$0000253_2111</t>
  </si>
  <si>
    <t>A5028174A$0000254_2111</t>
  </si>
  <si>
    <t>A5028174A$0000255_2111</t>
  </si>
  <si>
    <t>A5028174A$0000256_2111</t>
  </si>
  <si>
    <t>A5028174A$0000257_2111</t>
  </si>
  <si>
    <t>A5028174A$0000258_2111</t>
  </si>
  <si>
    <t>A5028174A$0000259_2111</t>
  </si>
  <si>
    <t>A5028174A$0000260_2111</t>
  </si>
  <si>
    <t>A5028174A$0000261_2111</t>
  </si>
  <si>
    <t>A5028174A$0000262_2111</t>
  </si>
  <si>
    <t>A5028174A$0000263_2111</t>
  </si>
  <si>
    <t>A5028174A$0000264_2111</t>
  </si>
  <si>
    <t>A5028174A$0000265_2111</t>
  </si>
  <si>
    <t>A5028174A$0000266_2111</t>
  </si>
  <si>
    <t>A5028174A$0000267_2111</t>
  </si>
  <si>
    <t>A5028174A$0000268_2111</t>
  </si>
  <si>
    <t>A5028174A$0000269_2111</t>
  </si>
  <si>
    <t>A5028174A$0000270_2111</t>
  </si>
  <si>
    <t>A5028174A$0000271_2111</t>
  </si>
  <si>
    <t>A5028174A$0000272_2111</t>
  </si>
  <si>
    <t>A5028174A$0000273_2111</t>
  </si>
  <si>
    <t>A5028174A$0000274_2111</t>
  </si>
  <si>
    <t>A5028174A$0000275_2111</t>
  </si>
  <si>
    <t>A5028174A$0000276_2111</t>
  </si>
  <si>
    <t>A5028174A$0000277_2111</t>
  </si>
  <si>
    <t>A5028174A$0000278_2111</t>
  </si>
  <si>
    <t>A5028174A$0000279_2111</t>
  </si>
  <si>
    <t>A5028174A$0000280_2111</t>
  </si>
  <si>
    <t>A5028174A$0000281_2111</t>
  </si>
  <si>
    <t>A5028174A$0000282_2111</t>
  </si>
  <si>
    <t>A5028174A$0000283_2111</t>
  </si>
  <si>
    <t>A5028174A$0000284_2111</t>
  </si>
  <si>
    <t>A5028174A$0000285_2111</t>
  </si>
  <si>
    <t>A5028174A$0000286_2111</t>
  </si>
  <si>
    <t>A5028174A$0000287_2111</t>
  </si>
  <si>
    <t>A5028174A$0000288_2111</t>
  </si>
  <si>
    <t>A5028174A$0000289_2111</t>
  </si>
  <si>
    <t>A5028174A$0000290_2111</t>
  </si>
  <si>
    <t>A5028174A$0000291_2111</t>
  </si>
  <si>
    <t>A5028174A$0000292_2111</t>
  </si>
  <si>
    <t>A5028174A$0000293_2111</t>
  </si>
  <si>
    <t>A5028174A$0000294_2111</t>
  </si>
  <si>
    <t>A5028174A$0000295_2111</t>
  </si>
  <si>
    <t>A5028174A$0000296_2111</t>
  </si>
  <si>
    <t>A5028174A$0000297_2111</t>
  </si>
  <si>
    <t>A5028174A$0000298_2111</t>
  </si>
  <si>
    <t>A5028174A$0000299_2111</t>
  </si>
  <si>
    <t>A5028174A$0000300_2111</t>
  </si>
  <si>
    <t>A5028174A$0000301_2111</t>
  </si>
  <si>
    <t>A5028174A$0000302_2111</t>
  </si>
  <si>
    <t>A5028174A$0000303_2111</t>
  </si>
  <si>
    <t>A5028174A$0000304_2111</t>
  </si>
  <si>
    <t>A5028174A$0000305_2111</t>
  </si>
  <si>
    <t>A5028174A$0000306_2111</t>
  </si>
  <si>
    <t>A5028174A$0000307_2111</t>
  </si>
  <si>
    <t>A5028174A$0000308_2111</t>
  </si>
  <si>
    <t>A5028174A$0000309_2111</t>
  </si>
  <si>
    <t>A5028177A$0000091_2109</t>
  </si>
  <si>
    <t>A5028177A$0000092_2109</t>
  </si>
  <si>
    <t>A5028177A$0000093_2109</t>
  </si>
  <si>
    <t>A5028177A$0000094_2109</t>
  </si>
  <si>
    <t>A5028177A$0000095_2109</t>
  </si>
  <si>
    <t>A5028177A$0000096_2109</t>
  </si>
  <si>
    <t>A5028177A$0000097_2109</t>
  </si>
  <si>
    <t>A5028177A$0000098_2109</t>
  </si>
  <si>
    <t>A5028177A$0000099_2109</t>
  </si>
  <si>
    <t>A5028177A$0000100_2109</t>
  </si>
  <si>
    <t>A5028177A$0000101_2109</t>
  </si>
  <si>
    <t>A5028177A$0000102_2109</t>
  </si>
  <si>
    <t>A5028177A$0000079_2109</t>
  </si>
  <si>
    <t>A5028177A$0000078_2109</t>
  </si>
  <si>
    <t>A5028177A$0000077_2109</t>
  </si>
  <si>
    <t>A5028177A$0000076_2109</t>
  </si>
  <si>
    <t>A5028177A$0000075_2109</t>
  </si>
  <si>
    <t>A5028177A$0000074_2109</t>
  </si>
  <si>
    <t>A5028177A$0000070_2109</t>
  </si>
  <si>
    <t>A5028177A$0000069_2109</t>
  </si>
  <si>
    <t>A5028177A$0000068_2109</t>
  </si>
  <si>
    <t>A5030081B$0003190_2121</t>
  </si>
  <si>
    <t>A5030081B$0002447_2120-</t>
  </si>
  <si>
    <t>A5030081B$0002477_2120-</t>
  </si>
  <si>
    <t>A5030081B$0002747_2120</t>
  </si>
  <si>
    <t>A5030081B$0002410_2120</t>
  </si>
  <si>
    <t>A5030081B$0002419_2120</t>
  </si>
  <si>
    <t>A5030081B$0002692_2120</t>
  </si>
  <si>
    <t>A5030081B$0002865_2120</t>
  </si>
  <si>
    <t>A5030081B$0001465_2119</t>
  </si>
  <si>
    <t>A5030081B$0003552_2126</t>
  </si>
  <si>
    <t>A5028174A$0000458_2126</t>
  </si>
  <si>
    <t>A5013703A$0019316_2042-YSAS085CNU02</t>
  </si>
  <si>
    <t>A5014743A$0055007_2046-YD9S049DND01</t>
  </si>
  <si>
    <t>A5013700A$0055739_2045-YDAS055DNU02</t>
  </si>
  <si>
    <t>A5013674A$0015287_2048-YDAS075DNN02</t>
  </si>
  <si>
    <t>A5023872B$0002238_2048-YSAS075CNO02</t>
  </si>
  <si>
    <t>A5013677A$0055688_2046-YDAS065DNU02</t>
  </si>
  <si>
    <t>A5023872B$0004174_2048-YSAS075CNO02</t>
  </si>
  <si>
    <t>A5024285B$0001256_2047-YDAS075DNS02</t>
  </si>
  <si>
    <t>A5024285B$0000833_2047-YDAS075DNS02</t>
  </si>
  <si>
    <t>A5023872B$0003543_2048-YSAS075CNO02</t>
  </si>
  <si>
    <t>A5024285B$0000904_2047-YDAS075DNS02</t>
  </si>
  <si>
    <t>A5013700A$0057602_2047-YDAS055DNU02</t>
  </si>
  <si>
    <t>A5013703A$0022256_2048-YSAS085CNU02</t>
  </si>
  <si>
    <t>A5013677A$0057133_2047-YDAS065DNU02</t>
  </si>
  <si>
    <t>A5013677A$0053486_2046-YDAS065DNU02</t>
  </si>
  <si>
    <t>A5013677A$0056890_2047-YDAS065DNU02</t>
  </si>
  <si>
    <t>A5013703A$0025891_2050-YSAS085CNU02</t>
  </si>
  <si>
    <t>A5023872B$0002758_2048-YSAS075CNO02</t>
  </si>
  <si>
    <t>A5013700B$0001597_2049-YDAS055DNU02</t>
  </si>
  <si>
    <t>A5024285B$0000986_2047-YDAS075DNS02</t>
  </si>
  <si>
    <t>A5024285B$0002577_2047-YDAS075DNS02</t>
  </si>
  <si>
    <t>A5014097A$0022579_2049-YD9S085DTU01</t>
  </si>
  <si>
    <t>A5013700B$0002607_2049-YDAS055DNU02</t>
  </si>
  <si>
    <t>A5013700B$0002379_2049-YDAS055DNU02</t>
  </si>
  <si>
    <t>A5013700B$0006108_2050-YDAS055DNU02</t>
  </si>
  <si>
    <t>A5013677A$0059156_2048-YDAS065DNU02</t>
  </si>
  <si>
    <t>A5014743A$0064747_2053-YD9S049DND01</t>
  </si>
  <si>
    <t>A5013700B$0001954_2049-YDAS055DNU02</t>
  </si>
  <si>
    <t>A5013700B$0001955_2049-YDAS055DNU02</t>
  </si>
  <si>
    <t>A5013700B$0001960_2049-YDAS055DNU02</t>
  </si>
  <si>
    <t>A5013700B$0001946_2049-YDAS055DNU02</t>
  </si>
  <si>
    <t>A5024285B$0002819_2047-YDAS075DNS02</t>
  </si>
  <si>
    <t>A5013700B$0001947_2049-YDAS055DNU02</t>
  </si>
  <si>
    <t>A5013677A$0059939_2050-YDAS065DNU02</t>
  </si>
  <si>
    <t>A5013700B$0003831_2050-YDAS055DNU02</t>
  </si>
  <si>
    <t>A5013700B$0004858_2050-YDAS055DNU02</t>
  </si>
  <si>
    <t>A5014743A$0058298_2050-YD9S049DND01</t>
  </si>
  <si>
    <t>A5013700B$0005258_2050-YDAS055DNU02</t>
  </si>
  <si>
    <t>A5024285B$0004536_2051-YDAS075DNS02</t>
  </si>
  <si>
    <t>A5025367A$0020209_2101-YD9S049DND01</t>
  </si>
  <si>
    <t>A5025367A$0020103_2053-YD9S049DND01</t>
  </si>
  <si>
    <t>A5013674A$0018875_2101-YDAS075DNN02</t>
  </si>
  <si>
    <t>A5024285B$0003810_2051-YDAS075DNS02</t>
  </si>
  <si>
    <t>A5016527B$0001305_2051-YDAS075DND02</t>
  </si>
  <si>
    <t>A5014097A$0026959_2102-YD9S085DTU01</t>
  </si>
  <si>
    <t>A5013700A$0056665_2046-YDAS055DNU02</t>
  </si>
  <si>
    <t>A5013677B$0006959_2051-YDAS065DNU02</t>
  </si>
  <si>
    <t>A5013700B$0008394_2051-YDAS055DNU02</t>
  </si>
  <si>
    <t>A5013677A$0063250_2052-YDAS065DNU02</t>
  </si>
  <si>
    <t>A5014743A$0064374_2052-YD9S049DND01</t>
  </si>
  <si>
    <t>A5024285B$0005840_2052-YDAS075DNS02</t>
  </si>
  <si>
    <t>A5024285B$0005875_2052-YDAS075DNS02</t>
  </si>
  <si>
    <t>A5013677B$0010580_2052-YDAS065DNU02</t>
  </si>
  <si>
    <t>A5023872B$0008984_2052-YSAS075CNO02</t>
  </si>
  <si>
    <t>A5013700B$0011248_2052-YDAS055DNU02</t>
  </si>
  <si>
    <t>A5013677A$0062158_2052-YDAS065DNU02</t>
  </si>
  <si>
    <t>A5013700B$0012624_2053-YDAS055DNU02</t>
  </si>
  <si>
    <t>A5013700B$0011986_2053-YDAS055DNU02</t>
  </si>
  <si>
    <t>A5013677A$0062363_2052-YDAS065DNU02</t>
  </si>
  <si>
    <t>A5013677B$0011773_2053-YDAS065DNU02</t>
  </si>
  <si>
    <t>A5016564A$0002276_2101-YDAS085DNU02</t>
  </si>
  <si>
    <t>A5023872B$0015387_2101-YSAS075CNO02</t>
  </si>
  <si>
    <t>A5023872B$0012677_2101-YSAS075CNO02</t>
  </si>
  <si>
    <t>A5016535A$0028986_2102-YDAS085DNU02</t>
  </si>
  <si>
    <t>A5024285B$0008719_2103-YDAS075DNS02</t>
  </si>
  <si>
    <t>A5024285B$0008358_2103-YDAS075DNS02</t>
  </si>
  <si>
    <t>A5013703A$0024199_2048-YSAS085CNU02</t>
  </si>
  <si>
    <t>A5023872B$0016955_2102-YSAS075CNO02</t>
  </si>
  <si>
    <t>A5024285B$0008970_2103-YDAS075DNS02</t>
  </si>
  <si>
    <t>A5013703A$0033487_2104-YSAS085CNU02</t>
  </si>
  <si>
    <t>A5024290B$0000767_2053-YDAS075DNS02</t>
  </si>
  <si>
    <t>A5016535A$0031100_2103-YDAS085DNU02</t>
  </si>
  <si>
    <t>A5027728A$0001707_2105-YSBM075CNO02</t>
  </si>
  <si>
    <t>A5027728A$0000685_2105-YSBM075CNO02</t>
  </si>
  <si>
    <t>A5024285B$0012962_2104-YDAS075DNS02</t>
  </si>
  <si>
    <t>A5024285B$0016484_2109-YDAS075DNS02</t>
  </si>
  <si>
    <t>A5024285B$0016596_2109-YDAS075DNS02</t>
  </si>
  <si>
    <t>A5024285B$0016441_2109-YDAS075DNS02</t>
  </si>
  <si>
    <t>A5024285B$0016514_2109-YDAS075DNS02</t>
  </si>
  <si>
    <t>A5024285B$0016250_2106-YDAS075DNS02</t>
  </si>
  <si>
    <t>A5024285B$0016385_2109-YDAS075DNS02</t>
  </si>
  <si>
    <t>A5024285B$0015337_2105-YDAS075DNS02</t>
  </si>
  <si>
    <t>A5024285B$0015000_2105-YDAS075DNS02</t>
  </si>
  <si>
    <t>A5024285B$0014761_2105-YDAS075DNS02</t>
  </si>
  <si>
    <t>A5024285B$0014792_2105-YDAS075DNS02</t>
  </si>
  <si>
    <t>A5024285B$0015616_2106-YDAS075DNS02</t>
  </si>
  <si>
    <t>A5016535A$0035163_2108-YDAS085DNU02</t>
  </si>
  <si>
    <t>A5024285B$0017608_2110-YDAS075DNS02</t>
  </si>
  <si>
    <t>A5027728A$0003526_2110-YSBM075CNO02</t>
  </si>
  <si>
    <t>A5016535A$0035871_2109-YDAS085DNU02</t>
  </si>
  <si>
    <t>A5013706B$0002265_2110-YSAS075CNG02</t>
  </si>
  <si>
    <t>A5027710A$0000204_2112-YDBM075DCS02</t>
  </si>
  <si>
    <t>A5016535A$0039817_2113-YDAS085DNU02</t>
  </si>
  <si>
    <t>A5024285B$0019574_2112-YDAS075DNS02</t>
  </si>
  <si>
    <t>A5027722A$0000234_2112-YDBM075CCS02</t>
  </si>
  <si>
    <t>A5027719A$0000746_2113-YDBM075CCS02</t>
  </si>
  <si>
    <t>A5027719A$0000738_2113-YDBM075CCS02</t>
  </si>
  <si>
    <t>A5027719A$0000833_2113-YDBM075CCS02</t>
  </si>
  <si>
    <t>A5013706B$0008839_2115-YSAS075CNG02</t>
  </si>
  <si>
    <t>A5013706B$0006912_2113-YSAS075CNG02</t>
  </si>
  <si>
    <t>A5013706B$0007388_2113-YSAS075CNG02</t>
  </si>
  <si>
    <t>A5016535A$0038806_2113-YDAS085DNU02</t>
  </si>
  <si>
    <t>A5016535A$0039504_2113-YDAS085DNU02</t>
  </si>
  <si>
    <t>A5030086B$0000974_2119-YDBO085DAU02</t>
  </si>
  <si>
    <t>A5027716A$0000634_2114-YDBM085CNU02</t>
  </si>
  <si>
    <t>A5024285B$0020125_2114-YDAS075DNS02</t>
  </si>
  <si>
    <t>A5024285B$0019868_2112-YDAS075DNS02</t>
  </si>
  <si>
    <t>A5024285B$0020110_2114-YDAS075DNS02</t>
  </si>
  <si>
    <t>A5027728A$0007558_2115-YSBM075CNO02</t>
  </si>
  <si>
    <t>A5027728A$0008154_2115-YSBM075CNO02</t>
  </si>
  <si>
    <t>A5016535B$0001267_2115-YDAS085DNU02</t>
  </si>
  <si>
    <t>A5027728A$0008194_2115-YSBM075CNO02</t>
  </si>
  <si>
    <t>A5016535A$0036876_2110-YDAS085DNU02</t>
  </si>
  <si>
    <t>A5013706B$0009314_2115-YSAS075CNG02</t>
  </si>
  <si>
    <t>A5027707B$0000619_2116-YDBM075DCS02</t>
  </si>
  <si>
    <t>A5027728A$0008103_2115-YSBM075CNO02</t>
  </si>
  <si>
    <t>A5039502A$0001258_2121-YDBO075DAS02</t>
  </si>
  <si>
    <t>A5027710B$0001547_2118-YDBM075DCS02</t>
  </si>
  <si>
    <t>A5039495A$0000386_2123-HDBO085DDU02</t>
  </si>
  <si>
    <t>A5013706B$0012253_2117-YSAS075CNG02</t>
  </si>
  <si>
    <t>A5027728A$0009541_2119-YSBM075CNO02</t>
  </si>
  <si>
    <t>A5027716A$0002784_2117-YDBM085CNU02</t>
  </si>
  <si>
    <t>A5027719A$0005015_2118-YDBM075CCS02</t>
  </si>
  <si>
    <t>A5027719A$0005074_2118-YDBM075CCS02</t>
  </si>
  <si>
    <t>A5027728A$0008426_2119-YSBM075CNO02</t>
  </si>
  <si>
    <t>A5027716A$0002962_2117-YDBM085CNU02</t>
  </si>
  <si>
    <t>A5039491A$0000069_2121-HDBO075DDU02</t>
  </si>
  <si>
    <t>A5027707A$0006482_2120-YDBM075DCS02</t>
  </si>
  <si>
    <t>A5027728A$0010962_2120-YSBM075CNO02</t>
  </si>
  <si>
    <t>A5027722A$0002607_2119-YDBM075CCS02</t>
  </si>
  <si>
    <t>A5027722A$0002186_2117-YDBM075CCS02</t>
  </si>
  <si>
    <t>A5027710B$0002963_2118-YDBM075DCS02</t>
  </si>
  <si>
    <t>A5027710B$0002942_2118-YDBM075DCS02</t>
  </si>
  <si>
    <t>A5027728A$0012597_2121-YSBM075CNO02</t>
  </si>
  <si>
    <t>A5027728A$0011684_2120-YSBM075CNO02</t>
  </si>
  <si>
    <t>A5027722A$0003860_2121-YDBM075CCS02</t>
  </si>
  <si>
    <t>A5013706B$0015178_2121-YSAS075CNG02</t>
  </si>
  <si>
    <t>A5024285B$0023022_2117-YDAS075DNS02</t>
  </si>
  <si>
    <t>A5013706B$0014576_2120-YSAS075CNG02</t>
  </si>
  <si>
    <t>A5013706B$0013177_2118-YSAS075CNG02</t>
  </si>
  <si>
    <t>A5013706B$0014309_2120-YSAS075CNG02</t>
  </si>
  <si>
    <t>A5027722A$0004072_2121-YDBM075CCS02</t>
  </si>
  <si>
    <t>A5027728A$0013555_2122-YSBM075CNO02</t>
  </si>
  <si>
    <t>A5027728A$0013573_2122-YSBM075CNO02</t>
  </si>
  <si>
    <t>A5027728A$0012922_2121-YSBM075CNO02</t>
  </si>
  <si>
    <t>A5039507A$0000852_2121-YDBO085DAU02</t>
  </si>
  <si>
    <t>A5039507A$0000864_2121-YDBO085DAU02</t>
  </si>
  <si>
    <t>A5027728A$0013983_2122-YSBM075CNO02</t>
  </si>
  <si>
    <t>A5027728A$0010859_2121-YSBM075CNO02</t>
  </si>
  <si>
    <t>A5027728A$0013713_2122-YSBM075CNO02</t>
  </si>
  <si>
    <t>A5027728A$0010885_2121-YSBM075CNO02</t>
  </si>
  <si>
    <t>A5027728A$0013326_2122-YSBM075CNO02</t>
  </si>
  <si>
    <t>A5027728A$0014910_2123-YSBM075CNO02</t>
  </si>
  <si>
    <t>A5027710A$0004454_2124-YDBM075DCS02</t>
  </si>
  <si>
    <t>A5039502A$0003395_2123-YDBO075DAS02</t>
  </si>
  <si>
    <t>A5039502A$0002192_2122-YDBO075DAS02</t>
  </si>
  <si>
    <t>A5027722A$0007412_2126-YDBM075CCS02</t>
  </si>
  <si>
    <t>A5027722A$0005246_2124-YDBM075CCS02</t>
  </si>
  <si>
    <t>A5030081A$0000500_2114-YDBO075DAS02</t>
  </si>
  <si>
    <t>A5027722A$0007561_2126-YDBM075CCS02</t>
  </si>
  <si>
    <t>A5032151A$0000278_2120-YDBO065DBU02</t>
  </si>
  <si>
    <t>A5027707A$0006767_2120-YDBM075DCS02</t>
  </si>
  <si>
    <t>A5027722A$0006021_2126-YDBM075CCS02</t>
  </si>
  <si>
    <t>A5027710A$0005984_2125-YDBM075DCS02</t>
  </si>
  <si>
    <t>A5016535B$0006605_2126-YDAS085DNU02</t>
  </si>
  <si>
    <t>A5030081A$0000553_2114-YDBO075DAS02</t>
  </si>
  <si>
    <t>A5030081A$0001475_2115-YDBO075DAS02</t>
  </si>
  <si>
    <t>A5027722A$0006634_2126-YDBM075CCS02</t>
  </si>
  <si>
    <t>A5027722A$0007516_2126-YDBM075CCS02</t>
  </si>
  <si>
    <t>A5027722A$0007074_2126-YDBM075CCS02</t>
  </si>
  <si>
    <t>A5027710A$0005800_2124-YDBM075DCS02</t>
  </si>
  <si>
    <t>A5014758A$0001910_2018</t>
  </si>
  <si>
    <t>A5014758A$0008133_2106</t>
  </si>
  <si>
    <t>A5014758A$0008136_2106</t>
  </si>
  <si>
    <t>A5013700A$0003057_2003</t>
  </si>
  <si>
    <t>A5013677A$0003118_2003</t>
  </si>
  <si>
    <t>A5013677A$0003151_2003</t>
  </si>
  <si>
    <t>A5013677A$0003164_2003</t>
  </si>
  <si>
    <t>A5013700A$0003090_2003</t>
  </si>
  <si>
    <t>A5013700A$0003004_2003</t>
  </si>
  <si>
    <t>A5013677A$0015565_2027</t>
  </si>
  <si>
    <t>A5013700A$0034805_2034</t>
  </si>
  <si>
    <t>A5013700A$0048432_2043</t>
  </si>
  <si>
    <t>A5013700A$0057503_2047</t>
  </si>
  <si>
    <t>A5013677A$0056273_2047</t>
  </si>
  <si>
    <t>A5013700B$0008767_2052</t>
  </si>
  <si>
    <t>A5039507A$0003007_2124</t>
  </si>
  <si>
    <t>A5028174A$0000391_2111</t>
  </si>
  <si>
    <t>A5028495A$0000477_2123</t>
  </si>
  <si>
    <t>A5039502A$0003081_2123</t>
  </si>
  <si>
    <t>A5039502A$0003091_2123</t>
  </si>
  <si>
    <t>A5027707A$0000670_2113</t>
  </si>
  <si>
    <t>A5027707A$0005533_2119</t>
  </si>
  <si>
    <t>A5027707A$0005822_2119</t>
  </si>
  <si>
    <t>A5027707A$0005825_2119</t>
  </si>
  <si>
    <t>A5027707A$0006231_2119</t>
  </si>
  <si>
    <t>A5027707A$0006235_2119</t>
  </si>
  <si>
    <t>A5027707A$0010309_2124</t>
  </si>
  <si>
    <t>A5013700A$0002379_2003-YDAS055DNU02</t>
  </si>
  <si>
    <t>A5013677A$0003047_2003-YDAS065DNU02</t>
  </si>
  <si>
    <t>A5013700A$0004031_2008-YDAS055DNU02</t>
  </si>
  <si>
    <t>A5013677A$0003757_2009-YDAS065DNU02</t>
  </si>
  <si>
    <t>A5013677A$0002601_2003-YDAS065DNU02</t>
  </si>
  <si>
    <t>A5013677A$0003823_2009-YDAS065DNU02</t>
  </si>
  <si>
    <t>A5013700A$0004788_2010-YDAS055DNU02</t>
  </si>
  <si>
    <t>A5013700A$0007358_2011-YDAS055DNU02</t>
  </si>
  <si>
    <t>A5013677A$0004972_2011-YDAS065DNU02</t>
  </si>
  <si>
    <t>A5013700A$0008698_2013-YDAS055DNU02</t>
  </si>
  <si>
    <t>A5013700A$0009268_2014-YDAS055DNU02</t>
  </si>
  <si>
    <t>A5013700A$0008593_2013-YDAS055DNU02</t>
  </si>
  <si>
    <t>A5013677A$0004738_2011-YDAS065DNU02</t>
  </si>
  <si>
    <t>A5013700A$0008256_2013-YDAS055DNU02</t>
  </si>
  <si>
    <t>A5013677A$0011559_2017-YDAS065DNU02</t>
  </si>
  <si>
    <t>A5013677A$0012244_2017-YDAS065DNU02</t>
  </si>
  <si>
    <t>A5013677A$0011813_2017-YDAS065DNU02</t>
  </si>
  <si>
    <t>A5013700A$0011255_2016-YDAS055DNU02</t>
  </si>
  <si>
    <t>A5013700A$0010843_2016-YDAS055DNU02</t>
  </si>
  <si>
    <t>A5013700A$0010989_2016-YDAS055DNU02</t>
  </si>
  <si>
    <t>A5013700A$0013987_2023-YDAS055DNU02</t>
  </si>
  <si>
    <t>A5013700A$0014613_2024-YDAS055DNU02</t>
  </si>
  <si>
    <t>A5013700A$0016751_2024-YDAS055DNU02</t>
  </si>
  <si>
    <t>A5013677A$0014854_2024-YDAS065DNU02</t>
  </si>
  <si>
    <t>A5013677A$0014744_2024-YDAS065DNU02</t>
  </si>
  <si>
    <t>A5013677A$0014462_2022-YDAS065DNU02</t>
  </si>
  <si>
    <t>A5013677A$0017793_2027-YDAS065DNU02</t>
  </si>
  <si>
    <t>A5013677A$0017758_2027-YDAS065DNU02</t>
  </si>
  <si>
    <t>A5013677A$0017787_2027-YDAS065DNU02</t>
  </si>
  <si>
    <t>A5013677A$0020250_2029-YDAS065DNU02</t>
  </si>
  <si>
    <t>A5013677A$0020221_2029-YDAS065DNU02</t>
  </si>
  <si>
    <t>A5013700A$0021986_2026-YDAS055DNU02</t>
  </si>
  <si>
    <t>A5013677A$0019815_2028-YDAS065DNU02</t>
  </si>
  <si>
    <t>A5013677A$0020912_2029-YDAS065DNU02</t>
  </si>
  <si>
    <t>A5013700A$0024977_2027-YDAS055DNU02</t>
  </si>
  <si>
    <t>A5013677A$0024472_2030-YDAS065DNU02</t>
  </si>
  <si>
    <t>A5013677A$0025650_2030-YDAS065DNU02</t>
  </si>
  <si>
    <t>A5013700A$0030181_2032-YDAS055DNU02</t>
  </si>
  <si>
    <t>A5013700A$0029135_2032-YDAS055DNU02</t>
  </si>
  <si>
    <t>A5013700A$0034570_2034-YDAS055DNU02</t>
  </si>
  <si>
    <t>A5013700A$0016798_2024-YDAS055DNU02</t>
  </si>
  <si>
    <t>A5013700A$0036108_2036-YDAS055DNU02</t>
  </si>
  <si>
    <t>A5013677A$0036779_2037-YDAS065DNU02</t>
  </si>
  <si>
    <t>A5013700A$0040355_2039-YDAS055DNU02</t>
  </si>
  <si>
    <t>A5013700A$0040944_2039-YDAS055DNU02</t>
  </si>
  <si>
    <t>A5013677A$0044981_2041-YDAS065DNU02</t>
  </si>
  <si>
    <t>A5013677A$0048287_2042-YDAS065DNU02</t>
  </si>
  <si>
    <t>A5013677A$0047621_2042-YDAS065DNU02</t>
  </si>
  <si>
    <t>A5013677A$0047509_2042-YDAS065DNU02</t>
  </si>
  <si>
    <t>A5013677A$0058539_2047-YDAS065DNU02</t>
  </si>
  <si>
    <t>A5013677B$0000579_2048-YDAS065DNU02</t>
  </si>
  <si>
    <t>A5013700B$0007272_2051-YDAS055DNU02</t>
  </si>
  <si>
    <t>A5013677B$0013141_2101-YDAS065DNU02</t>
  </si>
  <si>
    <t>A5013677B$0013201_2101-YDAS065DNU02</t>
  </si>
  <si>
    <t>A5013677B$0013266_2101-YDAS065DNU02</t>
  </si>
  <si>
    <t>A5013677B$0015599_2104-YDAS065DNU02</t>
  </si>
  <si>
    <t>A5013677B$0015083_2103-YDAS065DNU02</t>
  </si>
  <si>
    <t>A5013677B$0013884_2102-YDAS065DNU02</t>
  </si>
  <si>
    <t>A5013677B$0014705_2103-YDAS065DNU02</t>
  </si>
  <si>
    <t>A5013677B$0014817_2103-YDAS065DNU02</t>
  </si>
  <si>
    <t>A5013677B$0017093_2108-YDAS065DNU02</t>
  </si>
  <si>
    <t>A5013677B$0016693_2107-YDAS065DNU02</t>
  </si>
  <si>
    <t>A5013677B$0016471_2104-YDAS065DNU02</t>
  </si>
  <si>
    <t>A5013677B$0016524_2104-YDAS065DNU02</t>
  </si>
  <si>
    <t>A5013677B$0020312_2109-YDAS065DNU02</t>
  </si>
  <si>
    <t>A5013677B$0029128_2116-YDAS065DNU02</t>
  </si>
  <si>
    <t>A5013703A$0002970_2009-YSAS085CNU02</t>
  </si>
  <si>
    <t>A5013703A$0000021_1947-YSAS085CNU02</t>
  </si>
  <si>
    <t>A5013703A$0008247_2022-YSAS085CNU02</t>
  </si>
  <si>
    <t>A5013703A$0011560_2027-YSAS085CNU02</t>
  </si>
  <si>
    <t>A5013703A$0012523_2028-YSAS085CNU02</t>
  </si>
  <si>
    <t>A5013703A$0011785_2027-YSAS085CNU02</t>
  </si>
  <si>
    <t>A5013703A$0014583_2032-YSAS085CNU02</t>
  </si>
  <si>
    <t>A5013703A$0015893_2033-YSAS085CNU02</t>
  </si>
  <si>
    <t>A5013703A$0015896_2033-YSAS085CNU02</t>
  </si>
  <si>
    <t>A5013703A$0018362_2039-YSAS085CNU02</t>
  </si>
  <si>
    <t>A5013703A$0018273_2038-YSAS085CNU02</t>
  </si>
  <si>
    <t>A5013703A$0018198_2039-YSAS085CNU02</t>
  </si>
  <si>
    <t>A5013703A$0018252_2039-YSAS085CNU02</t>
  </si>
  <si>
    <t>A5013703A$0021282_2045-YSAS085CNU02</t>
  </si>
  <si>
    <t>A5013703A$0021018_2045-YSAS085CNU02</t>
  </si>
  <si>
    <t>A5013703A$0035318_2108-YSAS085CNU02</t>
  </si>
  <si>
    <t>A5013703A$0035044_2107-YSAS085CNU02</t>
  </si>
  <si>
    <t>A5013703B$0000070_2115-YSAS085CNU02</t>
  </si>
  <si>
    <t>A5016564A$0000314_2024-YDAS085DNU02</t>
  </si>
  <si>
    <t>A5016535A$0004215_2023-YDAS085DNU02</t>
  </si>
  <si>
    <t>A5016535A$0003891_2023-YDAS085DNU02</t>
  </si>
  <si>
    <t>A5016535A$0004188_2023-YDAS085DNU02</t>
  </si>
  <si>
    <t>A5016535A$0006211_2028-YDAS085DNU02</t>
  </si>
  <si>
    <t>A5016535A$0006615_2028-YDAS085DNU02</t>
  </si>
  <si>
    <t>A5016535A$0006827_2029-YDAS085DNU02</t>
  </si>
  <si>
    <t>A5016535A$0008187_2030-YDAS085DNU02</t>
  </si>
  <si>
    <t>A5016535A$0008748_2030-YDAS085DNU02</t>
  </si>
  <si>
    <t>A5016535A$0008749_2030-YDAS085DNU02</t>
  </si>
  <si>
    <t>A5016535A$0008750_2030-YDAS085DNU02</t>
  </si>
  <si>
    <t>A5016535A$0008590_2030-YDAS085DNU02</t>
  </si>
  <si>
    <t>A5016535A$0008645_2030-YDAS085DNU02</t>
  </si>
  <si>
    <t>A5016535A$0009210_2030-YDAS085DNU02</t>
  </si>
  <si>
    <t>A5016535A$0010910_2032-YDAS085DNU02</t>
  </si>
  <si>
    <t>A5016535A$0014964_2038-YDAS085DNU02</t>
  </si>
  <si>
    <t>A5016535A$0017210_2040-YDAS085DNU02</t>
  </si>
  <si>
    <t>A5016535A$0021128_2043-YDAS085DNU02</t>
  </si>
  <si>
    <t>A5016535A$0023292_2049-YDAS085DNU02</t>
  </si>
  <si>
    <t>A5016535A$0024415_2050-YDAS085DNU02</t>
  </si>
  <si>
    <t>A5016535A$0030123_2103-YDAS085DNU02</t>
  </si>
  <si>
    <t>A5016535A$0030693_2103-YDAS085DNU02</t>
  </si>
  <si>
    <t>A5016535A$0024803_2051-YDAS085DNU02</t>
  </si>
  <si>
    <t>A5016535A$0034840_2108-YDAS085DNU02</t>
  </si>
  <si>
    <t>A5016535A$0033473_2105-YDAS085DNU02</t>
  </si>
  <si>
    <t>A5016535A$0037626_2111-YDAS085DNU02</t>
  </si>
  <si>
    <t>A5016535B$0000713_2115-YDAS085DNU02</t>
  </si>
  <si>
    <t>A5016564A$0001989_2051-YDAS085DNU02</t>
  </si>
  <si>
    <t>A5016535B$0006115_2122-YDAS085DNU02</t>
  </si>
  <si>
    <t>A5032151A$0000348_2120-YDBO065DBU02</t>
  </si>
  <si>
    <t>A5030086B$0000050_2117-YDBO085DAU02</t>
  </si>
  <si>
    <t>A5039507A$0000723_2120-YDBO085DAU02</t>
  </si>
  <si>
    <t>A5039507A$0001544_2121-YDBO085DAU02</t>
  </si>
  <si>
    <t>A5039507A$0001670_2121-YDBO085DAU02</t>
  </si>
  <si>
    <t>A5039507A$0001521_2121-YDBO085DAU02</t>
  </si>
  <si>
    <t>A5039507A$0001909_2121-YDBO085DAU03</t>
  </si>
  <si>
    <t>A5039507A$0001676_2121-YDBO085DAU02</t>
  </si>
  <si>
    <t>A5039507A$0002444_2124-YDBO085DAU02</t>
  </si>
  <si>
    <t>A5039507A$0002798_2124-YDBO085DAU02</t>
  </si>
  <si>
    <t>A5027713A$0000039_2110-YDBM085CNU02</t>
  </si>
  <si>
    <t>A5027713A$0000051_2110-YDBM085CNU02</t>
  </si>
  <si>
    <t>A5027713A$0000599_2114-YDBM085CNU02</t>
  </si>
  <si>
    <t>A5027713A$0002417_2116-YDBM085CNU02</t>
  </si>
  <si>
    <t>A5027713A$0004174_2117-YDBM085CNU02</t>
  </si>
  <si>
    <t>A5027713A$0004251_2117-YDBM085CNU02</t>
  </si>
  <si>
    <t>A5027713A$0001712_2115-YDBM085CNU02</t>
  </si>
  <si>
    <t>A5027713A$0003832_2117-YDBM085CNU02</t>
  </si>
  <si>
    <t>A5027713A$0005791_2119-YDBM085CNU02</t>
  </si>
  <si>
    <t>A5027713A$0006030_2120-YDBM085CNU02</t>
  </si>
  <si>
    <t>A5027713A$0007602_2124-YDBM085CNU02</t>
  </si>
  <si>
    <t>A5023872A$0002758_2032-YSAS075CNO02</t>
  </si>
  <si>
    <t>A5023872A$0006469_2033-YSAS075CNO02</t>
  </si>
  <si>
    <t>A5023872A$0014476_2036-YSAS075CNO02</t>
  </si>
  <si>
    <t>A5023872A$0013803_2036-YSAS075CNO02</t>
  </si>
  <si>
    <t>A5023872A$0014538_2036-YSAS075CNO02</t>
  </si>
  <si>
    <t>A5023872A$0013900_2036-YSAS075CNO02</t>
  </si>
  <si>
    <t>A5023872A$0014678_2036-YSAS075CNO02</t>
  </si>
  <si>
    <t>A5023872A$0023962_2039-YSAS075CNO02</t>
  </si>
  <si>
    <t>A5023872A$0021170_2038-YSAS075CNO02</t>
  </si>
  <si>
    <t>A5023872A$0024149_2039-YSAS075CNO02</t>
  </si>
  <si>
    <t>A5023872A$0033945_2046-YSAS075CNO02</t>
  </si>
  <si>
    <t>A5023872B$0001140_2048-YSAS075CNO02</t>
  </si>
  <si>
    <t>A5023872A$0033251_2046-YSAS075CNO02</t>
  </si>
  <si>
    <t>A5023872B$0001968_2048-YSAS075CNO02</t>
  </si>
  <si>
    <t>A5023872B$0007500_2050-YSAS075CNO02</t>
  </si>
  <si>
    <t>A5023872B$0008702_2051-YSAS075CNO02</t>
  </si>
  <si>
    <t>A5023872B$0010445_2053-YSAS075CNO02</t>
  </si>
  <si>
    <t>A5023872B$0009574_2053-YSAS075CNO02</t>
  </si>
  <si>
    <t>A5023872B$0014277_2101-YSAS075CNO02</t>
  </si>
  <si>
    <t>A5023872B$0018782_2103-YSAS075CNO02</t>
  </si>
  <si>
    <t>A5023872B$0025426_2109-YSAS075CNO02</t>
  </si>
  <si>
    <t>A5023872B$0024866_2109-YSAS075CNO02</t>
  </si>
  <si>
    <t>A5027725A$0000923_2110_YSBM075CNO02</t>
  </si>
  <si>
    <t>A5027725A$00001381_2110_YSBM075CNO02</t>
  </si>
  <si>
    <t>A5027725A$00002263_2111_YSBM075CNO02</t>
  </si>
  <si>
    <t>A5027725A$0004835_2113_YSBM075CNO02</t>
  </si>
  <si>
    <t>A5027725A$0004724_2113_YSBM075CNO02</t>
  </si>
  <si>
    <t>A5027725A$0006564_2113_YSBM075CNO02</t>
  </si>
  <si>
    <t>A5027725A$0006925_2114_YSBM075CNO02</t>
  </si>
  <si>
    <t>A5027725A$0002964_2112_YSBM075CNO02</t>
  </si>
  <si>
    <t>A5027725A$0009114_2116_YSBM075CNO02</t>
  </si>
  <si>
    <t>A5027725A$0011548_2117_YSBM075CNO02</t>
  </si>
  <si>
    <t>A5027725A$0012965_2119_YSBM075CNO02</t>
  </si>
  <si>
    <t>A5027725A$0012863_2119_YSBM075CNO02</t>
  </si>
  <si>
    <t>A5027725A$0012423_2119_YSBM075CNO02</t>
  </si>
  <si>
    <t>A5027725A$0014456_2120_YSBM075CNO02</t>
  </si>
  <si>
    <t>A5027725A$0013640_2120_YSBM075CNO02</t>
  </si>
  <si>
    <t>A5027725A$0015537_2121_YSBM075CNO02</t>
  </si>
  <si>
    <t>A5027725A$0016114_2123_YSBM075CNO02</t>
  </si>
  <si>
    <t>A5027725A$0016452_2123_YSBM075CNO02</t>
  </si>
  <si>
    <t>A5027725A$0017002_2123_YSBM075CNO02</t>
  </si>
  <si>
    <t>A5027725A$0018544_2125_YSBM075CNO02</t>
  </si>
  <si>
    <t>A5027725A$0018096_2124_YSBM075CNO02</t>
  </si>
  <si>
    <t>A5039502A$0000166_2121-YDBO075DAS02</t>
  </si>
  <si>
    <t>A5027707A$0001758_2114-YDBM075DCS02</t>
  </si>
  <si>
    <t>A5027707A$0001236_2114-YDBM075DCS02</t>
  </si>
  <si>
    <t>A5027707A$0002707_2115-YDBM075DCS02</t>
  </si>
  <si>
    <t>A5027707B$0000428_2116-YDBM075DCS02</t>
  </si>
  <si>
    <t>A5027707A$0005871_2119-YDBM075DCS02</t>
  </si>
  <si>
    <t>A5027707B$0002167_2117-YDBM075DCS02</t>
  </si>
  <si>
    <t>A5027707B$0001973_2117-YDBM075DCS02</t>
  </si>
  <si>
    <t>A5027707A$0006609_2120-YDBM075DCS02</t>
  </si>
  <si>
    <t>A5027707A$0007646_2121-YDBM075DCS02</t>
  </si>
  <si>
    <t>A5027707A$0008663_2123-YDBM075DCS02</t>
  </si>
  <si>
    <t>A5027707A$0008509_2123-YDBM075DCS02</t>
  </si>
  <si>
    <t>A5027707A$0008154_2122-YDBM075DCS02</t>
  </si>
  <si>
    <t>A5027719A$0001855_2115-YDBM075CCS02</t>
  </si>
  <si>
    <t>A5027719A$0002625_2116-YDBM075CCS02</t>
  </si>
  <si>
    <t>A5027719A$0003412_2117-YDBM075CCS02</t>
  </si>
  <si>
    <t>A5027719A$0005720_2118-YDBM075CCS02</t>
  </si>
  <si>
    <t>A5027719A$0004209_2118-YDBM075CCS02</t>
  </si>
  <si>
    <t>A5027719A$0007554_2120-YDBM075CCS02</t>
  </si>
  <si>
    <t>A5027719A$0009817_2125-YDBM075CCS02</t>
  </si>
  <si>
    <t>A5027719A$0008286_2124-YDBM075CCS02</t>
  </si>
  <si>
    <t>A5027719A$0008569_2124-YDBM075CCS02</t>
  </si>
  <si>
    <t>A5027719A$0009036_2124-YDBM075CCS02</t>
  </si>
  <si>
    <t>A5013706A$0001189_1951-YSAS075CNG02</t>
  </si>
  <si>
    <t>A5013706A$0001298_1951-YSAS075CNG02</t>
  </si>
  <si>
    <t>A5013706A$0007692_2007-YSAS075CNG02</t>
  </si>
  <si>
    <t>A5013706A$0007660_2007-YSAS075CNG02</t>
  </si>
  <si>
    <t>A5013706A$0008342_2011_YSAS075CNG02</t>
  </si>
  <si>
    <t>A5013706A$0008413_2011-YSAS075CNG02</t>
  </si>
  <si>
    <t>A5013706A$0000059_1949-YSAS075CNG02</t>
  </si>
  <si>
    <t>A5013706A$0008925_2011-YSAS075CNG02</t>
  </si>
  <si>
    <t>A5013706A$0008372_2011-YSAS075CNG02</t>
  </si>
  <si>
    <t>A5013706A$0010696_2014-YSAS075CNG02</t>
  </si>
  <si>
    <t>A5013706A$0011147_2015-YSAS075CNG02</t>
  </si>
  <si>
    <t>A5013706A$0011973_2015-YSAS075CNG02</t>
  </si>
  <si>
    <t>A5013706A$0010430_2014-YSAS075CNG02</t>
  </si>
  <si>
    <t>A5013706A$0011698_2015-YSAS075CNG02</t>
  </si>
  <si>
    <t>A5013706A$0010972_2014-YSAS075CNG02</t>
  </si>
  <si>
    <t>A5013706A$0010854_2014-YSAS075CNG02</t>
  </si>
  <si>
    <t>A5013706A$0015615_2020-YSAS075CNG02</t>
  </si>
  <si>
    <t>A5013706A$0009162_2012-YSAS075CNG02</t>
  </si>
  <si>
    <t>A5013706A$0023389_2026-YSAS075CNG02</t>
  </si>
  <si>
    <t>A5013706A$0023139_2025-YSAS075CNG02</t>
  </si>
  <si>
    <t>A5013706A$0023923_2026-YSAS075CNG02</t>
  </si>
  <si>
    <t>A5013706A$0029061_2029-YSAS075CNG02</t>
  </si>
  <si>
    <t>A5013706A$0029216_2029-YSAS075CNG02</t>
  </si>
  <si>
    <t>A5013706A$0028862_2029-YSAS075CNG02</t>
  </si>
  <si>
    <t>A5013706A$0029263_2029-YSAS075CNG02</t>
  </si>
  <si>
    <t>A5013706A$0023998_2026-YSAS075CNG02</t>
  </si>
  <si>
    <t>A5013706A$0028834_2029-YSAS075CNG02</t>
  </si>
  <si>
    <t>A5013706A$0028725_2029-YSAS075CNG02</t>
  </si>
  <si>
    <t>A5013706A$0024074_2026-YSAS075CNG02</t>
  </si>
  <si>
    <t>A5013706A$0031247_2029-YSAS075CNG02</t>
  </si>
  <si>
    <t>A5013706A$0027438_2027-YSAS075CNG02</t>
  </si>
  <si>
    <t>A5013706A$0027119_2027-YSAS075CNG02</t>
  </si>
  <si>
    <t>A5013706A$0034654_2030-YSAS075CNG02</t>
  </si>
  <si>
    <t>A5013706A$0036188_2030-YSAS075CNG02</t>
  </si>
  <si>
    <t>A5013706A$0035622_2030-YSAS075CNG02</t>
  </si>
  <si>
    <t>A5013706A$0038719_2031-YSAS075CNG02</t>
  </si>
  <si>
    <t>A5013706A$0040065_2032-YSAS075CNG02</t>
  </si>
  <si>
    <t>A5013706A$0039880_2032-YSAS075CNG02</t>
  </si>
  <si>
    <t>A5013706A$0900056_2034_YSAS075CNG02</t>
  </si>
  <si>
    <t>A5013706A$0900052_2034_YSAS075CNG02</t>
  </si>
  <si>
    <t>A5013706A$0001981_2110_YSAS075CNG02</t>
  </si>
  <si>
    <t>A5013706A$0000472_2119_YSAS075CNG02</t>
  </si>
  <si>
    <t>A5013706B$0003001_2110_YSAS075CNG02</t>
  </si>
  <si>
    <t>A5013706B$0007916_2114_YSAS075CNG02</t>
  </si>
  <si>
    <t>A5016527A$0008262_2024-YDAS075DND02</t>
  </si>
  <si>
    <t>A5016527A$0008544_2024-YDAS075DND02</t>
  </si>
  <si>
    <t>A5016527A$0012817_2028-YDAS075DND02</t>
  </si>
  <si>
    <t>A5016527A$0012773_2028-YDAS075DND02</t>
  </si>
  <si>
    <t>A5016527A$0015550_2028-YDAS075DND02</t>
  </si>
  <si>
    <t>A5016527A$0016492_2028-YDAS075DND02</t>
  </si>
  <si>
    <t>A5016527A$0020676_2031-YDAS075DND02</t>
  </si>
  <si>
    <t>A5016527A$0019855_2031-YDAS075DND02</t>
  </si>
  <si>
    <t>A5016527A$0024098_2033-YDAS075DND02</t>
  </si>
  <si>
    <t>A5016527A$0029012_2038-YDAS075DND02</t>
  </si>
  <si>
    <t>A5016527A$0029836_2039-YDAS075DND02</t>
  </si>
  <si>
    <t>A5016527A$0029837_2039-YDAS075DND02</t>
  </si>
  <si>
    <t>A5016527B$0000020_2044-YDAS075DND02</t>
  </si>
  <si>
    <t>A5016527B$0000921_2046-YDAS075DND02</t>
  </si>
  <si>
    <t>A5016527B$0007987_2052-YDAS075DND02</t>
  </si>
  <si>
    <t>A5016527B$0010600_2104-YDAS075DND02</t>
  </si>
  <si>
    <t>A5016527B$0010847_2105-YDAS075DND02</t>
  </si>
  <si>
    <t>A5016527B$0011971_2110-YDAS075DND02</t>
  </si>
  <si>
    <t>A5016527B$0012532_2110-YDAS075DND02</t>
  </si>
  <si>
    <t>A-5027-725-A</t>
  </si>
  <si>
    <t>A-5027-707-**</t>
  </si>
  <si>
    <t>A-5028-174-**</t>
  </si>
  <si>
    <t>A-5028-177-**</t>
  </si>
  <si>
    <t>A-5030-081-**</t>
  </si>
  <si>
    <t>EA5013703A</t>
  </si>
  <si>
    <t>EA5014743A</t>
  </si>
  <si>
    <t>EA5013700A</t>
  </si>
  <si>
    <t>EA5013674A</t>
  </si>
  <si>
    <t>EA5023872B</t>
  </si>
  <si>
    <t>EA5013677A</t>
  </si>
  <si>
    <t>EA5024285B</t>
  </si>
  <si>
    <t>EA5013700B</t>
  </si>
  <si>
    <t>EA5014097A</t>
  </si>
  <si>
    <t>EA5025367A</t>
  </si>
  <si>
    <t>EA5016527B</t>
  </si>
  <si>
    <t>EA5013677B</t>
  </si>
  <si>
    <t>EA5016564A</t>
  </si>
  <si>
    <t>EA5016535A</t>
  </si>
  <si>
    <t>EA5024290B</t>
  </si>
  <si>
    <t>EA5027728A</t>
  </si>
  <si>
    <t>EA5013706B</t>
  </si>
  <si>
    <t>EA5027710A</t>
  </si>
  <si>
    <t>EA5027722A</t>
  </si>
  <si>
    <t>EA5027719A</t>
  </si>
  <si>
    <t>EA5030086B</t>
  </si>
  <si>
    <t>EA5027716A</t>
  </si>
  <si>
    <t>EA5016535B</t>
  </si>
  <si>
    <t>EA5027707B</t>
  </si>
  <si>
    <t>EA5039502A</t>
  </si>
  <si>
    <t>EA5027710B</t>
  </si>
  <si>
    <t>EA5039495A</t>
  </si>
  <si>
    <t>EA5039491A</t>
  </si>
  <si>
    <t>EA5027707A</t>
  </si>
  <si>
    <t>EA5039507A</t>
  </si>
  <si>
    <t>EA5030081A</t>
  </si>
  <si>
    <t>EA5032151A</t>
  </si>
  <si>
    <t>A-5014-758-A</t>
  </si>
  <si>
    <t>A-5013-700-A</t>
  </si>
  <si>
    <t>A-5013-677-A</t>
  </si>
  <si>
    <t>A-5013-700-B</t>
  </si>
  <si>
    <t>A-5039-507-A</t>
  </si>
  <si>
    <t>A-5028-174-A</t>
  </si>
  <si>
    <t>A-5028-495-A</t>
  </si>
  <si>
    <t>A-5039-502-A</t>
  </si>
  <si>
    <t>A-5027-707-A</t>
  </si>
  <si>
    <t>A5013677*</t>
  </si>
  <si>
    <t>A5013700*</t>
  </si>
  <si>
    <t>A-5013-704-**</t>
  </si>
  <si>
    <t>A5016564*</t>
  </si>
  <si>
    <t>A5016535*</t>
  </si>
  <si>
    <t>A-5032-151-X</t>
  </si>
  <si>
    <t>A-5030-086-X</t>
  </si>
  <si>
    <t>A-5039-507-X</t>
  </si>
  <si>
    <t>A-5027-713-X</t>
  </si>
  <si>
    <t>A-5013-706-**</t>
  </si>
  <si>
    <t>A-5027-725-X</t>
  </si>
  <si>
    <t>A-5030-081-X</t>
  </si>
  <si>
    <t>A-5027-707-X</t>
  </si>
  <si>
    <t>A-5027-719-X</t>
  </si>
  <si>
    <t>A5016527*</t>
  </si>
  <si>
    <t>SSVE</t>
  </si>
  <si>
    <t>SSV</t>
  </si>
  <si>
    <t xml:space="preserve">Pol particle </t>
  </si>
  <si>
    <t>No display (O-Cell)</t>
  </si>
  <si>
    <t xml:space="preserve">Line etc </t>
  </si>
  <si>
    <t>LED etc</t>
  </si>
  <si>
    <t>Raf Contaminate</t>
  </si>
  <si>
    <t>B/L Particle</t>
  </si>
  <si>
    <t>Led Fail</t>
  </si>
  <si>
    <t>D/L Defect</t>
  </si>
  <si>
    <t>Black Spot</t>
  </si>
  <si>
    <t>White Spot</t>
  </si>
  <si>
    <t>G/L Defect</t>
  </si>
  <si>
    <t>Pol Scratch</t>
  </si>
  <si>
    <t>Bezel Dent</t>
  </si>
  <si>
    <t>No display</t>
  </si>
  <si>
    <t>LED fail</t>
  </si>
  <si>
    <t>D/L Open On/Off</t>
  </si>
  <si>
    <t>W/B data fail</t>
  </si>
  <si>
    <t>B/L Sheet Wrinkle</t>
  </si>
  <si>
    <t>D/B Defect</t>
  </si>
  <si>
    <t>Chassis bent</t>
  </si>
  <si>
    <t>LD board fail</t>
  </si>
  <si>
    <t>Pol Bubble</t>
  </si>
  <si>
    <t>Drain Open</t>
  </si>
  <si>
    <t>A/D</t>
  </si>
  <si>
    <t>O-Cell A/D</t>
  </si>
  <si>
    <t>W/B NG</t>
  </si>
  <si>
    <t>Half picture</t>
  </si>
  <si>
    <t>Bezel etc</t>
  </si>
  <si>
    <t>B/L Scratch</t>
  </si>
  <si>
    <t>EDID fail</t>
  </si>
  <si>
    <t>Visual App.</t>
  </si>
  <si>
    <t>B/L CNT etc</t>
  </si>
  <si>
    <t>H-dot etc</t>
  </si>
  <si>
    <t>Glass Broken</t>
  </si>
  <si>
    <t>Aluminium Frame Gap</t>
  </si>
  <si>
    <t>B/L CNT broken</t>
  </si>
  <si>
    <t>B/L wire broken</t>
  </si>
  <si>
    <t>D/C short</t>
  </si>
  <si>
    <t>TAPE etc</t>
  </si>
  <si>
    <t>Bezel NG</t>
  </si>
  <si>
    <t>Bezel Scratch</t>
  </si>
  <si>
    <t>T-CON A/D</t>
  </si>
  <si>
    <t>B/L light leakage</t>
  </si>
  <si>
    <t>Color fail</t>
  </si>
  <si>
    <t>D/D short</t>
  </si>
  <si>
    <t>Panel light leak</t>
  </si>
  <si>
    <t>Aluminium Frame Dent</t>
  </si>
  <si>
    <t>Aluminium Frame etc</t>
  </si>
  <si>
    <t>B/L particle</t>
  </si>
  <si>
    <t>D/L open</t>
  </si>
  <si>
    <t xml:space="preserve">Pol scratch </t>
  </si>
  <si>
    <t>G/L defect</t>
  </si>
  <si>
    <t>A/D etc</t>
  </si>
  <si>
    <t>Standby 5x</t>
  </si>
  <si>
    <t>No display (T-con)</t>
  </si>
  <si>
    <t>D/L defect</t>
  </si>
  <si>
    <t>Black spot</t>
  </si>
  <si>
    <t>Mura etc</t>
  </si>
  <si>
    <t>D/B defect</t>
  </si>
  <si>
    <t xml:space="preserve">Pol bubble </t>
  </si>
  <si>
    <t>B/L scratch</t>
  </si>
  <si>
    <t>G/C short</t>
  </si>
  <si>
    <t>G/G short</t>
  </si>
  <si>
    <t>Half Picture</t>
  </si>
  <si>
    <t>B/L Sheet fail</t>
  </si>
  <si>
    <t>S-CNT broken</t>
  </si>
  <si>
    <t>Screw floating</t>
  </si>
  <si>
    <t>Bracket fail</t>
  </si>
  <si>
    <t>LD board CNT fail</t>
  </si>
  <si>
    <t>Pol stain</t>
  </si>
  <si>
    <t>Drain open</t>
  </si>
  <si>
    <t>White spot</t>
  </si>
  <si>
    <t>G/D short</t>
  </si>
  <si>
    <t>Pol dent</t>
  </si>
  <si>
    <t>Standby 6x</t>
  </si>
  <si>
    <t>G/B defect</t>
  </si>
  <si>
    <t>H-dot G over</t>
  </si>
  <si>
    <t>B/L stain</t>
  </si>
  <si>
    <t>Visual app.</t>
  </si>
  <si>
    <t>Chassis Gap</t>
  </si>
  <si>
    <t>B/L sheet wrinkle</t>
  </si>
  <si>
    <t>Pol</t>
  </si>
  <si>
    <t>LED</t>
  </si>
  <si>
    <t>F/M</t>
  </si>
  <si>
    <t>Uni</t>
  </si>
  <si>
    <t>P-App</t>
  </si>
  <si>
    <t>Bezel</t>
  </si>
  <si>
    <t>BLU</t>
  </si>
  <si>
    <t>App</t>
  </si>
  <si>
    <t>Dot</t>
  </si>
  <si>
    <t>AL-Frame</t>
  </si>
  <si>
    <t>-</t>
  </si>
  <si>
    <t>T-con A/D</t>
  </si>
  <si>
    <t>FY21</t>
  </si>
  <si>
    <t>FY20</t>
  </si>
  <si>
    <t>FY19</t>
  </si>
  <si>
    <t>QTY</t>
  </si>
  <si>
    <t>FY_MM</t>
  </si>
  <si>
    <t>SOEM</t>
  </si>
  <si>
    <t>85NE</t>
  </si>
  <si>
    <t>SB85</t>
  </si>
  <si>
    <t>SBL49</t>
  </si>
  <si>
    <t>21 Mar</t>
  </si>
  <si>
    <t>21 Apr</t>
  </si>
  <si>
    <t>21 May</t>
  </si>
  <si>
    <t>21 Jun</t>
  </si>
  <si>
    <t>21 Jul</t>
  </si>
  <si>
    <t>21 Aug</t>
  </si>
  <si>
    <t>21 Feb</t>
  </si>
  <si>
    <t>21 Jan</t>
  </si>
  <si>
    <t>20 Apr</t>
  </si>
  <si>
    <t>20 May</t>
  </si>
  <si>
    <t>20 Jun</t>
  </si>
  <si>
    <t>20 Jul</t>
  </si>
  <si>
    <t>20 Aug</t>
  </si>
  <si>
    <t>20 Sep</t>
  </si>
  <si>
    <t>20 Oct</t>
  </si>
  <si>
    <t>20 Nov</t>
  </si>
  <si>
    <t>20 Dec</t>
  </si>
  <si>
    <t>20 Mar</t>
  </si>
  <si>
    <t>20 Feb</t>
  </si>
  <si>
    <t>20 Jan</t>
  </si>
  <si>
    <t>Prod_Qty</t>
  </si>
  <si>
    <t>TTL_Defects</t>
  </si>
  <si>
    <t>Ratio</t>
  </si>
  <si>
    <t>Air Bubble</t>
  </si>
  <si>
    <t>etc</t>
  </si>
  <si>
    <t>Hold</t>
  </si>
  <si>
    <t>NDF</t>
  </si>
  <si>
    <t>Others</t>
  </si>
  <si>
    <t>V-Band</t>
  </si>
  <si>
    <t>21 Sep</t>
  </si>
  <si>
    <t>21 Oct</t>
  </si>
  <si>
    <t>21 Nov</t>
  </si>
  <si>
    <t>21 Dec</t>
  </si>
  <si>
    <t>22 Jan</t>
  </si>
  <si>
    <t>22 Feb</t>
  </si>
  <si>
    <t>22 Mar</t>
  </si>
  <si>
    <t>22 Apr</t>
  </si>
  <si>
    <t>22 May</t>
  </si>
  <si>
    <t>22 Jun</t>
  </si>
  <si>
    <t>22 Jul</t>
  </si>
  <si>
    <t>22 Aug</t>
  </si>
  <si>
    <t>22 Sep</t>
  </si>
  <si>
    <t>22 Oct</t>
  </si>
  <si>
    <t>22 Nov</t>
  </si>
  <si>
    <t>22 Dec</t>
  </si>
  <si>
    <t>23 Jan</t>
  </si>
  <si>
    <t>Target</t>
  </si>
  <si>
    <t>ConfirmationWC_Classify_FY_Mod</t>
  </si>
  <si>
    <t>WeekCode_FY_mod</t>
  </si>
  <si>
    <t>Classify_ProductLine_FYMM</t>
  </si>
  <si>
    <t>ratio</t>
  </si>
  <si>
    <t>FY_Mod</t>
  </si>
  <si>
    <t>YYWW</t>
  </si>
  <si>
    <t>FY_mod_FY_MM</t>
  </si>
  <si>
    <t>49SBL2</t>
  </si>
  <si>
    <t>85SB2H</t>
  </si>
  <si>
    <t>TTL</t>
  </si>
  <si>
    <t>FY22</t>
  </si>
  <si>
    <t>Flag</t>
  </si>
  <si>
    <t>A5027725A$0016065_2123</t>
  </si>
  <si>
    <t>A5027725A$0018723_2125</t>
  </si>
  <si>
    <t>A5027725A$0020024_2126</t>
  </si>
  <si>
    <t>A5027725A$0021900_2127</t>
  </si>
  <si>
    <t xml:space="preserve">Others </t>
  </si>
  <si>
    <t>A5028495A$0000064_2120</t>
  </si>
  <si>
    <t>A5028177A$0000187_2109</t>
  </si>
  <si>
    <t>A-5028-177-A</t>
  </si>
  <si>
    <t>A5028177A$0000188_2109</t>
  </si>
  <si>
    <t>A5028177A$0000189_2109</t>
  </si>
  <si>
    <t>A5028177A$0000190_2109</t>
  </si>
  <si>
    <t>A5028177A$0000191_2109</t>
  </si>
  <si>
    <t>A5028177A$0000192_2109</t>
  </si>
  <si>
    <t>A5028177A$0000193_2109</t>
  </si>
  <si>
    <t>A5028177A$0000194_2109</t>
  </si>
  <si>
    <t>A5028177A$0000195_2109</t>
  </si>
  <si>
    <t>A5028177A$0000196_2109</t>
  </si>
  <si>
    <t>A5028495A$0000577_2123</t>
  </si>
  <si>
    <t>A5027707A$0013829_2127</t>
  </si>
  <si>
    <t>Noise</t>
  </si>
  <si>
    <t>PolFY21Line21 Apr</t>
  </si>
  <si>
    <t>O-Cell A/DFY21Line21 May</t>
  </si>
  <si>
    <t>O-Cell A/DFY21Line21 Jun</t>
  </si>
  <si>
    <t>LineFY21Line21 Jun</t>
  </si>
  <si>
    <t>LEDFY21Line21 Jul</t>
  </si>
  <si>
    <t>O-Cell A/DFY21Line21 Jul</t>
  </si>
  <si>
    <t>PolFY21Line21 Aug</t>
  </si>
  <si>
    <t>PolFY21Line21 Jun</t>
  </si>
  <si>
    <t>O-Cell A/DFY21na21 Apr</t>
  </si>
  <si>
    <t>F/MFY21na21 Jun</t>
  </si>
  <si>
    <t>O-Cell A/DFY21na21 Jun</t>
  </si>
  <si>
    <t>O-Cell A/DFY21Line21 Aug</t>
  </si>
  <si>
    <t>LineFY20Line21 Jan</t>
  </si>
  <si>
    <t>UniFY19Line21 Jan</t>
  </si>
  <si>
    <t>UniFY20Line21 Jan</t>
  </si>
  <si>
    <t>F/MFY20Line21 Jan</t>
  </si>
  <si>
    <t>P-AppFY20Line21 Jan</t>
  </si>
  <si>
    <t>BezelFY20Line21 Jan</t>
  </si>
  <si>
    <t>T-CON A/DFY20Line21 Jan</t>
  </si>
  <si>
    <t>LEDFY20Line21 Jan</t>
  </si>
  <si>
    <t>T-CON A/DFY19Line21 Jan</t>
  </si>
  <si>
    <t>BLUFY20Line21 Jan</t>
  </si>
  <si>
    <t>LineFY19Line21 Jan</t>
  </si>
  <si>
    <t>AppFY19Line21 Jan</t>
  </si>
  <si>
    <t>O-Cell A/DFY20Line21 Jan</t>
  </si>
  <si>
    <t>BLUFY19Line21 Jan</t>
  </si>
  <si>
    <t>F/MFY19Line21 Jan</t>
  </si>
  <si>
    <t>T-CON A/DFY20Line21 Feb</t>
  </si>
  <si>
    <t>LineFY20Line21 Feb</t>
  </si>
  <si>
    <t>LEDFY20Line21 Feb</t>
  </si>
  <si>
    <t>P-AppFY20Line21 Feb</t>
  </si>
  <si>
    <t>T-CON A/DFY19Line21 Feb</t>
  </si>
  <si>
    <t>UniFY20Line21 Feb</t>
  </si>
  <si>
    <t>O-Cell A/DFY20Line21 Feb</t>
  </si>
  <si>
    <t>T-CON A/DFY20Line21 Mar</t>
  </si>
  <si>
    <t>LineFY20Line21 Mar</t>
  </si>
  <si>
    <t>F/MFY20Line21 Mar</t>
  </si>
  <si>
    <t>BezelFY20Line21 Mar</t>
  </si>
  <si>
    <t>AppFY21Line21 Mar</t>
  </si>
  <si>
    <t>T-CON A/DFY21Line21 Mar</t>
  </si>
  <si>
    <t>T-CON A/DFY20Line21 Apr</t>
  </si>
  <si>
    <t>LineFY20Line21 Apr</t>
  </si>
  <si>
    <t>BLUFY20Line21 Apr</t>
  </si>
  <si>
    <t>LineFY21Line21 Apr</t>
  </si>
  <si>
    <t>LineFY20Line21 May</t>
  </si>
  <si>
    <t>F/MFY21Line21 May</t>
  </si>
  <si>
    <t>T-CON A/DFY20Line21 May</t>
  </si>
  <si>
    <t>T-CON A/DFY21Line21 May</t>
  </si>
  <si>
    <t>BLUFY21Line21 May</t>
  </si>
  <si>
    <t>O-Cell A/DFY20Line21 May</t>
  </si>
  <si>
    <t>F/MFY20Line21 May</t>
  </si>
  <si>
    <t>LEDFY21Line21 May</t>
  </si>
  <si>
    <t>AppFY20Line21 May</t>
  </si>
  <si>
    <t>T-CON A/DFY20Line21 Jun</t>
  </si>
  <si>
    <t>AppFY21Line21 Jun</t>
  </si>
  <si>
    <t>LEDFY20Line21 Jun</t>
  </si>
  <si>
    <t>LEDFY21Line21 Jun</t>
  </si>
  <si>
    <t>T-CON A/DFY21Line21 Jun</t>
  </si>
  <si>
    <t>DotFY21Line21 Jun</t>
  </si>
  <si>
    <t>AppFY20Line21 Jun</t>
  </si>
  <si>
    <t>AL-FrameFY21Line21 Jun</t>
  </si>
  <si>
    <t>F/MFY21Line21 Jun</t>
  </si>
  <si>
    <t>T-CON A/DFY21Line21 Jul</t>
  </si>
  <si>
    <t>LineFY21Line21 Jul</t>
  </si>
  <si>
    <t>F/MFY21Line21 Jul</t>
  </si>
  <si>
    <t>LEDFY20Line21 Jul</t>
  </si>
  <si>
    <t>T-CON A/DFY20Line21 Jul</t>
  </si>
  <si>
    <t>AppFY21Line21 Jul</t>
  </si>
  <si>
    <t>AL-FrameFY21Line21 Jul</t>
  </si>
  <si>
    <t>LineFY21Line21 Aug</t>
  </si>
  <si>
    <t>T-CON A/DFY21Line21 Aug</t>
  </si>
  <si>
    <t>LEDFY21Line21 Aug</t>
  </si>
  <si>
    <t>AppFY21Line21 Aug</t>
  </si>
  <si>
    <t>P-AppFY21Line21 Aug</t>
  </si>
  <si>
    <t>F/MFY21Line21 Aug</t>
  </si>
  <si>
    <t>F/MFY20Line21 Aug</t>
  </si>
  <si>
    <t>DotFY21Line21 Aug</t>
  </si>
  <si>
    <t>-FY20Linena</t>
  </si>
  <si>
    <t>-FY20na21 Jul</t>
  </si>
  <si>
    <t>AppFY20na20 Feb</t>
  </si>
  <si>
    <t>BezelFY20na20 Feb</t>
  </si>
  <si>
    <t>AppFY20na20 Apr</t>
  </si>
  <si>
    <t>T-con A/DFY20Line20 May</t>
  </si>
  <si>
    <t>LEDFY20Line20 Jun</t>
  </si>
  <si>
    <t>O-Cell A/DFY20Line20 Aug</t>
  </si>
  <si>
    <t>AppFY20Line20 Sep</t>
  </si>
  <si>
    <t>T-con A/DFY20Line20 Dec</t>
  </si>
  <si>
    <t>T-con A/DFY20Line21 Feb</t>
  </si>
  <si>
    <t>-FY21na21 Jun</t>
  </si>
  <si>
    <t>-FY21Line21 Aug</t>
  </si>
  <si>
    <t>UniFY21na21 Apr</t>
  </si>
  <si>
    <t>T-con A/DFY21Line21 Jul</t>
  </si>
  <si>
    <t>AL-FrameFY20Line20 Feb</t>
  </si>
  <si>
    <t>F/MFY20Line20 May</t>
  </si>
  <si>
    <t>F/MFY20Line20 Jun</t>
  </si>
  <si>
    <t>LineFY20Line20 Jun</t>
  </si>
  <si>
    <t>P-AppFY20Line20 Jun</t>
  </si>
  <si>
    <t>O-Cell A/DFY20Line20 Jun</t>
  </si>
  <si>
    <t>T-con A/DFY20Line20 Jul</t>
  </si>
  <si>
    <t>LineFY20Line20 Jul</t>
  </si>
  <si>
    <t>F/MFY20Line20 Jul</t>
  </si>
  <si>
    <t>F/MFY20Line20 Aug</t>
  </si>
  <si>
    <t>LineFY20Line20 Aug</t>
  </si>
  <si>
    <t>T-con A/DFY20Line20 Aug</t>
  </si>
  <si>
    <t>LineFY20Line20 Sep</t>
  </si>
  <si>
    <t>UniFY20Line20 Sep</t>
  </si>
  <si>
    <t>LEDFY20Line20 Sep</t>
  </si>
  <si>
    <t>T-con A/DFY20Line20 Sep</t>
  </si>
  <si>
    <t>F/MFY20Line20 Sep</t>
  </si>
  <si>
    <t>O-Cell A/DFY20Line20 Sep</t>
  </si>
  <si>
    <t>LineFY20Line20 Oct</t>
  </si>
  <si>
    <t>F/MFY20Line20 Oct</t>
  </si>
  <si>
    <t>O-Cell A/DFY20Line20 Dec</t>
  </si>
  <si>
    <t>LEDFY20Line20 Dec</t>
  </si>
  <si>
    <t>LineFY20Line20 Dec</t>
  </si>
  <si>
    <t>AL-FrameFY20Line21 Feb</t>
  </si>
  <si>
    <t>F/MFY20Line21 Feb</t>
  </si>
  <si>
    <t>T-con A/DFY20Line21 Mar</t>
  </si>
  <si>
    <t>LEDFY20Line21 Mar</t>
  </si>
  <si>
    <t>LineFY20Line21 Jun</t>
  </si>
  <si>
    <t>LEDFY20Line20 May</t>
  </si>
  <si>
    <t>UniFY20Line20 Jul</t>
  </si>
  <si>
    <t>LEDFY20Line20 Aug</t>
  </si>
  <si>
    <t>UniFY20Line20 Aug</t>
  </si>
  <si>
    <t>BLUFY20Line20 Aug</t>
  </si>
  <si>
    <t>LEDFY20Line20 Oct</t>
  </si>
  <si>
    <t>AppFY20Line21 Mar</t>
  </si>
  <si>
    <t>LineFY20Line21 Jul</t>
  </si>
  <si>
    <t>AppFY21Line21 May</t>
  </si>
  <si>
    <t>BezelFY21Line21 Apr</t>
  </si>
  <si>
    <t>AppFY21Line21 Apr</t>
  </si>
  <si>
    <t>UniFY21Line21 Apr</t>
  </si>
  <si>
    <t>UniFY21Line21 May</t>
  </si>
  <si>
    <t>PolFY21Line21 May</t>
  </si>
  <si>
    <t>LineFY21Line21 May</t>
  </si>
  <si>
    <t>BLUFY21Line21 Jun</t>
  </si>
  <si>
    <t>O-Cell A/DFY20Line20 Oct</t>
  </si>
  <si>
    <t>BLUFY20Line20 Oct</t>
  </si>
  <si>
    <t>UniFY20Line20 Dec</t>
  </si>
  <si>
    <t>BLUFY20Line21 Feb</t>
  </si>
  <si>
    <t>F/MFY21Line21 Apr</t>
  </si>
  <si>
    <t>LEDFY21Line21 Apr</t>
  </si>
  <si>
    <t>BezelFY21Line21 Jul</t>
  </si>
  <si>
    <t>P-AppFY21Line21 Jul</t>
  </si>
  <si>
    <t>T-con A/DFY21Line21 Apr</t>
  </si>
  <si>
    <t>P-AppFY21Line21 May</t>
  </si>
  <si>
    <t>BLUFY21Line21 Aug</t>
  </si>
  <si>
    <t>LEDFY20Line20 Feb</t>
  </si>
  <si>
    <t>T-con A/DFY20Line20 Feb</t>
  </si>
  <si>
    <t>LineFY20Line20 May</t>
  </si>
  <si>
    <t>O-Cell A/DFY20Line20 May</t>
  </si>
  <si>
    <t>BLUFY20Line20 Jun</t>
  </si>
  <si>
    <t>AppFY20Line20 Jun</t>
  </si>
  <si>
    <t>PolFY20Line20 Jun</t>
  </si>
  <si>
    <t>UniFY20Line20 Jun</t>
  </si>
  <si>
    <t>O-Cell A/DFY20Line20 Jul</t>
  </si>
  <si>
    <t>PolFY20Line20 Aug</t>
  </si>
  <si>
    <t>UniFY20Line21 Apr</t>
  </si>
  <si>
    <t>PolFY20Line21 Apr</t>
  </si>
  <si>
    <t>LineFY20Line21 Aug</t>
  </si>
  <si>
    <t>DotFY20Line20 Jul</t>
  </si>
  <si>
    <t>2118PolFY21Line</t>
  </si>
  <si>
    <t>2120O-Cell A/DFY21Line</t>
  </si>
  <si>
    <t>2123O-Cell A/DFY21Line</t>
  </si>
  <si>
    <t>2123LineFY21Line</t>
  </si>
  <si>
    <t>2127LEDFY21Line</t>
  </si>
  <si>
    <t>2129O-Cell A/DFY21Line</t>
  </si>
  <si>
    <t>2130O-Cell A/DFY21Line</t>
  </si>
  <si>
    <t>2133PolFY21Line</t>
  </si>
  <si>
    <t>2126PolFY21Line</t>
  </si>
  <si>
    <t>2116O-Cell A/DFY21na</t>
  </si>
  <si>
    <t>2123F/MFY21na</t>
  </si>
  <si>
    <t>2123O-Cell A/DFY21na</t>
  </si>
  <si>
    <t>2129LEDFY21Line</t>
  </si>
  <si>
    <t>2132O-Cell A/DFY21Line</t>
  </si>
  <si>
    <t>2101LineFY20Line</t>
  </si>
  <si>
    <t>2101UniFY19Line</t>
  </si>
  <si>
    <t>2101UniFY20Line</t>
  </si>
  <si>
    <t>2102LineFY20Line</t>
  </si>
  <si>
    <t>2102F/MFY20Line</t>
  </si>
  <si>
    <t>2102P-AppFY20Line</t>
  </si>
  <si>
    <t>2102BezelFY20Line</t>
  </si>
  <si>
    <t>2102T-CON A/DFY20Line</t>
  </si>
  <si>
    <t>2102LEDFY20Line</t>
  </si>
  <si>
    <t>2103F/MFY20Line</t>
  </si>
  <si>
    <t>2103T-CON A/DFY20Line</t>
  </si>
  <si>
    <t>2103LineFY20Line</t>
  </si>
  <si>
    <t>2103LEDFY20Line</t>
  </si>
  <si>
    <t>2104T-CON A/DFY19Line</t>
  </si>
  <si>
    <t>2104BLUFY20Line</t>
  </si>
  <si>
    <t>2104P-AppFY20Line</t>
  </si>
  <si>
    <t>2104LineFY19Line</t>
  </si>
  <si>
    <t>2104T-CON A/DFY20Line</t>
  </si>
  <si>
    <t>2104LineFY20Line</t>
  </si>
  <si>
    <t>2105LEDFY20Line</t>
  </si>
  <si>
    <t>2105F/MFY20Line</t>
  </si>
  <si>
    <t>2105AppFY19Line</t>
  </si>
  <si>
    <t>2105O-Cell A/DFY20Line</t>
  </si>
  <si>
    <t>2105BLUFY19Line</t>
  </si>
  <si>
    <t>2105LineFY20Line</t>
  </si>
  <si>
    <t>2105F/MFY19Line</t>
  </si>
  <si>
    <t>2106T-CON A/DFY20Line</t>
  </si>
  <si>
    <t>2106LineFY20Line</t>
  </si>
  <si>
    <t>2106LEDFY20Line</t>
  </si>
  <si>
    <t>2107P-AppFY20Line</t>
  </si>
  <si>
    <t>2107T-CON A/DFY19Line</t>
  </si>
  <si>
    <t>2107T-CON A/DFY20Line</t>
  </si>
  <si>
    <t>2107LineFY20Line</t>
  </si>
  <si>
    <t>2107UniFY20Line</t>
  </si>
  <si>
    <t>2107O-Cell A/DFY20Line</t>
  </si>
  <si>
    <t>2108T-CON A/DFY20Line</t>
  </si>
  <si>
    <t>2109LEDFY20Line</t>
  </si>
  <si>
    <t>2109T-CON A/DFY20Line</t>
  </si>
  <si>
    <t>2110T-CON A/DFY20Line</t>
  </si>
  <si>
    <t>2110LineFY20Line</t>
  </si>
  <si>
    <t>2111LineFY20Line</t>
  </si>
  <si>
    <t>2111F/MFY20Line</t>
  </si>
  <si>
    <t>2112T-CON A/DFY20Line</t>
  </si>
  <si>
    <t>2112BezelFY20Line</t>
  </si>
  <si>
    <t>2112AppFY21Line</t>
  </si>
  <si>
    <t>2112T-CON A/DFY21Line</t>
  </si>
  <si>
    <t>2113T-CON A/DFY20Line</t>
  </si>
  <si>
    <t>2116T-CON A/DFY20Line</t>
  </si>
  <si>
    <t>2116LineFY20Line</t>
  </si>
  <si>
    <t>2117T-CON A/DFY20Line</t>
  </si>
  <si>
    <t>2118BLUFY20Line</t>
  </si>
  <si>
    <t>2118LineFY21Line</t>
  </si>
  <si>
    <t>2119LineFY20Line</t>
  </si>
  <si>
    <t>2120F/MFY21Line</t>
  </si>
  <si>
    <t>2120T-CON A/DFY20Line</t>
  </si>
  <si>
    <t>2121T-CON A/DFY21Line</t>
  </si>
  <si>
    <t>2121BLUFY21Line</t>
  </si>
  <si>
    <t>2121T-CON A/DFY20Line</t>
  </si>
  <si>
    <t>2121O-Cell A/DFY20Line</t>
  </si>
  <si>
    <t>2121F/MFY20Line</t>
  </si>
  <si>
    <t>2122F/MFY21Line</t>
  </si>
  <si>
    <t>2122LEDFY21Line</t>
  </si>
  <si>
    <t>2122AppFY20Line</t>
  </si>
  <si>
    <t>2122T-CON A/DFY20Line</t>
  </si>
  <si>
    <t>2123T-CON A/DFY20Line</t>
  </si>
  <si>
    <t>2123AppFY21Line</t>
  </si>
  <si>
    <t>2123LEDFY20Line</t>
  </si>
  <si>
    <t>2123LEDFY21Line</t>
  </si>
  <si>
    <t>2124T-CON A/DFY21Line</t>
  </si>
  <si>
    <t>2124DotFY21Line</t>
  </si>
  <si>
    <t>2125T-CON A/DFY21Line</t>
  </si>
  <si>
    <t>2126LineFY21Line</t>
  </si>
  <si>
    <t>2126AppFY20Line</t>
  </si>
  <si>
    <t>2126LEDFY21Line</t>
  </si>
  <si>
    <t>2126AL-FrameFY21Line</t>
  </si>
  <si>
    <t>2126F/MFY21Line</t>
  </si>
  <si>
    <t>2126T-CON A/DFY21Line</t>
  </si>
  <si>
    <t>2126O-Cell A/DFY21Line</t>
  </si>
  <si>
    <t>2127T-CON A/DFY21Line</t>
  </si>
  <si>
    <t>2127LineFY21Line</t>
  </si>
  <si>
    <t>2127F/MFY21Line</t>
  </si>
  <si>
    <t>2128LEDFY21Line</t>
  </si>
  <si>
    <t>2128LineFY21Line</t>
  </si>
  <si>
    <t>2128LEDFY20Line</t>
  </si>
  <si>
    <t>2128T-CON A/DFY20Line</t>
  </si>
  <si>
    <t>2129T-CON A/DFY20Line</t>
  </si>
  <si>
    <t>2129LineFY21Line</t>
  </si>
  <si>
    <t>2129AppFY21Line</t>
  </si>
  <si>
    <t>2129F/MFY21Line</t>
  </si>
  <si>
    <t>2129AL-FrameFY21Line</t>
  </si>
  <si>
    <t>2129T-CON A/DFY21Line</t>
  </si>
  <si>
    <t>2132LineFY21Line</t>
  </si>
  <si>
    <t>2132T-CON A/DFY21Line</t>
  </si>
  <si>
    <t>2132LEDFY21Line</t>
  </si>
  <si>
    <t>2132AppFY21Line</t>
  </si>
  <si>
    <t>2133P-AppFY21Line</t>
  </si>
  <si>
    <t>2133F/MFY21Line</t>
  </si>
  <si>
    <t>2133T-CON A/DFY21Line</t>
  </si>
  <si>
    <t>2133F/MFY20Line</t>
  </si>
  <si>
    <t>2133O-Cell A/DFY21Line</t>
  </si>
  <si>
    <t>2133LineFY21Line</t>
  </si>
  <si>
    <t>2133DotFY21Line</t>
  </si>
  <si>
    <t>na-FY20Line</t>
  </si>
  <si>
    <t>2129-FY20na</t>
  </si>
  <si>
    <t>2009AppFY20na</t>
  </si>
  <si>
    <t>2009BezelFY20na</t>
  </si>
  <si>
    <t>2015AppFY20na</t>
  </si>
  <si>
    <t>2019T-con A/DFY20Line</t>
  </si>
  <si>
    <t>2023LEDFY20Line</t>
  </si>
  <si>
    <t>2034O-Cell A/DFY20Line</t>
  </si>
  <si>
    <t>2040AppFY20Line</t>
  </si>
  <si>
    <t>2049T-con A/DFY20Line</t>
  </si>
  <si>
    <t>2052T-con A/DFY20Line</t>
  </si>
  <si>
    <t>2106T-con A/DFY20Line</t>
  </si>
  <si>
    <t>2123-FY21na</t>
  </si>
  <si>
    <t>2133-FY21Line</t>
  </si>
  <si>
    <t>2125-FY21na</t>
  </si>
  <si>
    <t>2116UniFY21na</t>
  </si>
  <si>
    <t>2126-FY21na</t>
  </si>
  <si>
    <t>2130T-con A/DFY21Line</t>
  </si>
  <si>
    <t>2009AL-FrameFY20Line</t>
  </si>
  <si>
    <t>2021F/MFY20Line</t>
  </si>
  <si>
    <t>2024F/MFY20Line</t>
  </si>
  <si>
    <t>2024LineFY20Line</t>
  </si>
  <si>
    <t>2025P-AppFY20Line</t>
  </si>
  <si>
    <t>2025LineFY20Line</t>
  </si>
  <si>
    <t>2025LEDFY20Line</t>
  </si>
  <si>
    <t>2026LineFY20Line</t>
  </si>
  <si>
    <t>2026F/MFY20Line</t>
  </si>
  <si>
    <t>2026O-Cell A/DFY20Line</t>
  </si>
  <si>
    <t>2028T-con A/DFY20Line</t>
  </si>
  <si>
    <t>2028LineFY20Line</t>
  </si>
  <si>
    <t>2028F/MFY20Line</t>
  </si>
  <si>
    <t>2029F/MFY20Line</t>
  </si>
  <si>
    <t>2029T-con A/DFY20Line</t>
  </si>
  <si>
    <t>2031F/MFY20Line</t>
  </si>
  <si>
    <t>2032F/MFY20Line</t>
  </si>
  <si>
    <t>2033F/MFY20Line</t>
  </si>
  <si>
    <t>2033LineFY20Line</t>
  </si>
  <si>
    <t>2035T-con A/DFY20Line</t>
  </si>
  <si>
    <t>2036LineFY20Line</t>
  </si>
  <si>
    <t>2036UniFY20Line</t>
  </si>
  <si>
    <t>2037UniFY20Line</t>
  </si>
  <si>
    <t>2038LEDFY20Line</t>
  </si>
  <si>
    <t>2039T-con A/DFY20Line</t>
  </si>
  <si>
    <t>2040F/MFY20Line</t>
  </si>
  <si>
    <t>2040O-Cell A/DFY20Line</t>
  </si>
  <si>
    <t>2041LineFY20Line</t>
  </si>
  <si>
    <t>2041F/MFY20Line</t>
  </si>
  <si>
    <t>2043F/MFY20Line</t>
  </si>
  <si>
    <t>2049O-Cell A/DFY20Line</t>
  </si>
  <si>
    <t>2049LEDFY20Line</t>
  </si>
  <si>
    <t>2052LineFY20Line</t>
  </si>
  <si>
    <t>2101F/MFY20Line</t>
  </si>
  <si>
    <t>2104O-Cell A/DFY20Line</t>
  </si>
  <si>
    <t>2106AL-FrameFY20Line</t>
  </si>
  <si>
    <t>2106F/MFY20Line</t>
  </si>
  <si>
    <t>2106P-AppFY20Line</t>
  </si>
  <si>
    <t>2108T-con A/DFY20Line</t>
  </si>
  <si>
    <t>2109O-Cell A/DFY20Line</t>
  </si>
  <si>
    <t>2112T-con A/DFY20Line</t>
  </si>
  <si>
    <t>2112F/MFY20Line</t>
  </si>
  <si>
    <t>2113LEDFY20Line</t>
  </si>
  <si>
    <t>2113F/MFY20Line</t>
  </si>
  <si>
    <t>2115BLUFY20Line</t>
  </si>
  <si>
    <t>2115LineFY20Line</t>
  </si>
  <si>
    <t>2125LineFY20Line</t>
  </si>
  <si>
    <t>2022LEDFY20Line</t>
  </si>
  <si>
    <t>2030F/MFY20Line</t>
  </si>
  <si>
    <t>2030UniFY20Line</t>
  </si>
  <si>
    <t>2032LEDFY20Line</t>
  </si>
  <si>
    <t>2034UniFY20Line</t>
  </si>
  <si>
    <t>2034LineFY20Line</t>
  </si>
  <si>
    <t>2038F/MFY20Line</t>
  </si>
  <si>
    <t>2038LineFY20Line</t>
  </si>
  <si>
    <t>2049LineFY20Line</t>
  </si>
  <si>
    <t>2051O-Cell A/DFY20Line</t>
  </si>
  <si>
    <t>2051T-con A/DFY20Line</t>
  </si>
  <si>
    <t>2112LEDFY20Line</t>
  </si>
  <si>
    <t>2113T-con A/DFY20Line</t>
  </si>
  <si>
    <t>2121LineFY20Line</t>
  </si>
  <si>
    <t>2031UniFY20Line</t>
  </si>
  <si>
    <t>2032UniFY20Line</t>
  </si>
  <si>
    <t>2032LineFY20Line</t>
  </si>
  <si>
    <t>2033T-con A/DFY20Line</t>
  </si>
  <si>
    <t>2034BLUFY20Line</t>
  </si>
  <si>
    <t>2035LineFY20Line</t>
  </si>
  <si>
    <t>2037F/MFY20Line</t>
  </si>
  <si>
    <t>2042LineFY20Line</t>
  </si>
  <si>
    <t>2043LEDFY20Line</t>
  </si>
  <si>
    <t>2102BLUFY20Line</t>
  </si>
  <si>
    <t>2108LineFY20Line</t>
  </si>
  <si>
    <t>2108LEDFY20Line</t>
  </si>
  <si>
    <t>2111T-con A/DFY20Line</t>
  </si>
  <si>
    <t>2113AppFY20Line</t>
  </si>
  <si>
    <t>2130LineFY20Line</t>
  </si>
  <si>
    <t>2121AppFY21Line</t>
  </si>
  <si>
    <t>2125LineFY21Line</t>
  </si>
  <si>
    <t>2130F/MFY21Line</t>
  </si>
  <si>
    <t>2131LineFY21Line</t>
  </si>
  <si>
    <t>2131AppFY21Line</t>
  </si>
  <si>
    <t>2115BezelFY21Line</t>
  </si>
  <si>
    <t>2115AppFY21Line</t>
  </si>
  <si>
    <t>2118UniFY21Line</t>
  </si>
  <si>
    <t>2122UniFY21Line</t>
  </si>
  <si>
    <t>2122PolFY21Line</t>
  </si>
  <si>
    <t>2122LineFY21Line</t>
  </si>
  <si>
    <t>2126BLUFY21Line</t>
  </si>
  <si>
    <t>2133LEDFY21Line</t>
  </si>
  <si>
    <t>2037LineFY20Line</t>
  </si>
  <si>
    <t>2040LineFY20Line</t>
  </si>
  <si>
    <t>2041LEDFY20Line</t>
  </si>
  <si>
    <t>2041O-Cell A/DFY20Line</t>
  </si>
  <si>
    <t>2044LineFY20Line</t>
  </si>
  <si>
    <t>2044BLUFY20Line</t>
  </si>
  <si>
    <t>2049UniFY20Line</t>
  </si>
  <si>
    <t>2101LEDFY20Line</t>
  </si>
  <si>
    <t>2109BLUFY20Line</t>
  </si>
  <si>
    <t>2113LineFY20Line</t>
  </si>
  <si>
    <t>2114F/MFY21Line</t>
  </si>
  <si>
    <t>2115LEDFY21Line</t>
  </si>
  <si>
    <t>2115LineFY21Line</t>
  </si>
  <si>
    <t>2116LineFY21Line</t>
  </si>
  <si>
    <t>2117PolFY21Line</t>
  </si>
  <si>
    <t>2117LineFY21Line</t>
  </si>
  <si>
    <t>2117F/MFY21Line</t>
  </si>
  <si>
    <t>2118AppFY21Line</t>
  </si>
  <si>
    <t>2121LineFY21Line</t>
  </si>
  <si>
    <t>2125BLUFY21Line</t>
  </si>
  <si>
    <t>2130LineFY21Line</t>
  </si>
  <si>
    <t>2130BezelFY21Line</t>
  </si>
  <si>
    <t>2130P-AppFY21Line</t>
  </si>
  <si>
    <t>2118F/MFY21Line</t>
  </si>
  <si>
    <t>2118T-con A/DFY21Line</t>
  </si>
  <si>
    <t>2124BLUFY21Line</t>
  </si>
  <si>
    <t>2124LineFY21Line</t>
  </si>
  <si>
    <t>2131F/MFY21Line</t>
  </si>
  <si>
    <t>2131O-Cell A/DFY21Line</t>
  </si>
  <si>
    <t>2120P-AppFY21Line</t>
  </si>
  <si>
    <t>2120BLUFY21Line</t>
  </si>
  <si>
    <t>2123BLUFY21Line</t>
  </si>
  <si>
    <t>2123F/MFY21Line</t>
  </si>
  <si>
    <t>2132BLUFY21Line</t>
  </si>
  <si>
    <t>2133AppFY21Line</t>
  </si>
  <si>
    <t>2007LEDFY20Line</t>
  </si>
  <si>
    <t>2007T-con A/DFY20Line</t>
  </si>
  <si>
    <t>2020LineFY20Line</t>
  </si>
  <si>
    <t>2021O-Cell A/DFY20Line</t>
  </si>
  <si>
    <t>2023BLUFY20Line</t>
  </si>
  <si>
    <t>2023AppFY20Line</t>
  </si>
  <si>
    <t>2024PolFY20Line</t>
  </si>
  <si>
    <t>2025PolFY20Line</t>
  </si>
  <si>
    <t>2026UniFY20Line</t>
  </si>
  <si>
    <t>2030LineFY20Line</t>
  </si>
  <si>
    <t>2030O-Cell A/DFY20Line</t>
  </si>
  <si>
    <t>2032PolFY20Line</t>
  </si>
  <si>
    <t>2032O-Cell A/DFY20Line</t>
  </si>
  <si>
    <t>2032BLUFY20Line</t>
  </si>
  <si>
    <t>2035O-Cell A/DFY20Line</t>
  </si>
  <si>
    <t>2036F/MFY20Line</t>
  </si>
  <si>
    <t>2109F/MFY20Line</t>
  </si>
  <si>
    <t>2114UniFY20Line</t>
  </si>
  <si>
    <t>2114BLUFY20Line</t>
  </si>
  <si>
    <t>2114PolFY20Line</t>
  </si>
  <si>
    <t>2133LineFY20Line</t>
  </si>
  <si>
    <t>2030DotFY20Line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</si>
</sst>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16" fontId="0" fillId="0" borderId="1" xfId="0" quotePrefix="1" applyNumberFormat="1" applyBorder="1" applyAlignment="1">
      <alignment horizontal="left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3" xfId="0" applyFont="1" applyFill="1" applyBorder="1" applyAlignment="1">
      <alignment horizontal="center" vertical="top"/>
    </xf>
    <xf numFmtId="0" fontId="1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2" borderId="1" xfId="0" quotePrefix="1" applyNumberForma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left" vertical="center"/>
    </xf>
    <xf numFmtId="0" fontId="4" fillId="3" borderId="5" xfId="0" applyFont="1" applyFill="1" applyBorder="1"/>
    <xf numFmtId="0" fontId="4" fillId="3" borderId="2" xfId="0" applyFont="1" applyFill="1" applyBorder="1"/>
    <xf numFmtId="0" fontId="0" fillId="4" borderId="4" xfId="0" applyFont="1" applyFill="1" applyBorder="1"/>
    <xf numFmtId="0" fontId="0" fillId="4" borderId="1" xfId="0" applyFont="1" applyFill="1" applyBorder="1" applyAlignment="1">
      <alignment horizontal="left" vertical="center"/>
    </xf>
    <xf numFmtId="0" fontId="1" fillId="0" borderId="6" xfId="0" applyFont="1" applyFill="1" applyBorder="1" applyAlignment="1">
      <alignment horizontal="center" vertical="top"/>
    </xf>
  </cellXfs>
  <cellStyles count="1">
    <cellStyle name="Normal" xfId="0" builtinId="0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63079615048116E-2"/>
          <c:y val="0.15779310344827585"/>
          <c:w val="0.84791092519685041"/>
          <c:h val="0.605361118653271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Monthly_FY!$B$29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Monthly_FY!$C$29:$AV$29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B-4DE6-B3DE-96611F79F326}"/>
            </c:ext>
          </c:extLst>
        </c:ser>
        <c:ser>
          <c:idx val="4"/>
          <c:order val="4"/>
          <c:tx>
            <c:strRef>
              <c:f>Monthly_FY!$B$30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Monthly_FY!$C$30:$AV$30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B-4DE6-B3DE-96611F79F326}"/>
            </c:ext>
          </c:extLst>
        </c:ser>
        <c:ser>
          <c:idx val="5"/>
          <c:order val="5"/>
          <c:tx>
            <c:strRef>
              <c:f>Monthly_FY!$B$31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Monthly_FY!$C$31:$AV$31</c:f>
              <c:numCache>
                <c:formatCode>General</c:formatCode>
                <c:ptCount val="18"/>
                <c:pt idx="0">
                  <c:v>117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480</c:v>
                </c:pt>
                <c:pt idx="6">
                  <c:v>237</c:v>
                </c:pt>
                <c:pt idx="7">
                  <c:v>41</c:v>
                </c:pt>
                <c:pt idx="8">
                  <c:v>113</c:v>
                </c:pt>
                <c:pt idx="9">
                  <c:v>155</c:v>
                </c:pt>
                <c:pt idx="10">
                  <c:v>85</c:v>
                </c:pt>
                <c:pt idx="11">
                  <c:v>0</c:v>
                </c:pt>
                <c:pt idx="12">
                  <c:v>0</c:v>
                </c:pt>
                <c:pt idx="13">
                  <c:v>297</c:v>
                </c:pt>
                <c:pt idx="14">
                  <c:v>108</c:v>
                </c:pt>
                <c:pt idx="15">
                  <c:v>92</c:v>
                </c:pt>
                <c:pt idx="17">
                  <c:v>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B-4DE6-B3DE-96611F79F326}"/>
            </c:ext>
          </c:extLst>
        </c:ser>
        <c:ser>
          <c:idx val="6"/>
          <c:order val="6"/>
          <c:tx>
            <c:strRef>
              <c:f>Monthly_FY!$B$32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Monthly_FY!$C$32:$AV$32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B-4DE6-B3DE-96611F79F326}"/>
            </c:ext>
          </c:extLst>
        </c:ser>
        <c:ser>
          <c:idx val="7"/>
          <c:order val="7"/>
          <c:tx>
            <c:strRef>
              <c:f>Monthly_FY!$B$33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Monthly_FY!$C$33:$AV$33</c:f>
              <c:numCache>
                <c:formatCode>General</c:formatCode>
                <c:ptCount val="18"/>
                <c:pt idx="0">
                  <c:v>90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203</c:v>
                </c:pt>
                <c:pt idx="8">
                  <c:v>151</c:v>
                </c:pt>
                <c:pt idx="9">
                  <c:v>0</c:v>
                </c:pt>
                <c:pt idx="10">
                  <c:v>43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108</c:v>
                </c:pt>
                <c:pt idx="15">
                  <c:v>0</c:v>
                </c:pt>
                <c:pt idx="17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B-4DE6-B3DE-96611F79F326}"/>
            </c:ext>
          </c:extLst>
        </c:ser>
        <c:ser>
          <c:idx val="8"/>
          <c:order val="8"/>
          <c:tx>
            <c:strRef>
              <c:f>Monthly_FY!$B$34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Monthly_FY!$C$34:$AV$34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0</c:v>
                </c:pt>
                <c:pt idx="10">
                  <c:v>43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92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B-4DE6-B3DE-96611F79F326}"/>
            </c:ext>
          </c:extLst>
        </c:ser>
        <c:ser>
          <c:idx val="9"/>
          <c:order val="9"/>
          <c:tx>
            <c:strRef>
              <c:f>Monthly_FY!$B$35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Monthly_FY!$C$35:$AV$35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B-4DE6-B3DE-96611F79F326}"/>
            </c:ext>
          </c:extLst>
        </c:ser>
        <c:ser>
          <c:idx val="10"/>
          <c:order val="10"/>
          <c:tx>
            <c:strRef>
              <c:f>Monthly_FY!$B$36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Monthly_FY!$C$36:$AV$36</c:f>
              <c:numCache>
                <c:formatCode>General</c:formatCode>
                <c:ptCount val="18"/>
                <c:pt idx="0">
                  <c:v>171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355</c:v>
                </c:pt>
                <c:pt idx="7">
                  <c:v>162</c:v>
                </c:pt>
                <c:pt idx="8">
                  <c:v>76</c:v>
                </c:pt>
                <c:pt idx="9">
                  <c:v>309</c:v>
                </c:pt>
                <c:pt idx="10">
                  <c:v>85</c:v>
                </c:pt>
                <c:pt idx="11">
                  <c:v>0</c:v>
                </c:pt>
                <c:pt idx="12">
                  <c:v>0</c:v>
                </c:pt>
                <c:pt idx="13">
                  <c:v>297</c:v>
                </c:pt>
                <c:pt idx="14">
                  <c:v>0</c:v>
                </c:pt>
                <c:pt idx="15">
                  <c:v>183</c:v>
                </c:pt>
                <c:pt idx="17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B-4DE6-B3DE-96611F79F326}"/>
            </c:ext>
          </c:extLst>
        </c:ser>
        <c:ser>
          <c:idx val="11"/>
          <c:order val="11"/>
          <c:tx>
            <c:strRef>
              <c:f>Monthly_FY!$B$37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Monthly_FY!$C$37:$AV$37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B-4DE6-B3DE-96611F79F326}"/>
            </c:ext>
          </c:extLst>
        </c:ser>
        <c:ser>
          <c:idx val="12"/>
          <c:order val="12"/>
          <c:tx>
            <c:strRef>
              <c:f>Monthly_FY!$B$38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Monthly_FY!$C$38:$AV$38</c:f>
              <c:numCache>
                <c:formatCode>General</c:formatCode>
                <c:ptCount val="18"/>
                <c:pt idx="0">
                  <c:v>189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41</c:v>
                </c:pt>
                <c:pt idx="8">
                  <c:v>151</c:v>
                </c:pt>
                <c:pt idx="9">
                  <c:v>386</c:v>
                </c:pt>
                <c:pt idx="10">
                  <c:v>212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430</c:v>
                </c:pt>
                <c:pt idx="15">
                  <c:v>92</c:v>
                </c:pt>
                <c:pt idx="17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2B-4DE6-B3DE-96611F79F326}"/>
            </c:ext>
          </c:extLst>
        </c:ser>
        <c:ser>
          <c:idx val="13"/>
          <c:order val="13"/>
          <c:tx>
            <c:strRef>
              <c:f>Monthly_FY!$B$39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Monthly_FY!$C$39:$AV$39</c:f>
              <c:numCache>
                <c:formatCode>General</c:formatCode>
                <c:ptCount val="18"/>
                <c:pt idx="0">
                  <c:v>333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592</c:v>
                </c:pt>
                <c:pt idx="7">
                  <c:v>122</c:v>
                </c:pt>
                <c:pt idx="8">
                  <c:v>226</c:v>
                </c:pt>
                <c:pt idx="9">
                  <c:v>579</c:v>
                </c:pt>
                <c:pt idx="10">
                  <c:v>339</c:v>
                </c:pt>
                <c:pt idx="11">
                  <c:v>0</c:v>
                </c:pt>
                <c:pt idx="12">
                  <c:v>0</c:v>
                </c:pt>
                <c:pt idx="13">
                  <c:v>593</c:v>
                </c:pt>
                <c:pt idx="14">
                  <c:v>323</c:v>
                </c:pt>
                <c:pt idx="15">
                  <c:v>457</c:v>
                </c:pt>
                <c:pt idx="17">
                  <c:v>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2B-4DE6-B3DE-96611F79F326}"/>
            </c:ext>
          </c:extLst>
        </c:ser>
        <c:ser>
          <c:idx val="14"/>
          <c:order val="14"/>
          <c:tx>
            <c:strRef>
              <c:f>Monthly_FY!$B$40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Monthly_FY!$C$40:$AV$40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B-4DE6-B3DE-96611F79F326}"/>
            </c:ext>
          </c:extLst>
        </c:ser>
        <c:ser>
          <c:idx val="15"/>
          <c:order val="15"/>
          <c:tx>
            <c:strRef>
              <c:f>Monthly_FY!$B$41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Monthly_FY!$C$41:$AV$41</c:f>
              <c:numCache>
                <c:formatCode>General</c:formatCode>
                <c:ptCount val="18"/>
                <c:pt idx="0">
                  <c:v>90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</c:v>
                </c:pt>
                <c:pt idx="8">
                  <c:v>151</c:v>
                </c:pt>
                <c:pt idx="9">
                  <c:v>116</c:v>
                </c:pt>
                <c:pt idx="10">
                  <c:v>85</c:v>
                </c:pt>
                <c:pt idx="11">
                  <c:v>0</c:v>
                </c:pt>
                <c:pt idx="12">
                  <c:v>0</c:v>
                </c:pt>
                <c:pt idx="13">
                  <c:v>297</c:v>
                </c:pt>
                <c:pt idx="14">
                  <c:v>108</c:v>
                </c:pt>
                <c:pt idx="15">
                  <c:v>92</c:v>
                </c:pt>
                <c:pt idx="17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B-4DE6-B3DE-96611F79F326}"/>
            </c:ext>
          </c:extLst>
        </c:ser>
        <c:ser>
          <c:idx val="16"/>
          <c:order val="16"/>
          <c:tx>
            <c:strRef>
              <c:f>Monthly_FY!$B$42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Monthly_FY!$C$42:$AV$42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B-4DE6-B3DE-96611F79F326}"/>
            </c:ext>
          </c:extLst>
        </c:ser>
        <c:ser>
          <c:idx val="17"/>
          <c:order val="17"/>
          <c:tx>
            <c:strRef>
              <c:f>Monthly_FY!$B$43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Monthly_FY!$C$43:$AV$43</c:f>
              <c:numCache>
                <c:formatCode>General</c:formatCode>
                <c:ptCount val="18"/>
                <c:pt idx="0">
                  <c:v>27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</c:v>
                </c:pt>
                <c:pt idx="8">
                  <c:v>0</c:v>
                </c:pt>
                <c:pt idx="9">
                  <c:v>39</c:v>
                </c:pt>
                <c:pt idx="10">
                  <c:v>43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92</c:v>
                </c:pt>
                <c:pt idx="17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B-4DE6-B3DE-96611F79F326}"/>
            </c:ext>
          </c:extLst>
        </c:ser>
        <c:ser>
          <c:idx val="18"/>
          <c:order val="18"/>
          <c:tx>
            <c:strRef>
              <c:f>Monthly_FY!$B$44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Monthly_FY!$C$44:$AV$44</c:f>
              <c:numCache>
                <c:formatCode>General</c:formatCode>
                <c:ptCount val="18"/>
                <c:pt idx="0">
                  <c:v>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237</c:v>
                </c:pt>
                <c:pt idx="7">
                  <c:v>41</c:v>
                </c:pt>
                <c:pt idx="8">
                  <c:v>38</c:v>
                </c:pt>
                <c:pt idx="9">
                  <c:v>0</c:v>
                </c:pt>
                <c:pt idx="10">
                  <c:v>127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274</c:v>
                </c:pt>
                <c:pt idx="17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B-4DE6-B3DE-96611F79F326}"/>
            </c:ext>
          </c:extLst>
        </c:ser>
        <c:ser>
          <c:idx val="19"/>
          <c:order val="19"/>
          <c:tx>
            <c:strRef>
              <c:f>Monthly_FY!$B$45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Monthly_FY!$C$45:$AV$45</c:f>
              <c:numCache>
                <c:formatCode>General</c:formatCode>
                <c:ptCount val="18"/>
                <c:pt idx="0">
                  <c:v>153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480</c:v>
                </c:pt>
                <c:pt idx="6">
                  <c:v>119</c:v>
                </c:pt>
                <c:pt idx="7">
                  <c:v>41</c:v>
                </c:pt>
                <c:pt idx="8">
                  <c:v>113</c:v>
                </c:pt>
                <c:pt idx="9">
                  <c:v>271</c:v>
                </c:pt>
                <c:pt idx="10">
                  <c:v>170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215</c:v>
                </c:pt>
                <c:pt idx="15">
                  <c:v>183</c:v>
                </c:pt>
                <c:pt idx="16">
                  <c:v>0</c:v>
                </c:pt>
                <c:pt idx="17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B-4DE6-B3DE-96611F79F326}"/>
            </c:ext>
          </c:extLst>
        </c:ser>
        <c:ser>
          <c:idx val="20"/>
          <c:order val="20"/>
          <c:tx>
            <c:strRef>
              <c:f>Monthly_FY!$B$46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Monthly_FY!$C$46:$AV$46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41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B-4DE6-B3DE-96611F79F326}"/>
            </c:ext>
          </c:extLst>
        </c:ser>
        <c:ser>
          <c:idx val="21"/>
          <c:order val="21"/>
          <c:tx>
            <c:strRef>
              <c:f>Monthly_FY!$B$47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049880"/>
        <c:axId val="57005250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Monthly_FY!$B$27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5.45069237035025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2B-4DE6-B3DE-96611F79F326}"/>
                </c:ext>
              </c:extLst>
            </c:dLbl>
            <c:dLbl>
              <c:idx val="1"/>
              <c:layout>
                <c:manualLayout>
                  <c:x val="-1.3030278431690884E-3"/>
                  <c:y val="-2.131306000543038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2B-4DE6-B3DE-96611F79F326}"/>
                </c:ext>
              </c:extLst>
            </c:dLbl>
            <c:dLbl>
              <c:idx val="3"/>
              <c:layout>
                <c:manualLayout>
                  <c:x val="-2.0618556701030928E-3"/>
                  <c:y val="-2.73877273961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2B-4DE6-B3DE-96611F79F326}"/>
                </c:ext>
              </c:extLst>
            </c:dLbl>
            <c:dLbl>
              <c:idx val="4"/>
              <c:layout>
                <c:manualLayout>
                  <c:x val="1.736111111111111E-3"/>
                  <c:y val="3.924735270160194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2B-4DE6-B3DE-96611F79F326}"/>
                </c:ext>
              </c:extLst>
            </c:dLbl>
            <c:dLbl>
              <c:idx val="5"/>
              <c:layout>
                <c:manualLayout>
                  <c:x val="0"/>
                  <c:y val="3.138609828943796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2B-4DE6-B3DE-96611F79F326}"/>
                </c:ext>
              </c:extLst>
            </c:dLbl>
            <c:dLbl>
              <c:idx val="7"/>
              <c:layout>
                <c:manualLayout>
                  <c:x val="1.736111111111111E-3"/>
                  <c:y val="3.58099375509095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2B-4DE6-B3DE-96611F79F326}"/>
                </c:ext>
              </c:extLst>
            </c:dLbl>
            <c:dLbl>
              <c:idx val="8"/>
              <c:layout>
                <c:manualLayout>
                  <c:x val="0"/>
                  <c:y val="3.13589465109964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2B-4DE6-B3DE-96611F79F326}"/>
                </c:ext>
              </c:extLst>
            </c:dLbl>
            <c:dLbl>
              <c:idx val="9"/>
              <c:layout>
                <c:manualLayout>
                  <c:x val="3.472222222222222E-3"/>
                  <c:y val="3.12242736899267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2B-4DE6-B3DE-96611F79F326}"/>
                </c:ext>
              </c:extLst>
            </c:dLbl>
            <c:dLbl>
              <c:idx val="11"/>
              <c:layout>
                <c:manualLayout>
                  <c:x val="-1.736111111111111E-3"/>
                  <c:y val="-2.07154493619332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12B-4DE6-B3DE-96611F79F326}"/>
                </c:ext>
              </c:extLst>
            </c:dLbl>
            <c:dLbl>
              <c:idx val="15"/>
              <c:layout>
                <c:manualLayout>
                  <c:x val="2.0618556701030928E-3"/>
                  <c:y val="2.7560684224816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12B-4DE6-B3DE-96611F79F326}"/>
                </c:ext>
              </c:extLst>
            </c:dLbl>
            <c:dLbl>
              <c:idx val="17"/>
              <c:layout>
                <c:manualLayout>
                  <c:x val="-4.5568633817681522E-3"/>
                  <c:y val="5.48666847678522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2B-4DE6-B3DE-96611F79F326}"/>
                </c:ext>
              </c:extLst>
            </c:dLbl>
            <c:dLbl>
              <c:idx val="18"/>
              <c:layout>
                <c:manualLayout>
                  <c:x val="-1.7361111111112385E-3"/>
                  <c:y val="0.136667390714091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2B-4DE6-B3DE-96611F79F32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Monthly_FY!$C$27:$AV$27</c:f>
              <c:numCache>
                <c:formatCode>General</c:formatCode>
                <c:ptCount val="18"/>
                <c:pt idx="0">
                  <c:v>111377</c:v>
                </c:pt>
                <c:pt idx="1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2084</c:v>
                </c:pt>
                <c:pt idx="6">
                  <c:v>8453</c:v>
                </c:pt>
                <c:pt idx="7">
                  <c:v>24701</c:v>
                </c:pt>
                <c:pt idx="8">
                  <c:v>26591</c:v>
                </c:pt>
                <c:pt idx="9">
                  <c:v>25909</c:v>
                </c:pt>
                <c:pt idx="10">
                  <c:v>23637</c:v>
                </c:pt>
                <c:pt idx="11">
                  <c:v>0</c:v>
                </c:pt>
                <c:pt idx="13">
                  <c:v>3375</c:v>
                </c:pt>
                <c:pt idx="14">
                  <c:v>9308</c:v>
                </c:pt>
                <c:pt idx="15">
                  <c:v>10954</c:v>
                </c:pt>
                <c:pt idx="17">
                  <c:v>111377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320112"/>
        <c:axId val="748317488"/>
      </c:barChart>
      <c:lineChart>
        <c:grouping val="standard"/>
        <c:varyColors val="0"/>
        <c:ser>
          <c:idx val="0"/>
          <c:order val="0"/>
          <c:tx>
            <c:strRef>
              <c:f>Monthly_FY!$B$26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Monthly_FY!$C$26:$AV$26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B-4DE6-B3DE-96611F79F326}"/>
            </c:ext>
          </c:extLst>
        </c:ser>
        <c:ser>
          <c:idx val="2"/>
          <c:order val="2"/>
          <c:tx>
            <c:strRef>
              <c:f>Monthly_FY!$B$28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Monthly_FY!$C$25:$AV$25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Monthly_FY!$C$28:$AV$28</c:f>
              <c:numCache>
                <c:formatCode>General</c:formatCode>
                <c:ptCount val="18"/>
                <c:pt idx="0">
                  <c:v>1302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960</c:v>
                </c:pt>
                <c:pt idx="6">
                  <c:v>1893</c:v>
                </c:pt>
                <c:pt idx="7">
                  <c:v>770</c:v>
                </c:pt>
                <c:pt idx="8">
                  <c:v>1091</c:v>
                </c:pt>
                <c:pt idx="9">
                  <c:v>1930</c:v>
                </c:pt>
                <c:pt idx="10">
                  <c:v>1227</c:v>
                </c:pt>
                <c:pt idx="11">
                  <c:v>0</c:v>
                </c:pt>
                <c:pt idx="13">
                  <c:v>1482</c:v>
                </c:pt>
                <c:pt idx="14">
                  <c:v>1290</c:v>
                </c:pt>
                <c:pt idx="15">
                  <c:v>1552</c:v>
                </c:pt>
                <c:pt idx="17">
                  <c:v>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49880"/>
        <c:axId val="570052504"/>
      </c:lineChart>
      <c:catAx>
        <c:axId val="5700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504"/>
        <c:crosses val="autoZero"/>
        <c:auto val="1"/>
        <c:lblAlgn val="ctr"/>
        <c:lblOffset val="100"/>
        <c:noMultiLvlLbl val="0"/>
      </c:catAx>
      <c:valAx>
        <c:axId val="570052504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9880"/>
        <c:crosses val="autoZero"/>
        <c:crossBetween val="between"/>
      </c:valAx>
      <c:valAx>
        <c:axId val="748317488"/>
        <c:scaling>
          <c:orientation val="maxMin"/>
          <c:max val="1000000"/>
          <c:min val="0"/>
        </c:scaling>
        <c:delete val="0"/>
        <c:axPos val="r"/>
        <c:numFmt formatCode="#,##0;[Red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0112"/>
        <c:crosses val="max"/>
        <c:crossBetween val="between"/>
        <c:majorUnit val="100000"/>
        <c:dispUnits>
          <c:builtInUnit val="thousands"/>
          <c:dispUnitsLbl>
            <c:layout>
              <c:manualLayout>
                <c:xMode val="edge"/>
                <c:yMode val="edge"/>
                <c:x val="0.9700712720188327"/>
                <c:y val="0.1577931034482758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483201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831748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840113735783028"/>
          <c:y val="0.87887808851479776"/>
          <c:w val="0.7049338363954506"/>
          <c:h val="0.1142253597610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F632AE-2A71-46BE-81FD-CBF976157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0.00347</cdr:x>
      <cdr:y>0.0431</cdr:y>
    </cdr:from>
    <cdr:to>
      <cdr:x>0.10309</cdr:x>
      <cdr:y>0.10517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E0C983-AD50-4D9F-A8B5-4F2D7A13505A}"/>
            </a:ext>
          </a:extLst>
        </cdr:cNvPr>
        <cdr:cNvSpPr txBox="1"/>
      </cdr:nvSpPr>
      <cdr:spPr>
        <a:xfrm xmlns:a="http://schemas.openxmlformats.org/drawingml/2006/main">
          <a:off x="21386" y="158750"/>
          <a:ext cx="613613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0.84948</cdr:x>
      <cdr:y>0.0431</cdr:y>
    </cdr:from>
    <cdr:to>
      <cdr:x>0.99512</cdr:x>
      <cdr:y>0.10862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3AC35C0-7871-44F3-B62B-0D062B0E08A0}"/>
            </a:ext>
          </a:extLst>
        </cdr:cNvPr>
        <cdr:cNvSpPr txBox="1"/>
      </cdr:nvSpPr>
      <cdr:spPr>
        <a:xfrm xmlns:a="http://schemas.openxmlformats.org/drawingml/2006/main">
          <a:off x="5232400" y="158750"/>
          <a:ext cx="897026" cy="241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  <cdr:relSizeAnchor xmlns:cdr="http://schemas.openxmlformats.org/drawingml/2006/chartDrawing">
    <cdr:from>
      <cdr:x>0.26907</cdr:x>
      <cdr:y>0.00172</cdr:y>
    </cdr:from>
    <cdr:to>
      <cdr:x>0.68144</cdr:x>
      <cdr:y>0.08793</cdr:y>
    </cdr:to>
    <cdr:sp macro="" textlink="Report!$A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B9112C5-8835-4B93-A4C1-DFE23D9C55CD}"/>
            </a:ext>
          </a:extLst>
        </cdr:cNvPr>
        <cdr:cNvSpPr txBox="1"/>
      </cdr:nvSpPr>
      <cdr:spPr>
        <a:xfrm xmlns:a="http://schemas.openxmlformats.org/drawingml/2006/main">
          <a:off x="1657350" y="6350"/>
          <a:ext cx="254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CB9A31A-9ECF-4C87-9B19-D8BDF6E5CB7D}" type="TxLink">
            <a:rPr lang="en-US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Calibri"/>
            </a:rPr>
            <a:pPr algn="ctr"/>
            <a:t>FY21 WW Pmod SMLD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20</xdr:col>
      <xdr:colOff>348506</xdr:colOff>
      <xdr:row>28</xdr:row>
      <xdr:rowOff>155130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F265F261-0C54-4240-AF92-B9712E27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84150"/>
          <a:ext cx="11930906" cy="5127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714"/>
  <sheetViews>
    <sheetView topLeftCell="M1" zoomScaleNormal="100" workbookViewId="0">
      <selection activeCell="X4" sqref="X4"/>
    </sheetView>
  </sheetViews>
  <sheetFormatPr defaultRowHeight="14.5" x14ac:dyDescent="0.35"/>
  <cols>
    <col min="22" max="22" width="30.26953125" bestFit="1" customWidth="1"/>
    <col min="23" max="23" width="30.7265625" bestFit="1" customWidth="1"/>
  </cols>
  <sheetData>
    <row r="1" spans="1:24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5" t="s">
        <v>1403</v>
      </c>
      <c r="W1" s="15" t="s">
        <v>1405</v>
      </c>
      <c r="X1" s="15" t="s">
        <v>1414</v>
      </c>
    </row>
    <row r="2" spans="1:24" x14ac:dyDescent="0.35">
      <c r="A2">
        <v>1</v>
      </c>
      <c r="B2">
        <v>2118</v>
      </c>
      <c r="C2">
        <v>2118</v>
      </c>
      <c r="D2" t="s">
        <v>21</v>
      </c>
      <c r="E2" t="s">
        <v>24</v>
      </c>
      <c r="F2" t="s">
        <v>239</v>
      </c>
      <c r="G2" t="s">
        <v>405</v>
      </c>
      <c r="H2" t="s">
        <v>410</v>
      </c>
      <c r="I2" t="s">
        <v>21</v>
      </c>
      <c r="J2" t="s">
        <v>434</v>
      </c>
      <c r="K2" t="s">
        <v>453</v>
      </c>
      <c r="L2" t="s">
        <v>495</v>
      </c>
      <c r="M2">
        <v>2112</v>
      </c>
      <c r="N2" t="s">
        <v>1191</v>
      </c>
      <c r="O2" t="s">
        <v>1252</v>
      </c>
      <c r="P2" t="s">
        <v>21</v>
      </c>
      <c r="Q2" t="s">
        <v>21</v>
      </c>
      <c r="R2" t="s">
        <v>1254</v>
      </c>
      <c r="S2" t="s">
        <v>1254</v>
      </c>
      <c r="T2" t="s">
        <v>1335</v>
      </c>
      <c r="U2" t="s">
        <v>1347</v>
      </c>
      <c r="V2" t="s">
        <v>1596</v>
      </c>
      <c r="W2" t="s">
        <v>1435</v>
      </c>
    </row>
    <row r="3" spans="1:24" x14ac:dyDescent="0.35">
      <c r="A3">
        <v>2</v>
      </c>
      <c r="B3">
        <v>2120</v>
      </c>
      <c r="C3">
        <v>2120</v>
      </c>
      <c r="D3" t="s">
        <v>21</v>
      </c>
      <c r="E3" t="s">
        <v>25</v>
      </c>
      <c r="F3" t="s">
        <v>240</v>
      </c>
      <c r="G3" t="s">
        <v>405</v>
      </c>
      <c r="H3" t="s">
        <v>410</v>
      </c>
      <c r="I3" t="s">
        <v>21</v>
      </c>
      <c r="J3" t="s">
        <v>434</v>
      </c>
      <c r="K3" t="s">
        <v>453</v>
      </c>
      <c r="L3" t="s">
        <v>496</v>
      </c>
      <c r="M3">
        <v>2102</v>
      </c>
      <c r="N3" t="s">
        <v>1191</v>
      </c>
      <c r="O3" t="s">
        <v>1252</v>
      </c>
      <c r="P3" t="s">
        <v>21</v>
      </c>
      <c r="Q3" t="s">
        <v>21</v>
      </c>
      <c r="R3" t="s">
        <v>1255</v>
      </c>
      <c r="S3" t="s">
        <v>1255</v>
      </c>
      <c r="T3" t="s">
        <v>1278</v>
      </c>
      <c r="U3" t="s">
        <v>1347</v>
      </c>
      <c r="V3" t="s">
        <v>1597</v>
      </c>
      <c r="W3" t="s">
        <v>1436</v>
      </c>
    </row>
    <row r="4" spans="1:24" x14ac:dyDescent="0.35">
      <c r="A4">
        <v>3</v>
      </c>
      <c r="B4">
        <v>2123</v>
      </c>
      <c r="C4">
        <v>2123</v>
      </c>
      <c r="D4" t="s">
        <v>21</v>
      </c>
      <c r="E4" t="s">
        <v>26</v>
      </c>
      <c r="F4" t="s">
        <v>241</v>
      </c>
      <c r="G4" t="s">
        <v>405</v>
      </c>
      <c r="H4" t="s">
        <v>410</v>
      </c>
      <c r="I4" t="s">
        <v>21</v>
      </c>
      <c r="J4" t="s">
        <v>434</v>
      </c>
      <c r="K4" t="s">
        <v>453</v>
      </c>
      <c r="L4" t="s">
        <v>497</v>
      </c>
      <c r="M4">
        <v>2115</v>
      </c>
      <c r="N4" t="s">
        <v>1191</v>
      </c>
      <c r="O4" t="s">
        <v>1252</v>
      </c>
      <c r="P4" t="s">
        <v>21</v>
      </c>
      <c r="Q4" t="s">
        <v>21</v>
      </c>
      <c r="R4" t="s">
        <v>1255</v>
      </c>
      <c r="S4" t="s">
        <v>1255</v>
      </c>
      <c r="T4" t="s">
        <v>1278</v>
      </c>
      <c r="U4" t="s">
        <v>1347</v>
      </c>
      <c r="V4" t="s">
        <v>1598</v>
      </c>
      <c r="W4" t="s">
        <v>1437</v>
      </c>
    </row>
    <row r="5" spans="1:24" x14ac:dyDescent="0.35">
      <c r="A5">
        <v>4</v>
      </c>
      <c r="B5">
        <v>2123</v>
      </c>
      <c r="C5">
        <v>2123</v>
      </c>
      <c r="D5" t="s">
        <v>21</v>
      </c>
      <c r="E5" t="s">
        <v>26</v>
      </c>
      <c r="F5" t="s">
        <v>241</v>
      </c>
      <c r="G5" t="s">
        <v>405</v>
      </c>
      <c r="H5" t="s">
        <v>410</v>
      </c>
      <c r="I5" t="s">
        <v>21</v>
      </c>
      <c r="J5" t="s">
        <v>434</v>
      </c>
      <c r="K5" t="s">
        <v>453</v>
      </c>
      <c r="L5" t="s">
        <v>498</v>
      </c>
      <c r="M5">
        <v>2115</v>
      </c>
      <c r="N5" t="s">
        <v>1191</v>
      </c>
      <c r="O5" t="s">
        <v>1252</v>
      </c>
      <c r="P5" t="s">
        <v>21</v>
      </c>
      <c r="Q5" t="s">
        <v>21</v>
      </c>
      <c r="R5" t="s">
        <v>1256</v>
      </c>
      <c r="S5" t="s">
        <v>1256</v>
      </c>
      <c r="T5" t="s">
        <v>410</v>
      </c>
      <c r="U5" t="s">
        <v>1347</v>
      </c>
      <c r="V5" t="s">
        <v>1599</v>
      </c>
      <c r="W5" t="s">
        <v>1438</v>
      </c>
    </row>
    <row r="6" spans="1:24" x14ac:dyDescent="0.35">
      <c r="A6">
        <v>5</v>
      </c>
      <c r="B6">
        <v>2127</v>
      </c>
      <c r="C6">
        <v>2127</v>
      </c>
      <c r="D6" t="s">
        <v>21</v>
      </c>
      <c r="E6" t="s">
        <v>27</v>
      </c>
      <c r="F6" t="s">
        <v>242</v>
      </c>
      <c r="G6" t="s">
        <v>405</v>
      </c>
      <c r="H6" t="s">
        <v>410</v>
      </c>
      <c r="I6" t="s">
        <v>21</v>
      </c>
      <c r="J6" t="s">
        <v>434</v>
      </c>
      <c r="K6" t="s">
        <v>453</v>
      </c>
      <c r="L6" t="s">
        <v>499</v>
      </c>
      <c r="M6">
        <v>2117</v>
      </c>
      <c r="N6" t="s">
        <v>1191</v>
      </c>
      <c r="O6" t="s">
        <v>1252</v>
      </c>
      <c r="P6" t="s">
        <v>21</v>
      </c>
      <c r="Q6" t="s">
        <v>21</v>
      </c>
      <c r="R6" t="s">
        <v>1257</v>
      </c>
      <c r="S6" t="s">
        <v>1257</v>
      </c>
      <c r="T6" t="s">
        <v>1336</v>
      </c>
      <c r="U6" t="s">
        <v>1347</v>
      </c>
      <c r="V6" t="s">
        <v>1600</v>
      </c>
      <c r="W6" t="s">
        <v>1439</v>
      </c>
    </row>
    <row r="7" spans="1:24" x14ac:dyDescent="0.35">
      <c r="A7">
        <v>6</v>
      </c>
      <c r="B7">
        <v>2129</v>
      </c>
      <c r="C7">
        <v>2129</v>
      </c>
      <c r="D7" t="s">
        <v>21</v>
      </c>
      <c r="E7" t="s">
        <v>28</v>
      </c>
      <c r="F7" t="s">
        <v>243</v>
      </c>
      <c r="G7" t="s">
        <v>405</v>
      </c>
      <c r="H7" t="s">
        <v>410</v>
      </c>
      <c r="I7" t="s">
        <v>21</v>
      </c>
      <c r="J7" t="s">
        <v>434</v>
      </c>
      <c r="K7" t="s">
        <v>453</v>
      </c>
      <c r="L7" t="s">
        <v>500</v>
      </c>
      <c r="M7">
        <v>2123</v>
      </c>
      <c r="N7" t="s">
        <v>1191</v>
      </c>
      <c r="O7" t="s">
        <v>1252</v>
      </c>
      <c r="P7" t="s">
        <v>21</v>
      </c>
      <c r="Q7" t="s">
        <v>21</v>
      </c>
      <c r="R7" t="s">
        <v>1255</v>
      </c>
      <c r="S7" t="s">
        <v>1255</v>
      </c>
      <c r="T7" t="s">
        <v>1278</v>
      </c>
      <c r="U7" t="s">
        <v>1347</v>
      </c>
      <c r="V7" t="s">
        <v>1601</v>
      </c>
      <c r="W7" t="s">
        <v>1440</v>
      </c>
    </row>
    <row r="8" spans="1:24" x14ac:dyDescent="0.35">
      <c r="A8">
        <v>7</v>
      </c>
      <c r="B8">
        <v>2130</v>
      </c>
      <c r="C8">
        <v>2130</v>
      </c>
      <c r="D8" t="s">
        <v>21</v>
      </c>
      <c r="E8" t="s">
        <v>202</v>
      </c>
      <c r="F8" t="s">
        <v>363</v>
      </c>
      <c r="G8" t="s">
        <v>405</v>
      </c>
      <c r="H8" t="s">
        <v>410</v>
      </c>
      <c r="I8" t="s">
        <v>21</v>
      </c>
      <c r="J8" t="s">
        <v>434</v>
      </c>
      <c r="K8" t="s">
        <v>453</v>
      </c>
      <c r="L8" t="s">
        <v>1415</v>
      </c>
      <c r="M8">
        <v>2123</v>
      </c>
      <c r="N8" t="s">
        <v>1191</v>
      </c>
      <c r="O8" t="s">
        <v>1252</v>
      </c>
      <c r="P8" t="s">
        <v>21</v>
      </c>
      <c r="Q8" t="s">
        <v>21</v>
      </c>
      <c r="R8" t="s">
        <v>1255</v>
      </c>
      <c r="S8" t="s">
        <v>1255</v>
      </c>
      <c r="T8" t="s">
        <v>1278</v>
      </c>
      <c r="U8" t="s">
        <v>1347</v>
      </c>
      <c r="V8" t="s">
        <v>1602</v>
      </c>
      <c r="W8" t="s">
        <v>1440</v>
      </c>
    </row>
    <row r="9" spans="1:24" x14ac:dyDescent="0.35">
      <c r="A9">
        <v>8</v>
      </c>
      <c r="B9">
        <v>2133</v>
      </c>
      <c r="C9">
        <v>2133</v>
      </c>
      <c r="D9" t="s">
        <v>21</v>
      </c>
      <c r="E9" t="s">
        <v>109</v>
      </c>
      <c r="F9" t="s">
        <v>376</v>
      </c>
      <c r="G9" t="s">
        <v>405</v>
      </c>
      <c r="H9" t="s">
        <v>410</v>
      </c>
      <c r="I9" t="s">
        <v>21</v>
      </c>
      <c r="J9" t="s">
        <v>434</v>
      </c>
      <c r="K9" t="s">
        <v>453</v>
      </c>
      <c r="L9" t="s">
        <v>1416</v>
      </c>
      <c r="M9">
        <v>2125</v>
      </c>
      <c r="N9" t="s">
        <v>1191</v>
      </c>
      <c r="O9" t="s">
        <v>1252</v>
      </c>
      <c r="P9" t="s">
        <v>21</v>
      </c>
      <c r="Q9" t="s">
        <v>21</v>
      </c>
      <c r="R9" t="s">
        <v>1254</v>
      </c>
      <c r="S9" t="s">
        <v>1254</v>
      </c>
      <c r="T9" t="s">
        <v>1335</v>
      </c>
      <c r="U9" t="s">
        <v>1347</v>
      </c>
      <c r="V9" t="s">
        <v>1603</v>
      </c>
      <c r="W9" t="s">
        <v>1441</v>
      </c>
    </row>
    <row r="10" spans="1:24" x14ac:dyDescent="0.35">
      <c r="A10">
        <v>9</v>
      </c>
      <c r="B10">
        <v>2133</v>
      </c>
      <c r="C10">
        <v>2133</v>
      </c>
      <c r="D10" t="s">
        <v>21</v>
      </c>
      <c r="E10" t="s">
        <v>109</v>
      </c>
      <c r="F10" t="s">
        <v>376</v>
      </c>
      <c r="G10" t="s">
        <v>405</v>
      </c>
      <c r="H10" t="s">
        <v>410</v>
      </c>
      <c r="I10" t="s">
        <v>21</v>
      </c>
      <c r="J10" t="s">
        <v>434</v>
      </c>
      <c r="K10" t="s">
        <v>453</v>
      </c>
      <c r="L10" t="s">
        <v>1417</v>
      </c>
      <c r="M10">
        <v>2126</v>
      </c>
      <c r="N10" t="s">
        <v>1191</v>
      </c>
      <c r="O10" t="s">
        <v>1252</v>
      </c>
      <c r="P10" t="s">
        <v>21</v>
      </c>
      <c r="Q10" t="s">
        <v>21</v>
      </c>
      <c r="R10" t="s">
        <v>1254</v>
      </c>
      <c r="S10" t="s">
        <v>1254</v>
      </c>
      <c r="T10" t="s">
        <v>1335</v>
      </c>
      <c r="U10" t="s">
        <v>1347</v>
      </c>
      <c r="V10" t="s">
        <v>1603</v>
      </c>
      <c r="W10" t="s">
        <v>1441</v>
      </c>
    </row>
    <row r="11" spans="1:24" x14ac:dyDescent="0.35">
      <c r="A11">
        <v>10</v>
      </c>
      <c r="B11">
        <v>2133</v>
      </c>
      <c r="C11">
        <v>2133</v>
      </c>
      <c r="D11" t="s">
        <v>21</v>
      </c>
      <c r="E11" t="s">
        <v>109</v>
      </c>
      <c r="F11" t="s">
        <v>376</v>
      </c>
      <c r="G11" t="s">
        <v>405</v>
      </c>
      <c r="H11" t="s">
        <v>410</v>
      </c>
      <c r="I11" t="s">
        <v>21</v>
      </c>
      <c r="J11" t="s">
        <v>434</v>
      </c>
      <c r="K11" t="s">
        <v>453</v>
      </c>
      <c r="L11" t="s">
        <v>1418</v>
      </c>
      <c r="M11">
        <v>2127</v>
      </c>
      <c r="N11" t="s">
        <v>1191</v>
      </c>
      <c r="O11" t="s">
        <v>1252</v>
      </c>
      <c r="P11" t="s">
        <v>21</v>
      </c>
      <c r="Q11" t="s">
        <v>21</v>
      </c>
      <c r="R11" t="s">
        <v>1323</v>
      </c>
      <c r="S11" t="s">
        <v>1323</v>
      </c>
      <c r="T11" t="s">
        <v>1335</v>
      </c>
      <c r="U11" t="s">
        <v>1347</v>
      </c>
      <c r="V11" t="s">
        <v>1603</v>
      </c>
      <c r="W11" t="s">
        <v>1441</v>
      </c>
    </row>
    <row r="12" spans="1:24" x14ac:dyDescent="0.35">
      <c r="A12">
        <v>1</v>
      </c>
      <c r="B12">
        <v>2126</v>
      </c>
      <c r="C12">
        <v>2126</v>
      </c>
      <c r="D12" t="s">
        <v>21</v>
      </c>
      <c r="E12" t="s">
        <v>29</v>
      </c>
      <c r="F12" t="s">
        <v>244</v>
      </c>
      <c r="G12" t="s">
        <v>405</v>
      </c>
      <c r="H12" t="s">
        <v>410</v>
      </c>
      <c r="I12" t="s">
        <v>21</v>
      </c>
      <c r="J12" t="s">
        <v>435</v>
      </c>
      <c r="K12" t="s">
        <v>454</v>
      </c>
      <c r="L12" t="s">
        <v>501</v>
      </c>
      <c r="M12">
        <v>2120</v>
      </c>
      <c r="N12" t="s">
        <v>1192</v>
      </c>
      <c r="O12" t="s">
        <v>1252</v>
      </c>
      <c r="P12" t="s">
        <v>21</v>
      </c>
      <c r="Q12" t="s">
        <v>21</v>
      </c>
      <c r="R12" t="s">
        <v>1254</v>
      </c>
      <c r="S12" t="s">
        <v>1254</v>
      </c>
      <c r="T12" t="s">
        <v>1335</v>
      </c>
      <c r="U12" t="s">
        <v>1347</v>
      </c>
      <c r="V12" t="s">
        <v>1604</v>
      </c>
      <c r="W12" t="s">
        <v>1442</v>
      </c>
    </row>
    <row r="13" spans="1:24" x14ac:dyDescent="0.35">
      <c r="A13">
        <v>1</v>
      </c>
      <c r="B13">
        <v>2116</v>
      </c>
      <c r="C13">
        <v>2116</v>
      </c>
      <c r="D13" t="s">
        <v>21</v>
      </c>
      <c r="E13" t="s">
        <v>30</v>
      </c>
      <c r="F13" t="s">
        <v>245</v>
      </c>
      <c r="G13" t="s">
        <v>406</v>
      </c>
      <c r="H13" t="s">
        <v>411</v>
      </c>
      <c r="I13" t="s">
        <v>411</v>
      </c>
      <c r="J13" t="s">
        <v>436</v>
      </c>
      <c r="K13" t="s">
        <v>455</v>
      </c>
      <c r="L13" t="s">
        <v>502</v>
      </c>
      <c r="M13">
        <v>2108</v>
      </c>
      <c r="N13" t="s">
        <v>1193</v>
      </c>
      <c r="O13" t="s">
        <v>1252</v>
      </c>
      <c r="P13" t="s">
        <v>21</v>
      </c>
      <c r="Q13" t="s">
        <v>21</v>
      </c>
      <c r="R13" t="s">
        <v>1258</v>
      </c>
      <c r="S13" t="s">
        <v>1278</v>
      </c>
      <c r="T13" t="s">
        <v>1278</v>
      </c>
      <c r="U13" t="s">
        <v>1347</v>
      </c>
      <c r="V13" t="s">
        <v>1605</v>
      </c>
      <c r="W13" t="s">
        <v>1443</v>
      </c>
    </row>
    <row r="14" spans="1:24" x14ac:dyDescent="0.35">
      <c r="A14">
        <v>2</v>
      </c>
      <c r="B14">
        <v>2116</v>
      </c>
      <c r="C14">
        <v>2116</v>
      </c>
      <c r="D14" t="s">
        <v>21</v>
      </c>
      <c r="E14" t="s">
        <v>30</v>
      </c>
      <c r="F14" t="s">
        <v>245</v>
      </c>
      <c r="G14" t="s">
        <v>406</v>
      </c>
      <c r="H14" t="s">
        <v>411</v>
      </c>
      <c r="I14" t="s">
        <v>411</v>
      </c>
      <c r="J14" t="s">
        <v>436</v>
      </c>
      <c r="K14" t="s">
        <v>455</v>
      </c>
      <c r="L14" t="s">
        <v>503</v>
      </c>
      <c r="M14">
        <v>2111</v>
      </c>
      <c r="N14" t="s">
        <v>1193</v>
      </c>
      <c r="O14" t="s">
        <v>1252</v>
      </c>
      <c r="P14" t="s">
        <v>21</v>
      </c>
      <c r="Q14" t="s">
        <v>21</v>
      </c>
      <c r="R14" t="s">
        <v>1258</v>
      </c>
      <c r="S14" t="s">
        <v>1278</v>
      </c>
      <c r="T14" t="s">
        <v>1278</v>
      </c>
      <c r="U14" t="s">
        <v>1347</v>
      </c>
      <c r="V14" t="s">
        <v>1605</v>
      </c>
      <c r="W14" t="s">
        <v>1443</v>
      </c>
    </row>
    <row r="15" spans="1:24" x14ac:dyDescent="0.35">
      <c r="A15">
        <v>3</v>
      </c>
      <c r="B15">
        <v>2116</v>
      </c>
      <c r="C15">
        <v>2116</v>
      </c>
      <c r="D15" t="s">
        <v>21</v>
      </c>
      <c r="E15" t="s">
        <v>30</v>
      </c>
      <c r="F15" t="s">
        <v>245</v>
      </c>
      <c r="G15" t="s">
        <v>406</v>
      </c>
      <c r="H15" t="s">
        <v>411</v>
      </c>
      <c r="I15" t="s">
        <v>411</v>
      </c>
      <c r="J15" t="s">
        <v>436</v>
      </c>
      <c r="K15" t="s">
        <v>455</v>
      </c>
      <c r="L15" t="s">
        <v>504</v>
      </c>
      <c r="M15">
        <v>2111</v>
      </c>
      <c r="N15" t="s">
        <v>1193</v>
      </c>
      <c r="O15" t="s">
        <v>1252</v>
      </c>
      <c r="P15" t="s">
        <v>21</v>
      </c>
      <c r="Q15" t="s">
        <v>21</v>
      </c>
      <c r="R15" t="s">
        <v>1258</v>
      </c>
      <c r="S15" t="s">
        <v>1278</v>
      </c>
      <c r="T15" t="s">
        <v>1278</v>
      </c>
      <c r="U15" t="s">
        <v>1347</v>
      </c>
      <c r="V15" t="s">
        <v>1605</v>
      </c>
      <c r="W15" t="s">
        <v>1443</v>
      </c>
    </row>
    <row r="16" spans="1:24" x14ac:dyDescent="0.35">
      <c r="A16">
        <v>4</v>
      </c>
      <c r="B16">
        <v>2116</v>
      </c>
      <c r="C16">
        <v>2116</v>
      </c>
      <c r="D16" t="s">
        <v>21</v>
      </c>
      <c r="E16" t="s">
        <v>30</v>
      </c>
      <c r="F16" t="s">
        <v>245</v>
      </c>
      <c r="G16" t="s">
        <v>406</v>
      </c>
      <c r="H16" t="s">
        <v>411</v>
      </c>
      <c r="I16" t="s">
        <v>411</v>
      </c>
      <c r="J16" t="s">
        <v>436</v>
      </c>
      <c r="K16" t="s">
        <v>455</v>
      </c>
      <c r="L16" t="s">
        <v>505</v>
      </c>
      <c r="M16">
        <v>2111</v>
      </c>
      <c r="N16" t="s">
        <v>1193</v>
      </c>
      <c r="O16" t="s">
        <v>1252</v>
      </c>
      <c r="P16" t="s">
        <v>21</v>
      </c>
      <c r="Q16" t="s">
        <v>21</v>
      </c>
      <c r="R16" t="s">
        <v>1258</v>
      </c>
      <c r="S16" t="s">
        <v>1278</v>
      </c>
      <c r="T16" t="s">
        <v>1278</v>
      </c>
      <c r="U16" t="s">
        <v>1347</v>
      </c>
      <c r="V16" t="s">
        <v>1605</v>
      </c>
      <c r="W16" t="s">
        <v>1443</v>
      </c>
    </row>
    <row r="17" spans="1:23" x14ac:dyDescent="0.35">
      <c r="A17">
        <v>5</v>
      </c>
      <c r="B17">
        <v>2116</v>
      </c>
      <c r="C17">
        <v>2116</v>
      </c>
      <c r="D17" t="s">
        <v>21</v>
      </c>
      <c r="E17" t="s">
        <v>30</v>
      </c>
      <c r="F17" t="s">
        <v>245</v>
      </c>
      <c r="G17" t="s">
        <v>406</v>
      </c>
      <c r="H17" t="s">
        <v>411</v>
      </c>
      <c r="I17" t="s">
        <v>411</v>
      </c>
      <c r="J17" t="s">
        <v>436</v>
      </c>
      <c r="K17" t="s">
        <v>455</v>
      </c>
      <c r="L17" t="s">
        <v>506</v>
      </c>
      <c r="M17">
        <v>2111</v>
      </c>
      <c r="N17" t="s">
        <v>1193</v>
      </c>
      <c r="O17" t="s">
        <v>1252</v>
      </c>
      <c r="P17" t="s">
        <v>21</v>
      </c>
      <c r="Q17" t="s">
        <v>21</v>
      </c>
      <c r="R17" t="s">
        <v>1258</v>
      </c>
      <c r="S17" t="s">
        <v>1278</v>
      </c>
      <c r="T17" t="s">
        <v>1278</v>
      </c>
      <c r="U17" t="s">
        <v>1347</v>
      </c>
      <c r="V17" t="s">
        <v>1605</v>
      </c>
      <c r="W17" t="s">
        <v>1443</v>
      </c>
    </row>
    <row r="18" spans="1:23" x14ac:dyDescent="0.35">
      <c r="A18">
        <v>6</v>
      </c>
      <c r="B18">
        <v>2116</v>
      </c>
      <c r="C18">
        <v>2116</v>
      </c>
      <c r="D18" t="s">
        <v>21</v>
      </c>
      <c r="E18" t="s">
        <v>30</v>
      </c>
      <c r="F18" t="s">
        <v>245</v>
      </c>
      <c r="G18" t="s">
        <v>406</v>
      </c>
      <c r="H18" t="s">
        <v>411</v>
      </c>
      <c r="I18" t="s">
        <v>411</v>
      </c>
      <c r="J18" t="s">
        <v>436</v>
      </c>
      <c r="K18" t="s">
        <v>455</v>
      </c>
      <c r="L18" t="s">
        <v>507</v>
      </c>
      <c r="M18">
        <v>2111</v>
      </c>
      <c r="N18" t="s">
        <v>1193</v>
      </c>
      <c r="O18" t="s">
        <v>1252</v>
      </c>
      <c r="P18" t="s">
        <v>21</v>
      </c>
      <c r="Q18" t="s">
        <v>21</v>
      </c>
      <c r="R18" t="s">
        <v>1258</v>
      </c>
      <c r="S18" t="s">
        <v>1278</v>
      </c>
      <c r="T18" t="s">
        <v>1278</v>
      </c>
      <c r="U18" t="s">
        <v>1347</v>
      </c>
      <c r="V18" t="s">
        <v>1605</v>
      </c>
      <c r="W18" t="s">
        <v>1443</v>
      </c>
    </row>
    <row r="19" spans="1:23" x14ac:dyDescent="0.35">
      <c r="A19">
        <v>7</v>
      </c>
      <c r="B19">
        <v>2116</v>
      </c>
      <c r="C19">
        <v>2116</v>
      </c>
      <c r="D19" t="s">
        <v>21</v>
      </c>
      <c r="E19" t="s">
        <v>30</v>
      </c>
      <c r="F19" t="s">
        <v>245</v>
      </c>
      <c r="G19" t="s">
        <v>406</v>
      </c>
      <c r="H19" t="s">
        <v>411</v>
      </c>
      <c r="I19" t="s">
        <v>411</v>
      </c>
      <c r="J19" t="s">
        <v>436</v>
      </c>
      <c r="K19" t="s">
        <v>455</v>
      </c>
      <c r="L19" t="s">
        <v>508</v>
      </c>
      <c r="M19">
        <v>2111</v>
      </c>
      <c r="N19" t="s">
        <v>1193</v>
      </c>
      <c r="O19" t="s">
        <v>1252</v>
      </c>
      <c r="P19" t="s">
        <v>21</v>
      </c>
      <c r="Q19" t="s">
        <v>21</v>
      </c>
      <c r="R19" t="s">
        <v>1258</v>
      </c>
      <c r="S19" t="s">
        <v>1278</v>
      </c>
      <c r="T19" t="s">
        <v>1278</v>
      </c>
      <c r="U19" t="s">
        <v>1347</v>
      </c>
      <c r="V19" t="s">
        <v>1605</v>
      </c>
      <c r="W19" t="s">
        <v>1443</v>
      </c>
    </row>
    <row r="20" spans="1:23" x14ac:dyDescent="0.35">
      <c r="A20">
        <v>8</v>
      </c>
      <c r="B20">
        <v>2116</v>
      </c>
      <c r="C20">
        <v>2116</v>
      </c>
      <c r="D20" t="s">
        <v>21</v>
      </c>
      <c r="E20" t="s">
        <v>30</v>
      </c>
      <c r="F20" t="s">
        <v>245</v>
      </c>
      <c r="G20" t="s">
        <v>406</v>
      </c>
      <c r="H20" t="s">
        <v>411</v>
      </c>
      <c r="I20" t="s">
        <v>411</v>
      </c>
      <c r="J20" t="s">
        <v>436</v>
      </c>
      <c r="K20" t="s">
        <v>455</v>
      </c>
      <c r="L20" t="s">
        <v>509</v>
      </c>
      <c r="M20">
        <v>2111</v>
      </c>
      <c r="N20" t="s">
        <v>1193</v>
      </c>
      <c r="O20" t="s">
        <v>1252</v>
      </c>
      <c r="P20" t="s">
        <v>21</v>
      </c>
      <c r="Q20" t="s">
        <v>21</v>
      </c>
      <c r="R20" t="s">
        <v>1258</v>
      </c>
      <c r="S20" t="s">
        <v>1278</v>
      </c>
      <c r="T20" t="s">
        <v>1278</v>
      </c>
      <c r="U20" t="s">
        <v>1347</v>
      </c>
      <c r="V20" t="s">
        <v>1605</v>
      </c>
      <c r="W20" t="s">
        <v>1443</v>
      </c>
    </row>
    <row r="21" spans="1:23" x14ac:dyDescent="0.35">
      <c r="A21">
        <v>9</v>
      </c>
      <c r="B21">
        <v>2116</v>
      </c>
      <c r="C21">
        <v>2116</v>
      </c>
      <c r="D21" t="s">
        <v>21</v>
      </c>
      <c r="E21" t="s">
        <v>30</v>
      </c>
      <c r="F21" t="s">
        <v>245</v>
      </c>
      <c r="G21" t="s">
        <v>406</v>
      </c>
      <c r="H21" t="s">
        <v>411</v>
      </c>
      <c r="I21" t="s">
        <v>411</v>
      </c>
      <c r="J21" t="s">
        <v>436</v>
      </c>
      <c r="K21" t="s">
        <v>455</v>
      </c>
      <c r="L21" t="s">
        <v>510</v>
      </c>
      <c r="M21">
        <v>2111</v>
      </c>
      <c r="N21" t="s">
        <v>1193</v>
      </c>
      <c r="O21" t="s">
        <v>1252</v>
      </c>
      <c r="P21" t="s">
        <v>21</v>
      </c>
      <c r="Q21" t="s">
        <v>21</v>
      </c>
      <c r="R21" t="s">
        <v>1258</v>
      </c>
      <c r="S21" t="s">
        <v>1278</v>
      </c>
      <c r="T21" t="s">
        <v>1278</v>
      </c>
      <c r="U21" t="s">
        <v>1347</v>
      </c>
      <c r="V21" t="s">
        <v>1605</v>
      </c>
      <c r="W21" t="s">
        <v>1443</v>
      </c>
    </row>
    <row r="22" spans="1:23" x14ac:dyDescent="0.35">
      <c r="A22">
        <v>10</v>
      </c>
      <c r="B22">
        <v>2116</v>
      </c>
      <c r="C22">
        <v>2116</v>
      </c>
      <c r="D22" t="s">
        <v>21</v>
      </c>
      <c r="E22" t="s">
        <v>30</v>
      </c>
      <c r="F22" t="s">
        <v>245</v>
      </c>
      <c r="G22" t="s">
        <v>406</v>
      </c>
      <c r="H22" t="s">
        <v>411</v>
      </c>
      <c r="I22" t="s">
        <v>411</v>
      </c>
      <c r="J22" t="s">
        <v>436</v>
      </c>
      <c r="K22" t="s">
        <v>455</v>
      </c>
      <c r="L22" t="s">
        <v>511</v>
      </c>
      <c r="M22">
        <v>2111</v>
      </c>
      <c r="N22" t="s">
        <v>1193</v>
      </c>
      <c r="O22" t="s">
        <v>1252</v>
      </c>
      <c r="P22" t="s">
        <v>21</v>
      </c>
      <c r="Q22" t="s">
        <v>21</v>
      </c>
      <c r="R22" t="s">
        <v>1258</v>
      </c>
      <c r="S22" t="s">
        <v>1278</v>
      </c>
      <c r="T22" t="s">
        <v>1278</v>
      </c>
      <c r="U22" t="s">
        <v>1347</v>
      </c>
      <c r="V22" t="s">
        <v>1605</v>
      </c>
      <c r="W22" t="s">
        <v>1443</v>
      </c>
    </row>
    <row r="23" spans="1:23" x14ac:dyDescent="0.35">
      <c r="A23">
        <v>11</v>
      </c>
      <c r="B23">
        <v>2116</v>
      </c>
      <c r="C23">
        <v>2116</v>
      </c>
      <c r="D23" t="s">
        <v>21</v>
      </c>
      <c r="E23" t="s">
        <v>30</v>
      </c>
      <c r="F23" t="s">
        <v>245</v>
      </c>
      <c r="G23" t="s">
        <v>406</v>
      </c>
      <c r="H23" t="s">
        <v>411</v>
      </c>
      <c r="I23" t="s">
        <v>411</v>
      </c>
      <c r="J23" t="s">
        <v>436</v>
      </c>
      <c r="K23" t="s">
        <v>455</v>
      </c>
      <c r="L23" t="s">
        <v>512</v>
      </c>
      <c r="M23">
        <v>2111</v>
      </c>
      <c r="N23" t="s">
        <v>1193</v>
      </c>
      <c r="O23" t="s">
        <v>1252</v>
      </c>
      <c r="P23" t="s">
        <v>21</v>
      </c>
      <c r="Q23" t="s">
        <v>21</v>
      </c>
      <c r="R23" t="s">
        <v>1258</v>
      </c>
      <c r="S23" t="s">
        <v>1278</v>
      </c>
      <c r="T23" t="s">
        <v>1278</v>
      </c>
      <c r="U23" t="s">
        <v>1347</v>
      </c>
      <c r="V23" t="s">
        <v>1605</v>
      </c>
      <c r="W23" t="s">
        <v>1443</v>
      </c>
    </row>
    <row r="24" spans="1:23" x14ac:dyDescent="0.35">
      <c r="A24">
        <v>12</v>
      </c>
      <c r="B24">
        <v>2116</v>
      </c>
      <c r="C24">
        <v>2116</v>
      </c>
      <c r="D24" t="s">
        <v>21</v>
      </c>
      <c r="E24" t="s">
        <v>30</v>
      </c>
      <c r="F24" t="s">
        <v>245</v>
      </c>
      <c r="G24" t="s">
        <v>406</v>
      </c>
      <c r="H24" t="s">
        <v>411</v>
      </c>
      <c r="I24" t="s">
        <v>411</v>
      </c>
      <c r="J24" t="s">
        <v>436</v>
      </c>
      <c r="K24" t="s">
        <v>455</v>
      </c>
      <c r="L24" t="s">
        <v>513</v>
      </c>
      <c r="M24">
        <v>2111</v>
      </c>
      <c r="N24" t="s">
        <v>1193</v>
      </c>
      <c r="O24" t="s">
        <v>1252</v>
      </c>
      <c r="P24" t="s">
        <v>21</v>
      </c>
      <c r="Q24" t="s">
        <v>21</v>
      </c>
      <c r="R24" t="s">
        <v>1258</v>
      </c>
      <c r="S24" t="s">
        <v>1278</v>
      </c>
      <c r="T24" t="s">
        <v>1278</v>
      </c>
      <c r="U24" t="s">
        <v>1347</v>
      </c>
      <c r="V24" t="s">
        <v>1605</v>
      </c>
      <c r="W24" t="s">
        <v>1443</v>
      </c>
    </row>
    <row r="25" spans="1:23" x14ac:dyDescent="0.35">
      <c r="A25">
        <v>13</v>
      </c>
      <c r="B25">
        <v>2116</v>
      </c>
      <c r="C25">
        <v>2116</v>
      </c>
      <c r="D25" t="s">
        <v>21</v>
      </c>
      <c r="E25" t="s">
        <v>30</v>
      </c>
      <c r="F25" t="s">
        <v>245</v>
      </c>
      <c r="G25" t="s">
        <v>406</v>
      </c>
      <c r="H25" t="s">
        <v>411</v>
      </c>
      <c r="I25" t="s">
        <v>411</v>
      </c>
      <c r="J25" t="s">
        <v>436</v>
      </c>
      <c r="K25" t="s">
        <v>455</v>
      </c>
      <c r="L25" t="s">
        <v>514</v>
      </c>
      <c r="M25">
        <v>2111</v>
      </c>
      <c r="N25" t="s">
        <v>1193</v>
      </c>
      <c r="O25" t="s">
        <v>1252</v>
      </c>
      <c r="P25" t="s">
        <v>21</v>
      </c>
      <c r="Q25" t="s">
        <v>21</v>
      </c>
      <c r="R25" t="s">
        <v>1258</v>
      </c>
      <c r="S25" t="s">
        <v>1278</v>
      </c>
      <c r="T25" t="s">
        <v>1278</v>
      </c>
      <c r="U25" t="s">
        <v>1347</v>
      </c>
      <c r="V25" t="s">
        <v>1605</v>
      </c>
      <c r="W25" t="s">
        <v>1443</v>
      </c>
    </row>
    <row r="26" spans="1:23" x14ac:dyDescent="0.35">
      <c r="A26">
        <v>14</v>
      </c>
      <c r="B26">
        <v>2116</v>
      </c>
      <c r="C26">
        <v>2116</v>
      </c>
      <c r="D26" t="s">
        <v>21</v>
      </c>
      <c r="E26" t="s">
        <v>30</v>
      </c>
      <c r="F26" t="s">
        <v>245</v>
      </c>
      <c r="G26" t="s">
        <v>406</v>
      </c>
      <c r="H26" t="s">
        <v>411</v>
      </c>
      <c r="I26" t="s">
        <v>411</v>
      </c>
      <c r="J26" t="s">
        <v>436</v>
      </c>
      <c r="K26" t="s">
        <v>455</v>
      </c>
      <c r="L26" t="s">
        <v>515</v>
      </c>
      <c r="M26">
        <v>2108</v>
      </c>
      <c r="N26" t="s">
        <v>1193</v>
      </c>
      <c r="O26" t="s">
        <v>1252</v>
      </c>
      <c r="P26" t="s">
        <v>21</v>
      </c>
      <c r="Q26" t="s">
        <v>21</v>
      </c>
      <c r="R26" t="s">
        <v>1258</v>
      </c>
      <c r="S26" t="s">
        <v>1278</v>
      </c>
      <c r="T26" t="s">
        <v>1278</v>
      </c>
      <c r="U26" t="s">
        <v>1347</v>
      </c>
      <c r="V26" t="s">
        <v>1605</v>
      </c>
      <c r="W26" t="s">
        <v>1443</v>
      </c>
    </row>
    <row r="27" spans="1:23" x14ac:dyDescent="0.35">
      <c r="A27">
        <v>15</v>
      </c>
      <c r="B27">
        <v>2116</v>
      </c>
      <c r="C27">
        <v>2116</v>
      </c>
      <c r="D27" t="s">
        <v>21</v>
      </c>
      <c r="E27" t="s">
        <v>30</v>
      </c>
      <c r="F27" t="s">
        <v>245</v>
      </c>
      <c r="G27" t="s">
        <v>406</v>
      </c>
      <c r="H27" t="s">
        <v>411</v>
      </c>
      <c r="I27" t="s">
        <v>411</v>
      </c>
      <c r="J27" t="s">
        <v>436</v>
      </c>
      <c r="K27" t="s">
        <v>455</v>
      </c>
      <c r="L27" t="s">
        <v>516</v>
      </c>
      <c r="M27">
        <v>2108</v>
      </c>
      <c r="N27" t="s">
        <v>1193</v>
      </c>
      <c r="O27" t="s">
        <v>1252</v>
      </c>
      <c r="P27" t="s">
        <v>21</v>
      </c>
      <c r="Q27" t="s">
        <v>21</v>
      </c>
      <c r="R27" t="s">
        <v>1258</v>
      </c>
      <c r="S27" t="s">
        <v>1278</v>
      </c>
      <c r="T27" t="s">
        <v>1278</v>
      </c>
      <c r="U27" t="s">
        <v>1347</v>
      </c>
      <c r="V27" t="s">
        <v>1605</v>
      </c>
      <c r="W27" t="s">
        <v>1443</v>
      </c>
    </row>
    <row r="28" spans="1:23" x14ac:dyDescent="0.35">
      <c r="A28">
        <v>16</v>
      </c>
      <c r="B28">
        <v>2116</v>
      </c>
      <c r="C28">
        <v>2116</v>
      </c>
      <c r="D28" t="s">
        <v>21</v>
      </c>
      <c r="E28" t="s">
        <v>30</v>
      </c>
      <c r="F28" t="s">
        <v>245</v>
      </c>
      <c r="G28" t="s">
        <v>406</v>
      </c>
      <c r="H28" t="s">
        <v>411</v>
      </c>
      <c r="I28" t="s">
        <v>411</v>
      </c>
      <c r="J28" t="s">
        <v>436</v>
      </c>
      <c r="K28" t="s">
        <v>455</v>
      </c>
      <c r="L28" t="s">
        <v>517</v>
      </c>
      <c r="M28">
        <v>2111</v>
      </c>
      <c r="N28" t="s">
        <v>1193</v>
      </c>
      <c r="O28" t="s">
        <v>1252</v>
      </c>
      <c r="P28" t="s">
        <v>21</v>
      </c>
      <c r="Q28" t="s">
        <v>21</v>
      </c>
      <c r="R28" t="s">
        <v>1258</v>
      </c>
      <c r="S28" t="s">
        <v>1278</v>
      </c>
      <c r="T28" t="s">
        <v>1278</v>
      </c>
      <c r="U28" t="s">
        <v>1347</v>
      </c>
      <c r="V28" t="s">
        <v>1605</v>
      </c>
      <c r="W28" t="s">
        <v>1443</v>
      </c>
    </row>
    <row r="29" spans="1:23" x14ac:dyDescent="0.35">
      <c r="A29">
        <v>17</v>
      </c>
      <c r="B29">
        <v>2116</v>
      </c>
      <c r="C29">
        <v>2116</v>
      </c>
      <c r="D29" t="s">
        <v>21</v>
      </c>
      <c r="E29" t="s">
        <v>30</v>
      </c>
      <c r="F29" t="s">
        <v>245</v>
      </c>
      <c r="G29" t="s">
        <v>406</v>
      </c>
      <c r="H29" t="s">
        <v>411</v>
      </c>
      <c r="I29" t="s">
        <v>411</v>
      </c>
      <c r="J29" t="s">
        <v>436</v>
      </c>
      <c r="K29" t="s">
        <v>455</v>
      </c>
      <c r="L29" t="s">
        <v>518</v>
      </c>
      <c r="M29">
        <v>2111</v>
      </c>
      <c r="N29" t="s">
        <v>1193</v>
      </c>
      <c r="O29" t="s">
        <v>1252</v>
      </c>
      <c r="P29" t="s">
        <v>21</v>
      </c>
      <c r="Q29" t="s">
        <v>21</v>
      </c>
      <c r="R29" t="s">
        <v>1258</v>
      </c>
      <c r="S29" t="s">
        <v>1278</v>
      </c>
      <c r="T29" t="s">
        <v>1278</v>
      </c>
      <c r="U29" t="s">
        <v>1347</v>
      </c>
      <c r="V29" t="s">
        <v>1605</v>
      </c>
      <c r="W29" t="s">
        <v>1443</v>
      </c>
    </row>
    <row r="30" spans="1:23" x14ac:dyDescent="0.35">
      <c r="A30">
        <v>18</v>
      </c>
      <c r="B30">
        <v>2116</v>
      </c>
      <c r="C30">
        <v>2116</v>
      </c>
      <c r="D30" t="s">
        <v>21</v>
      </c>
      <c r="E30" t="s">
        <v>30</v>
      </c>
      <c r="F30" t="s">
        <v>245</v>
      </c>
      <c r="G30" t="s">
        <v>406</v>
      </c>
      <c r="H30" t="s">
        <v>411</v>
      </c>
      <c r="I30" t="s">
        <v>411</v>
      </c>
      <c r="J30" t="s">
        <v>436</v>
      </c>
      <c r="K30" t="s">
        <v>455</v>
      </c>
      <c r="L30" t="s">
        <v>519</v>
      </c>
      <c r="M30">
        <v>2111</v>
      </c>
      <c r="N30" t="s">
        <v>1193</v>
      </c>
      <c r="O30" t="s">
        <v>1252</v>
      </c>
      <c r="P30" t="s">
        <v>21</v>
      </c>
      <c r="Q30" t="s">
        <v>21</v>
      </c>
      <c r="R30" t="s">
        <v>1258</v>
      </c>
      <c r="S30" t="s">
        <v>1278</v>
      </c>
      <c r="T30" t="s">
        <v>1278</v>
      </c>
      <c r="U30" t="s">
        <v>1347</v>
      </c>
      <c r="V30" t="s">
        <v>1605</v>
      </c>
      <c r="W30" t="s">
        <v>1443</v>
      </c>
    </row>
    <row r="31" spans="1:23" x14ac:dyDescent="0.35">
      <c r="A31">
        <v>19</v>
      </c>
      <c r="B31">
        <v>2116</v>
      </c>
      <c r="C31">
        <v>2116</v>
      </c>
      <c r="D31" t="s">
        <v>21</v>
      </c>
      <c r="E31" t="s">
        <v>30</v>
      </c>
      <c r="F31" t="s">
        <v>245</v>
      </c>
      <c r="G31" t="s">
        <v>406</v>
      </c>
      <c r="H31" t="s">
        <v>411</v>
      </c>
      <c r="I31" t="s">
        <v>411</v>
      </c>
      <c r="J31" t="s">
        <v>436</v>
      </c>
      <c r="K31" t="s">
        <v>455</v>
      </c>
      <c r="L31" t="s">
        <v>520</v>
      </c>
      <c r="M31">
        <v>2111</v>
      </c>
      <c r="N31" t="s">
        <v>1193</v>
      </c>
      <c r="O31" t="s">
        <v>1252</v>
      </c>
      <c r="P31" t="s">
        <v>21</v>
      </c>
      <c r="Q31" t="s">
        <v>21</v>
      </c>
      <c r="R31" t="s">
        <v>1258</v>
      </c>
      <c r="S31" t="s">
        <v>1278</v>
      </c>
      <c r="T31" t="s">
        <v>1278</v>
      </c>
      <c r="U31" t="s">
        <v>1347</v>
      </c>
      <c r="V31" t="s">
        <v>1605</v>
      </c>
      <c r="W31" t="s">
        <v>1443</v>
      </c>
    </row>
    <row r="32" spans="1:23" x14ac:dyDescent="0.35">
      <c r="A32">
        <v>20</v>
      </c>
      <c r="B32">
        <v>2116</v>
      </c>
      <c r="C32">
        <v>2116</v>
      </c>
      <c r="D32" t="s">
        <v>21</v>
      </c>
      <c r="E32" t="s">
        <v>30</v>
      </c>
      <c r="F32" t="s">
        <v>245</v>
      </c>
      <c r="G32" t="s">
        <v>406</v>
      </c>
      <c r="H32" t="s">
        <v>411</v>
      </c>
      <c r="I32" t="s">
        <v>411</v>
      </c>
      <c r="J32" t="s">
        <v>436</v>
      </c>
      <c r="K32" t="s">
        <v>455</v>
      </c>
      <c r="L32" t="s">
        <v>521</v>
      </c>
      <c r="M32">
        <v>2111</v>
      </c>
      <c r="N32" t="s">
        <v>1193</v>
      </c>
      <c r="O32" t="s">
        <v>1252</v>
      </c>
      <c r="P32" t="s">
        <v>21</v>
      </c>
      <c r="Q32" t="s">
        <v>21</v>
      </c>
      <c r="R32" t="s">
        <v>1258</v>
      </c>
      <c r="S32" t="s">
        <v>1278</v>
      </c>
      <c r="T32" t="s">
        <v>1278</v>
      </c>
      <c r="U32" t="s">
        <v>1347</v>
      </c>
      <c r="V32" t="s">
        <v>1605</v>
      </c>
      <c r="W32" t="s">
        <v>1443</v>
      </c>
    </row>
    <row r="33" spans="1:23" x14ac:dyDescent="0.35">
      <c r="A33">
        <v>21</v>
      </c>
      <c r="B33">
        <v>2116</v>
      </c>
      <c r="C33">
        <v>2116</v>
      </c>
      <c r="D33" t="s">
        <v>21</v>
      </c>
      <c r="E33" t="s">
        <v>30</v>
      </c>
      <c r="F33" t="s">
        <v>245</v>
      </c>
      <c r="G33" t="s">
        <v>406</v>
      </c>
      <c r="H33" t="s">
        <v>411</v>
      </c>
      <c r="I33" t="s">
        <v>411</v>
      </c>
      <c r="J33" t="s">
        <v>436</v>
      </c>
      <c r="K33" t="s">
        <v>455</v>
      </c>
      <c r="L33" t="s">
        <v>522</v>
      </c>
      <c r="M33">
        <v>2111</v>
      </c>
      <c r="N33" t="s">
        <v>1193</v>
      </c>
      <c r="O33" t="s">
        <v>1252</v>
      </c>
      <c r="P33" t="s">
        <v>21</v>
      </c>
      <c r="Q33" t="s">
        <v>21</v>
      </c>
      <c r="R33" t="s">
        <v>1258</v>
      </c>
      <c r="S33" t="s">
        <v>1278</v>
      </c>
      <c r="T33" t="s">
        <v>1278</v>
      </c>
      <c r="U33" t="s">
        <v>1347</v>
      </c>
      <c r="V33" t="s">
        <v>1605</v>
      </c>
      <c r="W33" t="s">
        <v>1443</v>
      </c>
    </row>
    <row r="34" spans="1:23" x14ac:dyDescent="0.35">
      <c r="A34">
        <v>22</v>
      </c>
      <c r="B34">
        <v>2116</v>
      </c>
      <c r="C34">
        <v>2116</v>
      </c>
      <c r="D34" t="s">
        <v>21</v>
      </c>
      <c r="E34" t="s">
        <v>30</v>
      </c>
      <c r="F34" t="s">
        <v>245</v>
      </c>
      <c r="G34" t="s">
        <v>406</v>
      </c>
      <c r="H34" t="s">
        <v>411</v>
      </c>
      <c r="I34" t="s">
        <v>411</v>
      </c>
      <c r="J34" t="s">
        <v>436</v>
      </c>
      <c r="K34" t="s">
        <v>455</v>
      </c>
      <c r="L34" t="s">
        <v>523</v>
      </c>
      <c r="M34">
        <v>2111</v>
      </c>
      <c r="N34" t="s">
        <v>1193</v>
      </c>
      <c r="O34" t="s">
        <v>1252</v>
      </c>
      <c r="P34" t="s">
        <v>21</v>
      </c>
      <c r="Q34" t="s">
        <v>21</v>
      </c>
      <c r="R34" t="s">
        <v>1258</v>
      </c>
      <c r="S34" t="s">
        <v>1278</v>
      </c>
      <c r="T34" t="s">
        <v>1278</v>
      </c>
      <c r="U34" t="s">
        <v>1347</v>
      </c>
      <c r="V34" t="s">
        <v>1605</v>
      </c>
      <c r="W34" t="s">
        <v>1443</v>
      </c>
    </row>
    <row r="35" spans="1:23" x14ac:dyDescent="0.35">
      <c r="A35">
        <v>23</v>
      </c>
      <c r="B35">
        <v>2116</v>
      </c>
      <c r="C35">
        <v>2116</v>
      </c>
      <c r="D35" t="s">
        <v>21</v>
      </c>
      <c r="E35" t="s">
        <v>30</v>
      </c>
      <c r="F35" t="s">
        <v>245</v>
      </c>
      <c r="G35" t="s">
        <v>406</v>
      </c>
      <c r="H35" t="s">
        <v>411</v>
      </c>
      <c r="I35" t="s">
        <v>411</v>
      </c>
      <c r="J35" t="s">
        <v>436</v>
      </c>
      <c r="K35" t="s">
        <v>455</v>
      </c>
      <c r="L35" t="s">
        <v>524</v>
      </c>
      <c r="M35">
        <v>2111</v>
      </c>
      <c r="N35" t="s">
        <v>1193</v>
      </c>
      <c r="O35" t="s">
        <v>1252</v>
      </c>
      <c r="P35" t="s">
        <v>21</v>
      </c>
      <c r="Q35" t="s">
        <v>21</v>
      </c>
      <c r="R35" t="s">
        <v>1258</v>
      </c>
      <c r="S35" t="s">
        <v>1278</v>
      </c>
      <c r="T35" t="s">
        <v>1278</v>
      </c>
      <c r="U35" t="s">
        <v>1347</v>
      </c>
      <c r="V35" t="s">
        <v>1605</v>
      </c>
      <c r="W35" t="s">
        <v>1443</v>
      </c>
    </row>
    <row r="36" spans="1:23" x14ac:dyDescent="0.35">
      <c r="A36">
        <v>24</v>
      </c>
      <c r="B36">
        <v>2116</v>
      </c>
      <c r="C36">
        <v>2116</v>
      </c>
      <c r="D36" t="s">
        <v>21</v>
      </c>
      <c r="E36" t="s">
        <v>30</v>
      </c>
      <c r="F36" t="s">
        <v>245</v>
      </c>
      <c r="G36" t="s">
        <v>406</v>
      </c>
      <c r="H36" t="s">
        <v>411</v>
      </c>
      <c r="I36" t="s">
        <v>411</v>
      </c>
      <c r="J36" t="s">
        <v>436</v>
      </c>
      <c r="K36" t="s">
        <v>455</v>
      </c>
      <c r="L36" t="s">
        <v>525</v>
      </c>
      <c r="M36">
        <v>2111</v>
      </c>
      <c r="N36" t="s">
        <v>1193</v>
      </c>
      <c r="O36" t="s">
        <v>1252</v>
      </c>
      <c r="P36" t="s">
        <v>21</v>
      </c>
      <c r="Q36" t="s">
        <v>21</v>
      </c>
      <c r="R36" t="s">
        <v>1258</v>
      </c>
      <c r="S36" t="s">
        <v>1278</v>
      </c>
      <c r="T36" t="s">
        <v>1278</v>
      </c>
      <c r="U36" t="s">
        <v>1347</v>
      </c>
      <c r="V36" t="s">
        <v>1605</v>
      </c>
      <c r="W36" t="s">
        <v>1443</v>
      </c>
    </row>
    <row r="37" spans="1:23" x14ac:dyDescent="0.35">
      <c r="A37">
        <v>25</v>
      </c>
      <c r="B37">
        <v>2116</v>
      </c>
      <c r="C37">
        <v>2116</v>
      </c>
      <c r="D37" t="s">
        <v>21</v>
      </c>
      <c r="E37" t="s">
        <v>30</v>
      </c>
      <c r="F37" t="s">
        <v>245</v>
      </c>
      <c r="G37" t="s">
        <v>406</v>
      </c>
      <c r="H37" t="s">
        <v>411</v>
      </c>
      <c r="I37" t="s">
        <v>411</v>
      </c>
      <c r="J37" t="s">
        <v>436</v>
      </c>
      <c r="K37" t="s">
        <v>455</v>
      </c>
      <c r="L37" t="s">
        <v>526</v>
      </c>
      <c r="M37">
        <v>2108</v>
      </c>
      <c r="N37" t="s">
        <v>1193</v>
      </c>
      <c r="O37" t="s">
        <v>1252</v>
      </c>
      <c r="P37" t="s">
        <v>21</v>
      </c>
      <c r="Q37" t="s">
        <v>21</v>
      </c>
      <c r="R37" t="s">
        <v>1258</v>
      </c>
      <c r="S37" t="s">
        <v>1278</v>
      </c>
      <c r="T37" t="s">
        <v>1278</v>
      </c>
      <c r="U37" t="s">
        <v>1347</v>
      </c>
      <c r="V37" t="s">
        <v>1605</v>
      </c>
      <c r="W37" t="s">
        <v>1443</v>
      </c>
    </row>
    <row r="38" spans="1:23" x14ac:dyDescent="0.35">
      <c r="A38">
        <v>26</v>
      </c>
      <c r="B38">
        <v>2116</v>
      </c>
      <c r="C38">
        <v>2116</v>
      </c>
      <c r="D38" t="s">
        <v>21</v>
      </c>
      <c r="E38" t="s">
        <v>30</v>
      </c>
      <c r="F38" t="s">
        <v>245</v>
      </c>
      <c r="G38" t="s">
        <v>406</v>
      </c>
      <c r="H38" t="s">
        <v>411</v>
      </c>
      <c r="I38" t="s">
        <v>411</v>
      </c>
      <c r="J38" t="s">
        <v>436</v>
      </c>
      <c r="K38" t="s">
        <v>455</v>
      </c>
      <c r="L38" t="s">
        <v>527</v>
      </c>
      <c r="M38">
        <v>2111</v>
      </c>
      <c r="N38" t="s">
        <v>1193</v>
      </c>
      <c r="O38" t="s">
        <v>1252</v>
      </c>
      <c r="P38" t="s">
        <v>21</v>
      </c>
      <c r="Q38" t="s">
        <v>21</v>
      </c>
      <c r="R38" t="s">
        <v>1258</v>
      </c>
      <c r="S38" t="s">
        <v>1278</v>
      </c>
      <c r="T38" t="s">
        <v>1278</v>
      </c>
      <c r="U38" t="s">
        <v>1347</v>
      </c>
      <c r="V38" t="s">
        <v>1605</v>
      </c>
      <c r="W38" t="s">
        <v>1443</v>
      </c>
    </row>
    <row r="39" spans="1:23" x14ac:dyDescent="0.35">
      <c r="A39">
        <v>27</v>
      </c>
      <c r="B39">
        <v>2116</v>
      </c>
      <c r="C39">
        <v>2116</v>
      </c>
      <c r="D39" t="s">
        <v>21</v>
      </c>
      <c r="E39" t="s">
        <v>30</v>
      </c>
      <c r="F39" t="s">
        <v>245</v>
      </c>
      <c r="G39" t="s">
        <v>406</v>
      </c>
      <c r="H39" t="s">
        <v>411</v>
      </c>
      <c r="I39" t="s">
        <v>411</v>
      </c>
      <c r="J39" t="s">
        <v>436</v>
      </c>
      <c r="K39" t="s">
        <v>455</v>
      </c>
      <c r="L39" t="s">
        <v>528</v>
      </c>
      <c r="M39">
        <v>2111</v>
      </c>
      <c r="N39" t="s">
        <v>1193</v>
      </c>
      <c r="O39" t="s">
        <v>1252</v>
      </c>
      <c r="P39" t="s">
        <v>21</v>
      </c>
      <c r="Q39" t="s">
        <v>21</v>
      </c>
      <c r="R39" t="s">
        <v>1258</v>
      </c>
      <c r="S39" t="s">
        <v>1278</v>
      </c>
      <c r="T39" t="s">
        <v>1278</v>
      </c>
      <c r="U39" t="s">
        <v>1347</v>
      </c>
      <c r="V39" t="s">
        <v>1605</v>
      </c>
      <c r="W39" t="s">
        <v>1443</v>
      </c>
    </row>
    <row r="40" spans="1:23" x14ac:dyDescent="0.35">
      <c r="A40">
        <v>28</v>
      </c>
      <c r="B40">
        <v>2116</v>
      </c>
      <c r="C40">
        <v>2116</v>
      </c>
      <c r="D40" t="s">
        <v>21</v>
      </c>
      <c r="E40" t="s">
        <v>30</v>
      </c>
      <c r="F40" t="s">
        <v>245</v>
      </c>
      <c r="G40" t="s">
        <v>406</v>
      </c>
      <c r="H40" t="s">
        <v>411</v>
      </c>
      <c r="I40" t="s">
        <v>411</v>
      </c>
      <c r="J40" t="s">
        <v>436</v>
      </c>
      <c r="K40" t="s">
        <v>455</v>
      </c>
      <c r="L40" t="s">
        <v>529</v>
      </c>
      <c r="M40">
        <v>2111</v>
      </c>
      <c r="N40" t="s">
        <v>1193</v>
      </c>
      <c r="O40" t="s">
        <v>1252</v>
      </c>
      <c r="P40" t="s">
        <v>21</v>
      </c>
      <c r="Q40" t="s">
        <v>21</v>
      </c>
      <c r="R40" t="s">
        <v>1258</v>
      </c>
      <c r="S40" t="s">
        <v>1278</v>
      </c>
      <c r="T40" t="s">
        <v>1278</v>
      </c>
      <c r="U40" t="s">
        <v>1347</v>
      </c>
      <c r="V40" t="s">
        <v>1605</v>
      </c>
      <c r="W40" t="s">
        <v>1443</v>
      </c>
    </row>
    <row r="41" spans="1:23" x14ac:dyDescent="0.35">
      <c r="A41">
        <v>29</v>
      </c>
      <c r="B41">
        <v>2116</v>
      </c>
      <c r="C41">
        <v>2116</v>
      </c>
      <c r="D41" t="s">
        <v>21</v>
      </c>
      <c r="E41" t="s">
        <v>30</v>
      </c>
      <c r="F41" t="s">
        <v>245</v>
      </c>
      <c r="G41" t="s">
        <v>406</v>
      </c>
      <c r="H41" t="s">
        <v>411</v>
      </c>
      <c r="I41" t="s">
        <v>411</v>
      </c>
      <c r="J41" t="s">
        <v>436</v>
      </c>
      <c r="K41" t="s">
        <v>455</v>
      </c>
      <c r="L41" t="s">
        <v>530</v>
      </c>
      <c r="M41">
        <v>2111</v>
      </c>
      <c r="N41" t="s">
        <v>1193</v>
      </c>
      <c r="O41" t="s">
        <v>1252</v>
      </c>
      <c r="P41" t="s">
        <v>21</v>
      </c>
      <c r="Q41" t="s">
        <v>21</v>
      </c>
      <c r="R41" t="s">
        <v>1258</v>
      </c>
      <c r="S41" t="s">
        <v>1278</v>
      </c>
      <c r="T41" t="s">
        <v>1278</v>
      </c>
      <c r="U41" t="s">
        <v>1347</v>
      </c>
      <c r="V41" t="s">
        <v>1605</v>
      </c>
      <c r="W41" t="s">
        <v>1443</v>
      </c>
    </row>
    <row r="42" spans="1:23" x14ac:dyDescent="0.35">
      <c r="A42">
        <v>30</v>
      </c>
      <c r="B42">
        <v>2116</v>
      </c>
      <c r="C42">
        <v>2116</v>
      </c>
      <c r="D42" t="s">
        <v>21</v>
      </c>
      <c r="E42" t="s">
        <v>30</v>
      </c>
      <c r="F42" t="s">
        <v>245</v>
      </c>
      <c r="G42" t="s">
        <v>406</v>
      </c>
      <c r="H42" t="s">
        <v>411</v>
      </c>
      <c r="I42" t="s">
        <v>411</v>
      </c>
      <c r="J42" t="s">
        <v>436</v>
      </c>
      <c r="K42" t="s">
        <v>455</v>
      </c>
      <c r="L42" t="s">
        <v>531</v>
      </c>
      <c r="M42">
        <v>2111</v>
      </c>
      <c r="N42" t="s">
        <v>1193</v>
      </c>
      <c r="O42" t="s">
        <v>1252</v>
      </c>
      <c r="P42" t="s">
        <v>21</v>
      </c>
      <c r="Q42" t="s">
        <v>21</v>
      </c>
      <c r="R42" t="s">
        <v>1258</v>
      </c>
      <c r="S42" t="s">
        <v>1278</v>
      </c>
      <c r="T42" t="s">
        <v>1278</v>
      </c>
      <c r="U42" t="s">
        <v>1347</v>
      </c>
      <c r="V42" t="s">
        <v>1605</v>
      </c>
      <c r="W42" t="s">
        <v>1443</v>
      </c>
    </row>
    <row r="43" spans="1:23" x14ac:dyDescent="0.35">
      <c r="A43">
        <v>31</v>
      </c>
      <c r="B43">
        <v>2116</v>
      </c>
      <c r="C43">
        <v>2116</v>
      </c>
      <c r="D43" t="s">
        <v>21</v>
      </c>
      <c r="E43" t="s">
        <v>30</v>
      </c>
      <c r="F43" t="s">
        <v>245</v>
      </c>
      <c r="G43" t="s">
        <v>406</v>
      </c>
      <c r="H43" t="s">
        <v>411</v>
      </c>
      <c r="I43" t="s">
        <v>411</v>
      </c>
      <c r="J43" t="s">
        <v>436</v>
      </c>
      <c r="K43" t="s">
        <v>455</v>
      </c>
      <c r="L43" t="s">
        <v>532</v>
      </c>
      <c r="M43">
        <v>2111</v>
      </c>
      <c r="N43" t="s">
        <v>1193</v>
      </c>
      <c r="O43" t="s">
        <v>1252</v>
      </c>
      <c r="P43" t="s">
        <v>21</v>
      </c>
      <c r="Q43" t="s">
        <v>21</v>
      </c>
      <c r="R43" t="s">
        <v>1258</v>
      </c>
      <c r="S43" t="s">
        <v>1278</v>
      </c>
      <c r="T43" t="s">
        <v>1278</v>
      </c>
      <c r="U43" t="s">
        <v>1347</v>
      </c>
      <c r="V43" t="s">
        <v>1605</v>
      </c>
      <c r="W43" t="s">
        <v>1443</v>
      </c>
    </row>
    <row r="44" spans="1:23" x14ac:dyDescent="0.35">
      <c r="A44">
        <v>32</v>
      </c>
      <c r="B44">
        <v>2116</v>
      </c>
      <c r="C44">
        <v>2116</v>
      </c>
      <c r="D44" t="s">
        <v>21</v>
      </c>
      <c r="E44" t="s">
        <v>30</v>
      </c>
      <c r="F44" t="s">
        <v>245</v>
      </c>
      <c r="G44" t="s">
        <v>406</v>
      </c>
      <c r="H44" t="s">
        <v>411</v>
      </c>
      <c r="I44" t="s">
        <v>411</v>
      </c>
      <c r="J44" t="s">
        <v>436</v>
      </c>
      <c r="K44" t="s">
        <v>455</v>
      </c>
      <c r="L44" t="s">
        <v>533</v>
      </c>
      <c r="M44">
        <v>2111</v>
      </c>
      <c r="N44" t="s">
        <v>1193</v>
      </c>
      <c r="O44" t="s">
        <v>1252</v>
      </c>
      <c r="P44" t="s">
        <v>21</v>
      </c>
      <c r="Q44" t="s">
        <v>21</v>
      </c>
      <c r="R44" t="s">
        <v>1258</v>
      </c>
      <c r="S44" t="s">
        <v>1278</v>
      </c>
      <c r="T44" t="s">
        <v>1278</v>
      </c>
      <c r="U44" t="s">
        <v>1347</v>
      </c>
      <c r="V44" t="s">
        <v>1605</v>
      </c>
      <c r="W44" t="s">
        <v>1443</v>
      </c>
    </row>
    <row r="45" spans="1:23" x14ac:dyDescent="0.35">
      <c r="A45">
        <v>33</v>
      </c>
      <c r="B45">
        <v>2116</v>
      </c>
      <c r="C45">
        <v>2116</v>
      </c>
      <c r="D45" t="s">
        <v>21</v>
      </c>
      <c r="E45" t="s">
        <v>30</v>
      </c>
      <c r="F45" t="s">
        <v>245</v>
      </c>
      <c r="G45" t="s">
        <v>406</v>
      </c>
      <c r="H45" t="s">
        <v>411</v>
      </c>
      <c r="I45" t="s">
        <v>411</v>
      </c>
      <c r="J45" t="s">
        <v>436</v>
      </c>
      <c r="K45" t="s">
        <v>455</v>
      </c>
      <c r="L45" t="s">
        <v>534</v>
      </c>
      <c r="M45">
        <v>2111</v>
      </c>
      <c r="N45" t="s">
        <v>1193</v>
      </c>
      <c r="O45" t="s">
        <v>1252</v>
      </c>
      <c r="P45" t="s">
        <v>21</v>
      </c>
      <c r="Q45" t="s">
        <v>21</v>
      </c>
      <c r="R45" t="s">
        <v>1258</v>
      </c>
      <c r="S45" t="s">
        <v>1278</v>
      </c>
      <c r="T45" t="s">
        <v>1278</v>
      </c>
      <c r="U45" t="s">
        <v>1347</v>
      </c>
      <c r="V45" t="s">
        <v>1605</v>
      </c>
      <c r="W45" t="s">
        <v>1443</v>
      </c>
    </row>
    <row r="46" spans="1:23" x14ac:dyDescent="0.35">
      <c r="A46">
        <v>34</v>
      </c>
      <c r="B46">
        <v>2116</v>
      </c>
      <c r="C46">
        <v>2116</v>
      </c>
      <c r="D46" t="s">
        <v>21</v>
      </c>
      <c r="E46" t="s">
        <v>30</v>
      </c>
      <c r="F46" t="s">
        <v>245</v>
      </c>
      <c r="G46" t="s">
        <v>406</v>
      </c>
      <c r="H46" t="s">
        <v>411</v>
      </c>
      <c r="I46" t="s">
        <v>411</v>
      </c>
      <c r="J46" t="s">
        <v>436</v>
      </c>
      <c r="K46" t="s">
        <v>455</v>
      </c>
      <c r="L46" t="s">
        <v>535</v>
      </c>
      <c r="M46">
        <v>2111</v>
      </c>
      <c r="N46" t="s">
        <v>1193</v>
      </c>
      <c r="O46" t="s">
        <v>1252</v>
      </c>
      <c r="P46" t="s">
        <v>21</v>
      </c>
      <c r="Q46" t="s">
        <v>21</v>
      </c>
      <c r="R46" t="s">
        <v>1258</v>
      </c>
      <c r="S46" t="s">
        <v>1278</v>
      </c>
      <c r="T46" t="s">
        <v>1278</v>
      </c>
      <c r="U46" t="s">
        <v>1347</v>
      </c>
      <c r="V46" t="s">
        <v>1605</v>
      </c>
      <c r="W46" t="s">
        <v>1443</v>
      </c>
    </row>
    <row r="47" spans="1:23" x14ac:dyDescent="0.35">
      <c r="A47">
        <v>35</v>
      </c>
      <c r="B47">
        <v>2116</v>
      </c>
      <c r="C47">
        <v>2116</v>
      </c>
      <c r="D47" t="s">
        <v>21</v>
      </c>
      <c r="E47" t="s">
        <v>30</v>
      </c>
      <c r="F47" t="s">
        <v>245</v>
      </c>
      <c r="G47" t="s">
        <v>406</v>
      </c>
      <c r="H47" t="s">
        <v>411</v>
      </c>
      <c r="I47" t="s">
        <v>411</v>
      </c>
      <c r="J47" t="s">
        <v>436</v>
      </c>
      <c r="K47" t="s">
        <v>455</v>
      </c>
      <c r="L47" t="s">
        <v>536</v>
      </c>
      <c r="M47">
        <v>2111</v>
      </c>
      <c r="N47" t="s">
        <v>1193</v>
      </c>
      <c r="O47" t="s">
        <v>1252</v>
      </c>
      <c r="P47" t="s">
        <v>21</v>
      </c>
      <c r="Q47" t="s">
        <v>21</v>
      </c>
      <c r="R47" t="s">
        <v>1258</v>
      </c>
      <c r="S47" t="s">
        <v>1278</v>
      </c>
      <c r="T47" t="s">
        <v>1278</v>
      </c>
      <c r="U47" t="s">
        <v>1347</v>
      </c>
      <c r="V47" t="s">
        <v>1605</v>
      </c>
      <c r="W47" t="s">
        <v>1443</v>
      </c>
    </row>
    <row r="48" spans="1:23" x14ac:dyDescent="0.35">
      <c r="A48">
        <v>36</v>
      </c>
      <c r="B48">
        <v>2116</v>
      </c>
      <c r="C48">
        <v>2116</v>
      </c>
      <c r="D48" t="s">
        <v>21</v>
      </c>
      <c r="E48" t="s">
        <v>30</v>
      </c>
      <c r="F48" t="s">
        <v>245</v>
      </c>
      <c r="G48" t="s">
        <v>406</v>
      </c>
      <c r="H48" t="s">
        <v>411</v>
      </c>
      <c r="I48" t="s">
        <v>411</v>
      </c>
      <c r="J48" t="s">
        <v>436</v>
      </c>
      <c r="K48" t="s">
        <v>455</v>
      </c>
      <c r="L48" t="s">
        <v>537</v>
      </c>
      <c r="M48">
        <v>2111</v>
      </c>
      <c r="N48" t="s">
        <v>1193</v>
      </c>
      <c r="O48" t="s">
        <v>1252</v>
      </c>
      <c r="P48" t="s">
        <v>21</v>
      </c>
      <c r="Q48" t="s">
        <v>21</v>
      </c>
      <c r="R48" t="s">
        <v>1258</v>
      </c>
      <c r="S48" t="s">
        <v>1278</v>
      </c>
      <c r="T48" t="s">
        <v>1278</v>
      </c>
      <c r="U48" t="s">
        <v>1347</v>
      </c>
      <c r="V48" t="s">
        <v>1605</v>
      </c>
      <c r="W48" t="s">
        <v>1443</v>
      </c>
    </row>
    <row r="49" spans="1:23" x14ac:dyDescent="0.35">
      <c r="A49">
        <v>37</v>
      </c>
      <c r="B49">
        <v>2116</v>
      </c>
      <c r="C49">
        <v>2116</v>
      </c>
      <c r="D49" t="s">
        <v>21</v>
      </c>
      <c r="E49" t="s">
        <v>30</v>
      </c>
      <c r="F49" t="s">
        <v>245</v>
      </c>
      <c r="G49" t="s">
        <v>406</v>
      </c>
      <c r="H49" t="s">
        <v>411</v>
      </c>
      <c r="I49" t="s">
        <v>411</v>
      </c>
      <c r="J49" t="s">
        <v>436</v>
      </c>
      <c r="K49" t="s">
        <v>455</v>
      </c>
      <c r="L49" t="s">
        <v>538</v>
      </c>
      <c r="M49">
        <v>2111</v>
      </c>
      <c r="N49" t="s">
        <v>1193</v>
      </c>
      <c r="O49" t="s">
        <v>1252</v>
      </c>
      <c r="P49" t="s">
        <v>21</v>
      </c>
      <c r="Q49" t="s">
        <v>21</v>
      </c>
      <c r="R49" t="s">
        <v>1258</v>
      </c>
      <c r="S49" t="s">
        <v>1278</v>
      </c>
      <c r="T49" t="s">
        <v>1278</v>
      </c>
      <c r="U49" t="s">
        <v>1347</v>
      </c>
      <c r="V49" t="s">
        <v>1605</v>
      </c>
      <c r="W49" t="s">
        <v>1443</v>
      </c>
    </row>
    <row r="50" spans="1:23" x14ac:dyDescent="0.35">
      <c r="A50">
        <v>38</v>
      </c>
      <c r="B50">
        <v>2116</v>
      </c>
      <c r="C50">
        <v>2116</v>
      </c>
      <c r="D50" t="s">
        <v>21</v>
      </c>
      <c r="E50" t="s">
        <v>30</v>
      </c>
      <c r="F50" t="s">
        <v>245</v>
      </c>
      <c r="G50" t="s">
        <v>406</v>
      </c>
      <c r="H50" t="s">
        <v>411</v>
      </c>
      <c r="I50" t="s">
        <v>411</v>
      </c>
      <c r="J50" t="s">
        <v>436</v>
      </c>
      <c r="K50" t="s">
        <v>455</v>
      </c>
      <c r="L50" t="s">
        <v>539</v>
      </c>
      <c r="M50">
        <v>2111</v>
      </c>
      <c r="N50" t="s">
        <v>1193</v>
      </c>
      <c r="O50" t="s">
        <v>1252</v>
      </c>
      <c r="P50" t="s">
        <v>21</v>
      </c>
      <c r="Q50" t="s">
        <v>21</v>
      </c>
      <c r="R50" t="s">
        <v>1258</v>
      </c>
      <c r="S50" t="s">
        <v>1278</v>
      </c>
      <c r="T50" t="s">
        <v>1278</v>
      </c>
      <c r="U50" t="s">
        <v>1347</v>
      </c>
      <c r="V50" t="s">
        <v>1605</v>
      </c>
      <c r="W50" t="s">
        <v>1443</v>
      </c>
    </row>
    <row r="51" spans="1:23" x14ac:dyDescent="0.35">
      <c r="A51">
        <v>39</v>
      </c>
      <c r="B51">
        <v>2116</v>
      </c>
      <c r="C51">
        <v>2116</v>
      </c>
      <c r="D51" t="s">
        <v>21</v>
      </c>
      <c r="E51" t="s">
        <v>30</v>
      </c>
      <c r="F51" t="s">
        <v>245</v>
      </c>
      <c r="G51" t="s">
        <v>406</v>
      </c>
      <c r="H51" t="s">
        <v>411</v>
      </c>
      <c r="I51" t="s">
        <v>411</v>
      </c>
      <c r="J51" t="s">
        <v>436</v>
      </c>
      <c r="K51" t="s">
        <v>455</v>
      </c>
      <c r="L51" t="s">
        <v>540</v>
      </c>
      <c r="M51">
        <v>2111</v>
      </c>
      <c r="N51" t="s">
        <v>1193</v>
      </c>
      <c r="O51" t="s">
        <v>1252</v>
      </c>
      <c r="P51" t="s">
        <v>21</v>
      </c>
      <c r="Q51" t="s">
        <v>21</v>
      </c>
      <c r="R51" t="s">
        <v>1258</v>
      </c>
      <c r="S51" t="s">
        <v>1278</v>
      </c>
      <c r="T51" t="s">
        <v>1278</v>
      </c>
      <c r="U51" t="s">
        <v>1347</v>
      </c>
      <c r="V51" t="s">
        <v>1605</v>
      </c>
      <c r="W51" t="s">
        <v>1443</v>
      </c>
    </row>
    <row r="52" spans="1:23" x14ac:dyDescent="0.35">
      <c r="A52">
        <v>40</v>
      </c>
      <c r="B52">
        <v>2116</v>
      </c>
      <c r="C52">
        <v>2116</v>
      </c>
      <c r="D52" t="s">
        <v>21</v>
      </c>
      <c r="E52" t="s">
        <v>30</v>
      </c>
      <c r="F52" t="s">
        <v>245</v>
      </c>
      <c r="G52" t="s">
        <v>406</v>
      </c>
      <c r="H52" t="s">
        <v>411</v>
      </c>
      <c r="I52" t="s">
        <v>411</v>
      </c>
      <c r="J52" t="s">
        <v>436</v>
      </c>
      <c r="K52" t="s">
        <v>455</v>
      </c>
      <c r="L52" t="s">
        <v>541</v>
      </c>
      <c r="M52">
        <v>2111</v>
      </c>
      <c r="N52" t="s">
        <v>1193</v>
      </c>
      <c r="O52" t="s">
        <v>1252</v>
      </c>
      <c r="P52" t="s">
        <v>21</v>
      </c>
      <c r="Q52" t="s">
        <v>21</v>
      </c>
      <c r="R52" t="s">
        <v>1258</v>
      </c>
      <c r="S52" t="s">
        <v>1278</v>
      </c>
      <c r="T52" t="s">
        <v>1278</v>
      </c>
      <c r="U52" t="s">
        <v>1347</v>
      </c>
      <c r="V52" t="s">
        <v>1605</v>
      </c>
      <c r="W52" t="s">
        <v>1443</v>
      </c>
    </row>
    <row r="53" spans="1:23" x14ac:dyDescent="0.35">
      <c r="A53">
        <v>41</v>
      </c>
      <c r="B53">
        <v>2116</v>
      </c>
      <c r="C53">
        <v>2116</v>
      </c>
      <c r="D53" t="s">
        <v>21</v>
      </c>
      <c r="E53" t="s">
        <v>30</v>
      </c>
      <c r="F53" t="s">
        <v>245</v>
      </c>
      <c r="G53" t="s">
        <v>406</v>
      </c>
      <c r="H53" t="s">
        <v>411</v>
      </c>
      <c r="I53" t="s">
        <v>411</v>
      </c>
      <c r="J53" t="s">
        <v>436</v>
      </c>
      <c r="K53" t="s">
        <v>455</v>
      </c>
      <c r="L53" t="s">
        <v>542</v>
      </c>
      <c r="M53">
        <v>2111</v>
      </c>
      <c r="N53" t="s">
        <v>1193</v>
      </c>
      <c r="O53" t="s">
        <v>1252</v>
      </c>
      <c r="P53" t="s">
        <v>21</v>
      </c>
      <c r="Q53" t="s">
        <v>21</v>
      </c>
      <c r="R53" t="s">
        <v>1258</v>
      </c>
      <c r="S53" t="s">
        <v>1278</v>
      </c>
      <c r="T53" t="s">
        <v>1278</v>
      </c>
      <c r="U53" t="s">
        <v>1347</v>
      </c>
      <c r="V53" t="s">
        <v>1605</v>
      </c>
      <c r="W53" t="s">
        <v>1443</v>
      </c>
    </row>
    <row r="54" spans="1:23" x14ac:dyDescent="0.35">
      <c r="A54">
        <v>42</v>
      </c>
      <c r="B54">
        <v>2116</v>
      </c>
      <c r="C54">
        <v>2116</v>
      </c>
      <c r="D54" t="s">
        <v>21</v>
      </c>
      <c r="E54" t="s">
        <v>30</v>
      </c>
      <c r="F54" t="s">
        <v>245</v>
      </c>
      <c r="G54" t="s">
        <v>406</v>
      </c>
      <c r="H54" t="s">
        <v>411</v>
      </c>
      <c r="I54" t="s">
        <v>411</v>
      </c>
      <c r="J54" t="s">
        <v>436</v>
      </c>
      <c r="K54" t="s">
        <v>455</v>
      </c>
      <c r="L54" t="s">
        <v>543</v>
      </c>
      <c r="M54">
        <v>2111</v>
      </c>
      <c r="N54" t="s">
        <v>1193</v>
      </c>
      <c r="O54" t="s">
        <v>1252</v>
      </c>
      <c r="P54" t="s">
        <v>21</v>
      </c>
      <c r="Q54" t="s">
        <v>21</v>
      </c>
      <c r="R54" t="s">
        <v>1258</v>
      </c>
      <c r="S54" t="s">
        <v>1278</v>
      </c>
      <c r="T54" t="s">
        <v>1278</v>
      </c>
      <c r="U54" t="s">
        <v>1347</v>
      </c>
      <c r="V54" t="s">
        <v>1605</v>
      </c>
      <c r="W54" t="s">
        <v>1443</v>
      </c>
    </row>
    <row r="55" spans="1:23" x14ac:dyDescent="0.35">
      <c r="A55">
        <v>43</v>
      </c>
      <c r="B55">
        <v>2116</v>
      </c>
      <c r="C55">
        <v>2116</v>
      </c>
      <c r="D55" t="s">
        <v>21</v>
      </c>
      <c r="E55" t="s">
        <v>30</v>
      </c>
      <c r="F55" t="s">
        <v>245</v>
      </c>
      <c r="G55" t="s">
        <v>406</v>
      </c>
      <c r="H55" t="s">
        <v>411</v>
      </c>
      <c r="I55" t="s">
        <v>411</v>
      </c>
      <c r="J55" t="s">
        <v>436</v>
      </c>
      <c r="K55" t="s">
        <v>455</v>
      </c>
      <c r="L55" t="s">
        <v>544</v>
      </c>
      <c r="M55">
        <v>2111</v>
      </c>
      <c r="N55" t="s">
        <v>1193</v>
      </c>
      <c r="O55" t="s">
        <v>1252</v>
      </c>
      <c r="P55" t="s">
        <v>21</v>
      </c>
      <c r="Q55" t="s">
        <v>21</v>
      </c>
      <c r="R55" t="s">
        <v>1258</v>
      </c>
      <c r="S55" t="s">
        <v>1278</v>
      </c>
      <c r="T55" t="s">
        <v>1278</v>
      </c>
      <c r="U55" t="s">
        <v>1347</v>
      </c>
      <c r="V55" t="s">
        <v>1605</v>
      </c>
      <c r="W55" t="s">
        <v>1443</v>
      </c>
    </row>
    <row r="56" spans="1:23" x14ac:dyDescent="0.35">
      <c r="A56">
        <v>44</v>
      </c>
      <c r="B56">
        <v>2116</v>
      </c>
      <c r="C56">
        <v>2116</v>
      </c>
      <c r="D56" t="s">
        <v>21</v>
      </c>
      <c r="E56" t="s">
        <v>30</v>
      </c>
      <c r="F56" t="s">
        <v>245</v>
      </c>
      <c r="G56" t="s">
        <v>406</v>
      </c>
      <c r="H56" t="s">
        <v>411</v>
      </c>
      <c r="I56" t="s">
        <v>411</v>
      </c>
      <c r="J56" t="s">
        <v>436</v>
      </c>
      <c r="K56" t="s">
        <v>455</v>
      </c>
      <c r="L56" t="s">
        <v>545</v>
      </c>
      <c r="M56">
        <v>2111</v>
      </c>
      <c r="N56" t="s">
        <v>1193</v>
      </c>
      <c r="O56" t="s">
        <v>1252</v>
      </c>
      <c r="P56" t="s">
        <v>21</v>
      </c>
      <c r="Q56" t="s">
        <v>21</v>
      </c>
      <c r="R56" t="s">
        <v>1258</v>
      </c>
      <c r="S56" t="s">
        <v>1278</v>
      </c>
      <c r="T56" t="s">
        <v>1278</v>
      </c>
      <c r="U56" t="s">
        <v>1347</v>
      </c>
      <c r="V56" t="s">
        <v>1605</v>
      </c>
      <c r="W56" t="s">
        <v>1443</v>
      </c>
    </row>
    <row r="57" spans="1:23" x14ac:dyDescent="0.35">
      <c r="A57">
        <v>45</v>
      </c>
      <c r="B57">
        <v>2116</v>
      </c>
      <c r="C57">
        <v>2116</v>
      </c>
      <c r="D57" t="s">
        <v>21</v>
      </c>
      <c r="E57" t="s">
        <v>30</v>
      </c>
      <c r="F57" t="s">
        <v>245</v>
      </c>
      <c r="G57" t="s">
        <v>406</v>
      </c>
      <c r="H57" t="s">
        <v>411</v>
      </c>
      <c r="I57" t="s">
        <v>411</v>
      </c>
      <c r="J57" t="s">
        <v>436</v>
      </c>
      <c r="K57" t="s">
        <v>455</v>
      </c>
      <c r="L57" t="s">
        <v>546</v>
      </c>
      <c r="M57">
        <v>2111</v>
      </c>
      <c r="N57" t="s">
        <v>1193</v>
      </c>
      <c r="O57" t="s">
        <v>1252</v>
      </c>
      <c r="P57" t="s">
        <v>21</v>
      </c>
      <c r="Q57" t="s">
        <v>21</v>
      </c>
      <c r="R57" t="s">
        <v>1258</v>
      </c>
      <c r="S57" t="s">
        <v>1278</v>
      </c>
      <c r="T57" t="s">
        <v>1278</v>
      </c>
      <c r="U57" t="s">
        <v>1347</v>
      </c>
      <c r="V57" t="s">
        <v>1605</v>
      </c>
      <c r="W57" t="s">
        <v>1443</v>
      </c>
    </row>
    <row r="58" spans="1:23" x14ac:dyDescent="0.35">
      <c r="A58">
        <v>46</v>
      </c>
      <c r="B58">
        <v>2116</v>
      </c>
      <c r="C58">
        <v>2116</v>
      </c>
      <c r="D58" t="s">
        <v>21</v>
      </c>
      <c r="E58" t="s">
        <v>30</v>
      </c>
      <c r="F58" t="s">
        <v>245</v>
      </c>
      <c r="G58" t="s">
        <v>406</v>
      </c>
      <c r="H58" t="s">
        <v>411</v>
      </c>
      <c r="I58" t="s">
        <v>411</v>
      </c>
      <c r="J58" t="s">
        <v>436</v>
      </c>
      <c r="K58" t="s">
        <v>455</v>
      </c>
      <c r="L58" t="s">
        <v>547</v>
      </c>
      <c r="M58">
        <v>2111</v>
      </c>
      <c r="N58" t="s">
        <v>1193</v>
      </c>
      <c r="O58" t="s">
        <v>1252</v>
      </c>
      <c r="P58" t="s">
        <v>21</v>
      </c>
      <c r="Q58" t="s">
        <v>21</v>
      </c>
      <c r="R58" t="s">
        <v>1258</v>
      </c>
      <c r="S58" t="s">
        <v>1278</v>
      </c>
      <c r="T58" t="s">
        <v>1278</v>
      </c>
      <c r="U58" t="s">
        <v>1347</v>
      </c>
      <c r="V58" t="s">
        <v>1605</v>
      </c>
      <c r="W58" t="s">
        <v>1443</v>
      </c>
    </row>
    <row r="59" spans="1:23" x14ac:dyDescent="0.35">
      <c r="A59">
        <v>47</v>
      </c>
      <c r="B59">
        <v>2116</v>
      </c>
      <c r="C59">
        <v>2116</v>
      </c>
      <c r="D59" t="s">
        <v>21</v>
      </c>
      <c r="E59" t="s">
        <v>30</v>
      </c>
      <c r="F59" t="s">
        <v>245</v>
      </c>
      <c r="G59" t="s">
        <v>406</v>
      </c>
      <c r="H59" t="s">
        <v>411</v>
      </c>
      <c r="I59" t="s">
        <v>411</v>
      </c>
      <c r="J59" t="s">
        <v>436</v>
      </c>
      <c r="K59" t="s">
        <v>455</v>
      </c>
      <c r="L59" t="s">
        <v>548</v>
      </c>
      <c r="M59">
        <v>2111</v>
      </c>
      <c r="N59" t="s">
        <v>1193</v>
      </c>
      <c r="O59" t="s">
        <v>1252</v>
      </c>
      <c r="P59" t="s">
        <v>21</v>
      </c>
      <c r="Q59" t="s">
        <v>21</v>
      </c>
      <c r="R59" t="s">
        <v>1258</v>
      </c>
      <c r="S59" t="s">
        <v>1278</v>
      </c>
      <c r="T59" t="s">
        <v>1278</v>
      </c>
      <c r="U59" t="s">
        <v>1347</v>
      </c>
      <c r="V59" t="s">
        <v>1605</v>
      </c>
      <c r="W59" t="s">
        <v>1443</v>
      </c>
    </row>
    <row r="60" spans="1:23" x14ac:dyDescent="0.35">
      <c r="A60">
        <v>48</v>
      </c>
      <c r="B60">
        <v>2116</v>
      </c>
      <c r="C60">
        <v>2116</v>
      </c>
      <c r="D60" t="s">
        <v>21</v>
      </c>
      <c r="E60" t="s">
        <v>30</v>
      </c>
      <c r="F60" t="s">
        <v>245</v>
      </c>
      <c r="G60" t="s">
        <v>406</v>
      </c>
      <c r="H60" t="s">
        <v>411</v>
      </c>
      <c r="I60" t="s">
        <v>411</v>
      </c>
      <c r="J60" t="s">
        <v>436</v>
      </c>
      <c r="K60" t="s">
        <v>455</v>
      </c>
      <c r="L60" t="s">
        <v>549</v>
      </c>
      <c r="M60">
        <v>2111</v>
      </c>
      <c r="N60" t="s">
        <v>1193</v>
      </c>
      <c r="O60" t="s">
        <v>1252</v>
      </c>
      <c r="P60" t="s">
        <v>21</v>
      </c>
      <c r="Q60" t="s">
        <v>21</v>
      </c>
      <c r="R60" t="s">
        <v>1258</v>
      </c>
      <c r="S60" t="s">
        <v>1278</v>
      </c>
      <c r="T60" t="s">
        <v>1278</v>
      </c>
      <c r="U60" t="s">
        <v>1347</v>
      </c>
      <c r="V60" t="s">
        <v>1605</v>
      </c>
      <c r="W60" t="s">
        <v>1443</v>
      </c>
    </row>
    <row r="61" spans="1:23" x14ac:dyDescent="0.35">
      <c r="A61">
        <v>49</v>
      </c>
      <c r="B61">
        <v>2116</v>
      </c>
      <c r="C61">
        <v>2116</v>
      </c>
      <c r="D61" t="s">
        <v>21</v>
      </c>
      <c r="E61" t="s">
        <v>30</v>
      </c>
      <c r="F61" t="s">
        <v>245</v>
      </c>
      <c r="G61" t="s">
        <v>406</v>
      </c>
      <c r="H61" t="s">
        <v>411</v>
      </c>
      <c r="I61" t="s">
        <v>411</v>
      </c>
      <c r="J61" t="s">
        <v>436</v>
      </c>
      <c r="K61" t="s">
        <v>455</v>
      </c>
      <c r="L61" t="s">
        <v>550</v>
      </c>
      <c r="M61">
        <v>2111</v>
      </c>
      <c r="N61" t="s">
        <v>1193</v>
      </c>
      <c r="O61" t="s">
        <v>1252</v>
      </c>
      <c r="P61" t="s">
        <v>21</v>
      </c>
      <c r="Q61" t="s">
        <v>21</v>
      </c>
      <c r="R61" t="s">
        <v>1258</v>
      </c>
      <c r="S61" t="s">
        <v>1278</v>
      </c>
      <c r="T61" t="s">
        <v>1278</v>
      </c>
      <c r="U61" t="s">
        <v>1347</v>
      </c>
      <c r="V61" t="s">
        <v>1605</v>
      </c>
      <c r="W61" t="s">
        <v>1443</v>
      </c>
    </row>
    <row r="62" spans="1:23" x14ac:dyDescent="0.35">
      <c r="A62">
        <v>50</v>
      </c>
      <c r="B62">
        <v>2116</v>
      </c>
      <c r="C62">
        <v>2116</v>
      </c>
      <c r="D62" t="s">
        <v>21</v>
      </c>
      <c r="E62" t="s">
        <v>30</v>
      </c>
      <c r="F62" t="s">
        <v>245</v>
      </c>
      <c r="G62" t="s">
        <v>406</v>
      </c>
      <c r="H62" t="s">
        <v>411</v>
      </c>
      <c r="I62" t="s">
        <v>411</v>
      </c>
      <c r="J62" t="s">
        <v>436</v>
      </c>
      <c r="K62" t="s">
        <v>455</v>
      </c>
      <c r="L62" t="s">
        <v>551</v>
      </c>
      <c r="M62">
        <v>2109</v>
      </c>
      <c r="N62" t="s">
        <v>1193</v>
      </c>
      <c r="O62" t="s">
        <v>1252</v>
      </c>
      <c r="P62" t="s">
        <v>21</v>
      </c>
      <c r="Q62" t="s">
        <v>21</v>
      </c>
      <c r="R62" t="s">
        <v>1258</v>
      </c>
      <c r="S62" t="s">
        <v>1278</v>
      </c>
      <c r="T62" t="s">
        <v>1278</v>
      </c>
      <c r="U62" t="s">
        <v>1347</v>
      </c>
      <c r="V62" t="s">
        <v>1605</v>
      </c>
      <c r="W62" t="s">
        <v>1443</v>
      </c>
    </row>
    <row r="63" spans="1:23" x14ac:dyDescent="0.35">
      <c r="A63">
        <v>51</v>
      </c>
      <c r="B63">
        <v>2116</v>
      </c>
      <c r="C63">
        <v>2116</v>
      </c>
      <c r="D63" t="s">
        <v>21</v>
      </c>
      <c r="E63" t="s">
        <v>30</v>
      </c>
      <c r="F63" t="s">
        <v>245</v>
      </c>
      <c r="G63" t="s">
        <v>406</v>
      </c>
      <c r="H63" t="s">
        <v>411</v>
      </c>
      <c r="I63" t="s">
        <v>411</v>
      </c>
      <c r="J63" t="s">
        <v>436</v>
      </c>
      <c r="K63" t="s">
        <v>455</v>
      </c>
      <c r="L63" t="s">
        <v>552</v>
      </c>
      <c r="M63">
        <v>2109</v>
      </c>
      <c r="N63" t="s">
        <v>1193</v>
      </c>
      <c r="O63" t="s">
        <v>1252</v>
      </c>
      <c r="P63" t="s">
        <v>21</v>
      </c>
      <c r="Q63" t="s">
        <v>21</v>
      </c>
      <c r="R63" t="s">
        <v>1258</v>
      </c>
      <c r="S63" t="s">
        <v>1278</v>
      </c>
      <c r="T63" t="s">
        <v>1278</v>
      </c>
      <c r="U63" t="s">
        <v>1347</v>
      </c>
      <c r="V63" t="s">
        <v>1605</v>
      </c>
      <c r="W63" t="s">
        <v>1443</v>
      </c>
    </row>
    <row r="64" spans="1:23" x14ac:dyDescent="0.35">
      <c r="A64">
        <v>52</v>
      </c>
      <c r="B64">
        <v>2116</v>
      </c>
      <c r="C64">
        <v>2116</v>
      </c>
      <c r="D64" t="s">
        <v>21</v>
      </c>
      <c r="E64" t="s">
        <v>30</v>
      </c>
      <c r="F64" t="s">
        <v>245</v>
      </c>
      <c r="G64" t="s">
        <v>406</v>
      </c>
      <c r="H64" t="s">
        <v>411</v>
      </c>
      <c r="I64" t="s">
        <v>411</v>
      </c>
      <c r="J64" t="s">
        <v>436</v>
      </c>
      <c r="K64" t="s">
        <v>455</v>
      </c>
      <c r="L64" t="s">
        <v>553</v>
      </c>
      <c r="M64">
        <v>2109</v>
      </c>
      <c r="N64" t="s">
        <v>1193</v>
      </c>
      <c r="O64" t="s">
        <v>1252</v>
      </c>
      <c r="P64" t="s">
        <v>21</v>
      </c>
      <c r="Q64" t="s">
        <v>21</v>
      </c>
      <c r="R64" t="s">
        <v>1258</v>
      </c>
      <c r="S64" t="s">
        <v>1278</v>
      </c>
      <c r="T64" t="s">
        <v>1278</v>
      </c>
      <c r="U64" t="s">
        <v>1347</v>
      </c>
      <c r="V64" t="s">
        <v>1605</v>
      </c>
      <c r="W64" t="s">
        <v>1443</v>
      </c>
    </row>
    <row r="65" spans="1:23" x14ac:dyDescent="0.35">
      <c r="A65">
        <v>53</v>
      </c>
      <c r="B65">
        <v>2116</v>
      </c>
      <c r="C65">
        <v>2116</v>
      </c>
      <c r="D65" t="s">
        <v>21</v>
      </c>
      <c r="E65" t="s">
        <v>30</v>
      </c>
      <c r="F65" t="s">
        <v>245</v>
      </c>
      <c r="G65" t="s">
        <v>406</v>
      </c>
      <c r="H65" t="s">
        <v>411</v>
      </c>
      <c r="I65" t="s">
        <v>411</v>
      </c>
      <c r="J65" t="s">
        <v>436</v>
      </c>
      <c r="K65" t="s">
        <v>455</v>
      </c>
      <c r="L65" t="s">
        <v>554</v>
      </c>
      <c r="M65">
        <v>2109</v>
      </c>
      <c r="N65" t="s">
        <v>1193</v>
      </c>
      <c r="O65" t="s">
        <v>1252</v>
      </c>
      <c r="P65" t="s">
        <v>21</v>
      </c>
      <c r="Q65" t="s">
        <v>21</v>
      </c>
      <c r="R65" t="s">
        <v>1258</v>
      </c>
      <c r="S65" t="s">
        <v>1278</v>
      </c>
      <c r="T65" t="s">
        <v>1278</v>
      </c>
      <c r="U65" t="s">
        <v>1347</v>
      </c>
      <c r="V65" t="s">
        <v>1605</v>
      </c>
      <c r="W65" t="s">
        <v>1443</v>
      </c>
    </row>
    <row r="66" spans="1:23" x14ac:dyDescent="0.35">
      <c r="A66">
        <v>54</v>
      </c>
      <c r="B66">
        <v>2116</v>
      </c>
      <c r="C66">
        <v>2116</v>
      </c>
      <c r="D66" t="s">
        <v>21</v>
      </c>
      <c r="E66" t="s">
        <v>30</v>
      </c>
      <c r="F66" t="s">
        <v>245</v>
      </c>
      <c r="G66" t="s">
        <v>406</v>
      </c>
      <c r="H66" t="s">
        <v>411</v>
      </c>
      <c r="I66" t="s">
        <v>411</v>
      </c>
      <c r="J66" t="s">
        <v>436</v>
      </c>
      <c r="K66" t="s">
        <v>455</v>
      </c>
      <c r="L66" t="s">
        <v>555</v>
      </c>
      <c r="M66">
        <v>2109</v>
      </c>
      <c r="N66" t="s">
        <v>1193</v>
      </c>
      <c r="O66" t="s">
        <v>1252</v>
      </c>
      <c r="P66" t="s">
        <v>21</v>
      </c>
      <c r="Q66" t="s">
        <v>21</v>
      </c>
      <c r="R66" t="s">
        <v>1258</v>
      </c>
      <c r="S66" t="s">
        <v>1278</v>
      </c>
      <c r="T66" t="s">
        <v>1278</v>
      </c>
      <c r="U66" t="s">
        <v>1347</v>
      </c>
      <c r="V66" t="s">
        <v>1605</v>
      </c>
      <c r="W66" t="s">
        <v>1443</v>
      </c>
    </row>
    <row r="67" spans="1:23" x14ac:dyDescent="0.35">
      <c r="A67">
        <v>55</v>
      </c>
      <c r="B67">
        <v>2116</v>
      </c>
      <c r="C67">
        <v>2116</v>
      </c>
      <c r="D67" t="s">
        <v>21</v>
      </c>
      <c r="E67" t="s">
        <v>30</v>
      </c>
      <c r="F67" t="s">
        <v>245</v>
      </c>
      <c r="G67" t="s">
        <v>406</v>
      </c>
      <c r="H67" t="s">
        <v>411</v>
      </c>
      <c r="I67" t="s">
        <v>411</v>
      </c>
      <c r="J67" t="s">
        <v>436</v>
      </c>
      <c r="K67" t="s">
        <v>455</v>
      </c>
      <c r="L67" t="s">
        <v>556</v>
      </c>
      <c r="M67">
        <v>2109</v>
      </c>
      <c r="N67" t="s">
        <v>1193</v>
      </c>
      <c r="O67" t="s">
        <v>1252</v>
      </c>
      <c r="P67" t="s">
        <v>21</v>
      </c>
      <c r="Q67" t="s">
        <v>21</v>
      </c>
      <c r="R67" t="s">
        <v>1258</v>
      </c>
      <c r="S67" t="s">
        <v>1278</v>
      </c>
      <c r="T67" t="s">
        <v>1278</v>
      </c>
      <c r="U67" t="s">
        <v>1347</v>
      </c>
      <c r="V67" t="s">
        <v>1605</v>
      </c>
      <c r="W67" t="s">
        <v>1443</v>
      </c>
    </row>
    <row r="68" spans="1:23" x14ac:dyDescent="0.35">
      <c r="A68">
        <v>56</v>
      </c>
      <c r="B68">
        <v>2116</v>
      </c>
      <c r="C68">
        <v>2116</v>
      </c>
      <c r="D68" t="s">
        <v>21</v>
      </c>
      <c r="E68" t="s">
        <v>30</v>
      </c>
      <c r="F68" t="s">
        <v>245</v>
      </c>
      <c r="G68" t="s">
        <v>406</v>
      </c>
      <c r="H68" t="s">
        <v>411</v>
      </c>
      <c r="I68" t="s">
        <v>411</v>
      </c>
      <c r="J68" t="s">
        <v>436</v>
      </c>
      <c r="K68" t="s">
        <v>455</v>
      </c>
      <c r="L68" t="s">
        <v>557</v>
      </c>
      <c r="M68">
        <v>2109</v>
      </c>
      <c r="N68" t="s">
        <v>1193</v>
      </c>
      <c r="O68" t="s">
        <v>1252</v>
      </c>
      <c r="P68" t="s">
        <v>21</v>
      </c>
      <c r="Q68" t="s">
        <v>21</v>
      </c>
      <c r="R68" t="s">
        <v>1258</v>
      </c>
      <c r="S68" t="s">
        <v>1278</v>
      </c>
      <c r="T68" t="s">
        <v>1278</v>
      </c>
      <c r="U68" t="s">
        <v>1347</v>
      </c>
      <c r="V68" t="s">
        <v>1605</v>
      </c>
      <c r="W68" t="s">
        <v>1443</v>
      </c>
    </row>
    <row r="69" spans="1:23" x14ac:dyDescent="0.35">
      <c r="A69">
        <v>57</v>
      </c>
      <c r="B69">
        <v>2116</v>
      </c>
      <c r="C69">
        <v>2116</v>
      </c>
      <c r="D69" t="s">
        <v>21</v>
      </c>
      <c r="E69" t="s">
        <v>30</v>
      </c>
      <c r="F69" t="s">
        <v>245</v>
      </c>
      <c r="G69" t="s">
        <v>406</v>
      </c>
      <c r="H69" t="s">
        <v>411</v>
      </c>
      <c r="I69" t="s">
        <v>411</v>
      </c>
      <c r="J69" t="s">
        <v>436</v>
      </c>
      <c r="K69" t="s">
        <v>455</v>
      </c>
      <c r="L69" t="s">
        <v>558</v>
      </c>
      <c r="M69">
        <v>2109</v>
      </c>
      <c r="N69" t="s">
        <v>1193</v>
      </c>
      <c r="O69" t="s">
        <v>1252</v>
      </c>
      <c r="P69" t="s">
        <v>21</v>
      </c>
      <c r="Q69" t="s">
        <v>21</v>
      </c>
      <c r="R69" t="s">
        <v>1258</v>
      </c>
      <c r="S69" t="s">
        <v>1278</v>
      </c>
      <c r="T69" t="s">
        <v>1278</v>
      </c>
      <c r="U69" t="s">
        <v>1347</v>
      </c>
      <c r="V69" t="s">
        <v>1605</v>
      </c>
      <c r="W69" t="s">
        <v>1443</v>
      </c>
    </row>
    <row r="70" spans="1:23" x14ac:dyDescent="0.35">
      <c r="A70">
        <v>58</v>
      </c>
      <c r="B70">
        <v>2116</v>
      </c>
      <c r="C70">
        <v>2116</v>
      </c>
      <c r="D70" t="s">
        <v>21</v>
      </c>
      <c r="E70" t="s">
        <v>30</v>
      </c>
      <c r="F70" t="s">
        <v>245</v>
      </c>
      <c r="G70" t="s">
        <v>406</v>
      </c>
      <c r="H70" t="s">
        <v>411</v>
      </c>
      <c r="I70" t="s">
        <v>411</v>
      </c>
      <c r="J70" t="s">
        <v>436</v>
      </c>
      <c r="K70" t="s">
        <v>455</v>
      </c>
      <c r="L70" t="s">
        <v>559</v>
      </c>
      <c r="M70">
        <v>2109</v>
      </c>
      <c r="N70" t="s">
        <v>1193</v>
      </c>
      <c r="O70" t="s">
        <v>1252</v>
      </c>
      <c r="P70" t="s">
        <v>21</v>
      </c>
      <c r="Q70" t="s">
        <v>21</v>
      </c>
      <c r="R70" t="s">
        <v>1258</v>
      </c>
      <c r="S70" t="s">
        <v>1278</v>
      </c>
      <c r="T70" t="s">
        <v>1278</v>
      </c>
      <c r="U70" t="s">
        <v>1347</v>
      </c>
      <c r="V70" t="s">
        <v>1605</v>
      </c>
      <c r="W70" t="s">
        <v>1443</v>
      </c>
    </row>
    <row r="71" spans="1:23" x14ac:dyDescent="0.35">
      <c r="A71">
        <v>59</v>
      </c>
      <c r="B71">
        <v>2116</v>
      </c>
      <c r="C71">
        <v>2116</v>
      </c>
      <c r="D71" t="s">
        <v>21</v>
      </c>
      <c r="E71" t="s">
        <v>30</v>
      </c>
      <c r="F71" t="s">
        <v>245</v>
      </c>
      <c r="G71" t="s">
        <v>406</v>
      </c>
      <c r="H71" t="s">
        <v>411</v>
      </c>
      <c r="I71" t="s">
        <v>411</v>
      </c>
      <c r="J71" t="s">
        <v>436</v>
      </c>
      <c r="K71" t="s">
        <v>455</v>
      </c>
      <c r="L71" t="s">
        <v>560</v>
      </c>
      <c r="M71">
        <v>2109</v>
      </c>
      <c r="N71" t="s">
        <v>1193</v>
      </c>
      <c r="O71" t="s">
        <v>1252</v>
      </c>
      <c r="P71" t="s">
        <v>21</v>
      </c>
      <c r="Q71" t="s">
        <v>21</v>
      </c>
      <c r="R71" t="s">
        <v>1258</v>
      </c>
      <c r="S71" t="s">
        <v>1278</v>
      </c>
      <c r="T71" t="s">
        <v>1278</v>
      </c>
      <c r="U71" t="s">
        <v>1347</v>
      </c>
      <c r="V71" t="s">
        <v>1605</v>
      </c>
      <c r="W71" t="s">
        <v>1443</v>
      </c>
    </row>
    <row r="72" spans="1:23" x14ac:dyDescent="0.35">
      <c r="A72">
        <v>60</v>
      </c>
      <c r="B72">
        <v>2116</v>
      </c>
      <c r="C72">
        <v>2116</v>
      </c>
      <c r="D72" t="s">
        <v>21</v>
      </c>
      <c r="E72" t="s">
        <v>30</v>
      </c>
      <c r="F72" t="s">
        <v>245</v>
      </c>
      <c r="G72" t="s">
        <v>406</v>
      </c>
      <c r="H72" t="s">
        <v>411</v>
      </c>
      <c r="I72" t="s">
        <v>411</v>
      </c>
      <c r="J72" t="s">
        <v>436</v>
      </c>
      <c r="K72" t="s">
        <v>455</v>
      </c>
      <c r="L72" t="s">
        <v>561</v>
      </c>
      <c r="M72">
        <v>2109</v>
      </c>
      <c r="N72" t="s">
        <v>1193</v>
      </c>
      <c r="O72" t="s">
        <v>1252</v>
      </c>
      <c r="P72" t="s">
        <v>21</v>
      </c>
      <c r="Q72" t="s">
        <v>21</v>
      </c>
      <c r="R72" t="s">
        <v>1258</v>
      </c>
      <c r="S72" t="s">
        <v>1278</v>
      </c>
      <c r="T72" t="s">
        <v>1278</v>
      </c>
      <c r="U72" t="s">
        <v>1347</v>
      </c>
      <c r="V72" t="s">
        <v>1605</v>
      </c>
      <c r="W72" t="s">
        <v>1443</v>
      </c>
    </row>
    <row r="73" spans="1:23" x14ac:dyDescent="0.35">
      <c r="A73">
        <v>61</v>
      </c>
      <c r="B73">
        <v>2116</v>
      </c>
      <c r="C73">
        <v>2116</v>
      </c>
      <c r="D73" t="s">
        <v>21</v>
      </c>
      <c r="E73" t="s">
        <v>30</v>
      </c>
      <c r="F73" t="s">
        <v>245</v>
      </c>
      <c r="G73" t="s">
        <v>406</v>
      </c>
      <c r="H73" t="s">
        <v>411</v>
      </c>
      <c r="I73" t="s">
        <v>411</v>
      </c>
      <c r="J73" t="s">
        <v>436</v>
      </c>
      <c r="K73" t="s">
        <v>455</v>
      </c>
      <c r="L73" t="s">
        <v>562</v>
      </c>
      <c r="M73">
        <v>2109</v>
      </c>
      <c r="N73" t="s">
        <v>1193</v>
      </c>
      <c r="O73" t="s">
        <v>1252</v>
      </c>
      <c r="P73" t="s">
        <v>21</v>
      </c>
      <c r="Q73" t="s">
        <v>21</v>
      </c>
      <c r="R73" t="s">
        <v>1258</v>
      </c>
      <c r="S73" t="s">
        <v>1278</v>
      </c>
      <c r="T73" t="s">
        <v>1278</v>
      </c>
      <c r="U73" t="s">
        <v>1347</v>
      </c>
      <c r="V73" t="s">
        <v>1605</v>
      </c>
      <c r="W73" t="s">
        <v>1443</v>
      </c>
    </row>
    <row r="74" spans="1:23" x14ac:dyDescent="0.35">
      <c r="A74">
        <v>62</v>
      </c>
      <c r="B74">
        <v>2116</v>
      </c>
      <c r="C74">
        <v>2116</v>
      </c>
      <c r="D74" t="s">
        <v>21</v>
      </c>
      <c r="E74" t="s">
        <v>30</v>
      </c>
      <c r="F74" t="s">
        <v>245</v>
      </c>
      <c r="G74" t="s">
        <v>406</v>
      </c>
      <c r="H74" t="s">
        <v>411</v>
      </c>
      <c r="I74" t="s">
        <v>411</v>
      </c>
      <c r="J74" t="s">
        <v>436</v>
      </c>
      <c r="K74" t="s">
        <v>455</v>
      </c>
      <c r="L74" t="s">
        <v>563</v>
      </c>
      <c r="M74">
        <v>2109</v>
      </c>
      <c r="N74" t="s">
        <v>1193</v>
      </c>
      <c r="O74" t="s">
        <v>1252</v>
      </c>
      <c r="P74" t="s">
        <v>21</v>
      </c>
      <c r="Q74" t="s">
        <v>21</v>
      </c>
      <c r="R74" t="s">
        <v>1258</v>
      </c>
      <c r="S74" t="s">
        <v>1278</v>
      </c>
      <c r="T74" t="s">
        <v>1278</v>
      </c>
      <c r="U74" t="s">
        <v>1347</v>
      </c>
      <c r="V74" t="s">
        <v>1605</v>
      </c>
      <c r="W74" t="s">
        <v>1443</v>
      </c>
    </row>
    <row r="75" spans="1:23" x14ac:dyDescent="0.35">
      <c r="A75">
        <v>63</v>
      </c>
      <c r="B75">
        <v>2116</v>
      </c>
      <c r="C75">
        <v>2116</v>
      </c>
      <c r="D75" t="s">
        <v>21</v>
      </c>
      <c r="E75" t="s">
        <v>30</v>
      </c>
      <c r="F75" t="s">
        <v>245</v>
      </c>
      <c r="G75" t="s">
        <v>406</v>
      </c>
      <c r="H75" t="s">
        <v>411</v>
      </c>
      <c r="I75" t="s">
        <v>411</v>
      </c>
      <c r="J75" t="s">
        <v>436</v>
      </c>
      <c r="K75" t="s">
        <v>455</v>
      </c>
      <c r="L75" t="s">
        <v>564</v>
      </c>
      <c r="M75">
        <v>2109</v>
      </c>
      <c r="N75" t="s">
        <v>1193</v>
      </c>
      <c r="O75" t="s">
        <v>1252</v>
      </c>
      <c r="P75" t="s">
        <v>21</v>
      </c>
      <c r="Q75" t="s">
        <v>21</v>
      </c>
      <c r="R75" t="s">
        <v>1258</v>
      </c>
      <c r="S75" t="s">
        <v>1278</v>
      </c>
      <c r="T75" t="s">
        <v>1278</v>
      </c>
      <c r="U75" t="s">
        <v>1347</v>
      </c>
      <c r="V75" t="s">
        <v>1605</v>
      </c>
      <c r="W75" t="s">
        <v>1443</v>
      </c>
    </row>
    <row r="76" spans="1:23" x14ac:dyDescent="0.35">
      <c r="A76">
        <v>64</v>
      </c>
      <c r="B76">
        <v>2116</v>
      </c>
      <c r="C76">
        <v>2116</v>
      </c>
      <c r="D76" t="s">
        <v>21</v>
      </c>
      <c r="E76" t="s">
        <v>30</v>
      </c>
      <c r="F76" t="s">
        <v>245</v>
      </c>
      <c r="G76" t="s">
        <v>406</v>
      </c>
      <c r="H76" t="s">
        <v>411</v>
      </c>
      <c r="I76" t="s">
        <v>411</v>
      </c>
      <c r="J76" t="s">
        <v>436</v>
      </c>
      <c r="K76" t="s">
        <v>455</v>
      </c>
      <c r="L76" t="s">
        <v>565</v>
      </c>
      <c r="M76">
        <v>2109</v>
      </c>
      <c r="N76" t="s">
        <v>1193</v>
      </c>
      <c r="O76" t="s">
        <v>1252</v>
      </c>
      <c r="P76" t="s">
        <v>21</v>
      </c>
      <c r="Q76" t="s">
        <v>21</v>
      </c>
      <c r="R76" t="s">
        <v>1258</v>
      </c>
      <c r="S76" t="s">
        <v>1278</v>
      </c>
      <c r="T76" t="s">
        <v>1278</v>
      </c>
      <c r="U76" t="s">
        <v>1347</v>
      </c>
      <c r="V76" t="s">
        <v>1605</v>
      </c>
      <c r="W76" t="s">
        <v>1443</v>
      </c>
    </row>
    <row r="77" spans="1:23" x14ac:dyDescent="0.35">
      <c r="A77">
        <v>65</v>
      </c>
      <c r="B77">
        <v>2116</v>
      </c>
      <c r="C77">
        <v>2116</v>
      </c>
      <c r="D77" t="s">
        <v>21</v>
      </c>
      <c r="E77" t="s">
        <v>30</v>
      </c>
      <c r="F77" t="s">
        <v>245</v>
      </c>
      <c r="G77" t="s">
        <v>406</v>
      </c>
      <c r="H77" t="s">
        <v>411</v>
      </c>
      <c r="I77" t="s">
        <v>411</v>
      </c>
      <c r="J77" t="s">
        <v>436</v>
      </c>
      <c r="K77" t="s">
        <v>455</v>
      </c>
      <c r="L77" t="s">
        <v>566</v>
      </c>
      <c r="M77">
        <v>2109</v>
      </c>
      <c r="N77" t="s">
        <v>1193</v>
      </c>
      <c r="O77" t="s">
        <v>1252</v>
      </c>
      <c r="P77" t="s">
        <v>21</v>
      </c>
      <c r="Q77" t="s">
        <v>21</v>
      </c>
      <c r="R77" t="s">
        <v>1258</v>
      </c>
      <c r="S77" t="s">
        <v>1278</v>
      </c>
      <c r="T77" t="s">
        <v>1278</v>
      </c>
      <c r="U77" t="s">
        <v>1347</v>
      </c>
      <c r="V77" t="s">
        <v>1605</v>
      </c>
      <c r="W77" t="s">
        <v>1443</v>
      </c>
    </row>
    <row r="78" spans="1:23" x14ac:dyDescent="0.35">
      <c r="A78">
        <v>66</v>
      </c>
      <c r="B78">
        <v>2116</v>
      </c>
      <c r="C78">
        <v>2116</v>
      </c>
      <c r="D78" t="s">
        <v>21</v>
      </c>
      <c r="E78" t="s">
        <v>30</v>
      </c>
      <c r="F78" t="s">
        <v>245</v>
      </c>
      <c r="G78" t="s">
        <v>406</v>
      </c>
      <c r="H78" t="s">
        <v>411</v>
      </c>
      <c r="I78" t="s">
        <v>411</v>
      </c>
      <c r="J78" t="s">
        <v>436</v>
      </c>
      <c r="K78" t="s">
        <v>455</v>
      </c>
      <c r="L78" t="s">
        <v>567</v>
      </c>
      <c r="M78">
        <v>2109</v>
      </c>
      <c r="N78" t="s">
        <v>1193</v>
      </c>
      <c r="O78" t="s">
        <v>1252</v>
      </c>
      <c r="P78" t="s">
        <v>21</v>
      </c>
      <c r="Q78" t="s">
        <v>21</v>
      </c>
      <c r="R78" t="s">
        <v>1258</v>
      </c>
      <c r="S78" t="s">
        <v>1278</v>
      </c>
      <c r="T78" t="s">
        <v>1278</v>
      </c>
      <c r="U78" t="s">
        <v>1347</v>
      </c>
      <c r="V78" t="s">
        <v>1605</v>
      </c>
      <c r="W78" t="s">
        <v>1443</v>
      </c>
    </row>
    <row r="79" spans="1:23" x14ac:dyDescent="0.35">
      <c r="A79">
        <v>67</v>
      </c>
      <c r="B79">
        <v>2116</v>
      </c>
      <c r="C79">
        <v>2116</v>
      </c>
      <c r="D79" t="s">
        <v>21</v>
      </c>
      <c r="E79" t="s">
        <v>30</v>
      </c>
      <c r="F79" t="s">
        <v>245</v>
      </c>
      <c r="G79" t="s">
        <v>406</v>
      </c>
      <c r="H79" t="s">
        <v>411</v>
      </c>
      <c r="I79" t="s">
        <v>411</v>
      </c>
      <c r="J79" t="s">
        <v>436</v>
      </c>
      <c r="K79" t="s">
        <v>455</v>
      </c>
      <c r="L79" t="s">
        <v>568</v>
      </c>
      <c r="M79">
        <v>2109</v>
      </c>
      <c r="N79" t="s">
        <v>1193</v>
      </c>
      <c r="O79" t="s">
        <v>1252</v>
      </c>
      <c r="P79" t="s">
        <v>21</v>
      </c>
      <c r="Q79" t="s">
        <v>21</v>
      </c>
      <c r="R79" t="s">
        <v>1258</v>
      </c>
      <c r="S79" t="s">
        <v>1278</v>
      </c>
      <c r="T79" t="s">
        <v>1278</v>
      </c>
      <c r="U79" t="s">
        <v>1347</v>
      </c>
      <c r="V79" t="s">
        <v>1605</v>
      </c>
      <c r="W79" t="s">
        <v>1443</v>
      </c>
    </row>
    <row r="80" spans="1:23" x14ac:dyDescent="0.35">
      <c r="A80">
        <v>68</v>
      </c>
      <c r="B80">
        <v>2116</v>
      </c>
      <c r="C80">
        <v>2116</v>
      </c>
      <c r="D80" t="s">
        <v>21</v>
      </c>
      <c r="E80" t="s">
        <v>30</v>
      </c>
      <c r="F80" t="s">
        <v>245</v>
      </c>
      <c r="G80" t="s">
        <v>406</v>
      </c>
      <c r="H80" t="s">
        <v>411</v>
      </c>
      <c r="I80" t="s">
        <v>411</v>
      </c>
      <c r="J80" t="s">
        <v>436</v>
      </c>
      <c r="K80" t="s">
        <v>455</v>
      </c>
      <c r="L80" t="s">
        <v>569</v>
      </c>
      <c r="M80">
        <v>2109</v>
      </c>
      <c r="N80" t="s">
        <v>1193</v>
      </c>
      <c r="O80" t="s">
        <v>1252</v>
      </c>
      <c r="P80" t="s">
        <v>21</v>
      </c>
      <c r="Q80" t="s">
        <v>21</v>
      </c>
      <c r="R80" t="s">
        <v>1258</v>
      </c>
      <c r="S80" t="s">
        <v>1278</v>
      </c>
      <c r="T80" t="s">
        <v>1278</v>
      </c>
      <c r="U80" t="s">
        <v>1347</v>
      </c>
      <c r="V80" t="s">
        <v>1605</v>
      </c>
      <c r="W80" t="s">
        <v>1443</v>
      </c>
    </row>
    <row r="81" spans="1:23" x14ac:dyDescent="0.35">
      <c r="A81">
        <v>69</v>
      </c>
      <c r="B81">
        <v>2116</v>
      </c>
      <c r="C81">
        <v>2116</v>
      </c>
      <c r="D81" t="s">
        <v>21</v>
      </c>
      <c r="E81" t="s">
        <v>30</v>
      </c>
      <c r="F81" t="s">
        <v>245</v>
      </c>
      <c r="G81" t="s">
        <v>406</v>
      </c>
      <c r="H81" t="s">
        <v>411</v>
      </c>
      <c r="I81" t="s">
        <v>411</v>
      </c>
      <c r="J81" t="s">
        <v>436</v>
      </c>
      <c r="K81" t="s">
        <v>455</v>
      </c>
      <c r="L81" t="s">
        <v>570</v>
      </c>
      <c r="M81">
        <v>2109</v>
      </c>
      <c r="N81" t="s">
        <v>1193</v>
      </c>
      <c r="O81" t="s">
        <v>1252</v>
      </c>
      <c r="P81" t="s">
        <v>21</v>
      </c>
      <c r="Q81" t="s">
        <v>21</v>
      </c>
      <c r="R81" t="s">
        <v>1258</v>
      </c>
      <c r="S81" t="s">
        <v>1278</v>
      </c>
      <c r="T81" t="s">
        <v>1278</v>
      </c>
      <c r="U81" t="s">
        <v>1347</v>
      </c>
      <c r="V81" t="s">
        <v>1605</v>
      </c>
      <c r="W81" t="s">
        <v>1443</v>
      </c>
    </row>
    <row r="82" spans="1:23" x14ac:dyDescent="0.35">
      <c r="A82">
        <v>70</v>
      </c>
      <c r="B82">
        <v>2116</v>
      </c>
      <c r="C82">
        <v>2116</v>
      </c>
      <c r="D82" t="s">
        <v>21</v>
      </c>
      <c r="E82" t="s">
        <v>30</v>
      </c>
      <c r="F82" t="s">
        <v>245</v>
      </c>
      <c r="G82" t="s">
        <v>406</v>
      </c>
      <c r="H82" t="s">
        <v>411</v>
      </c>
      <c r="I82" t="s">
        <v>411</v>
      </c>
      <c r="J82" t="s">
        <v>436</v>
      </c>
      <c r="K82" t="s">
        <v>455</v>
      </c>
      <c r="L82" t="s">
        <v>571</v>
      </c>
      <c r="M82">
        <v>2109</v>
      </c>
      <c r="N82" t="s">
        <v>1193</v>
      </c>
      <c r="O82" t="s">
        <v>1252</v>
      </c>
      <c r="P82" t="s">
        <v>21</v>
      </c>
      <c r="Q82" t="s">
        <v>21</v>
      </c>
      <c r="R82" t="s">
        <v>1258</v>
      </c>
      <c r="S82" t="s">
        <v>1278</v>
      </c>
      <c r="T82" t="s">
        <v>1278</v>
      </c>
      <c r="U82" t="s">
        <v>1347</v>
      </c>
      <c r="V82" t="s">
        <v>1605</v>
      </c>
      <c r="W82" t="s">
        <v>1443</v>
      </c>
    </row>
    <row r="83" spans="1:23" x14ac:dyDescent="0.35">
      <c r="A83">
        <v>71</v>
      </c>
      <c r="B83">
        <v>2116</v>
      </c>
      <c r="C83">
        <v>2116</v>
      </c>
      <c r="D83" t="s">
        <v>21</v>
      </c>
      <c r="E83" t="s">
        <v>30</v>
      </c>
      <c r="F83" t="s">
        <v>245</v>
      </c>
      <c r="G83" t="s">
        <v>406</v>
      </c>
      <c r="H83" t="s">
        <v>411</v>
      </c>
      <c r="I83" t="s">
        <v>411</v>
      </c>
      <c r="J83" t="s">
        <v>436</v>
      </c>
      <c r="K83" t="s">
        <v>455</v>
      </c>
      <c r="L83" t="s">
        <v>572</v>
      </c>
      <c r="M83">
        <v>2109</v>
      </c>
      <c r="N83" t="s">
        <v>1193</v>
      </c>
      <c r="O83" t="s">
        <v>1252</v>
      </c>
      <c r="P83" t="s">
        <v>21</v>
      </c>
      <c r="Q83" t="s">
        <v>21</v>
      </c>
      <c r="R83" t="s">
        <v>1258</v>
      </c>
      <c r="S83" t="s">
        <v>1278</v>
      </c>
      <c r="T83" t="s">
        <v>1278</v>
      </c>
      <c r="U83" t="s">
        <v>1347</v>
      </c>
      <c r="V83" t="s">
        <v>1605</v>
      </c>
      <c r="W83" t="s">
        <v>1443</v>
      </c>
    </row>
    <row r="84" spans="1:23" x14ac:dyDescent="0.35">
      <c r="A84">
        <v>72</v>
      </c>
      <c r="B84">
        <v>2116</v>
      </c>
      <c r="C84">
        <v>2116</v>
      </c>
      <c r="D84" t="s">
        <v>21</v>
      </c>
      <c r="E84" t="s">
        <v>30</v>
      </c>
      <c r="F84" t="s">
        <v>245</v>
      </c>
      <c r="G84" t="s">
        <v>406</v>
      </c>
      <c r="H84" t="s">
        <v>411</v>
      </c>
      <c r="I84" t="s">
        <v>411</v>
      </c>
      <c r="J84" t="s">
        <v>436</v>
      </c>
      <c r="K84" t="s">
        <v>455</v>
      </c>
      <c r="L84" t="s">
        <v>573</v>
      </c>
      <c r="M84">
        <v>2109</v>
      </c>
      <c r="N84" t="s">
        <v>1193</v>
      </c>
      <c r="O84" t="s">
        <v>1252</v>
      </c>
      <c r="P84" t="s">
        <v>21</v>
      </c>
      <c r="Q84" t="s">
        <v>21</v>
      </c>
      <c r="R84" t="s">
        <v>1258</v>
      </c>
      <c r="S84" t="s">
        <v>1278</v>
      </c>
      <c r="T84" t="s">
        <v>1278</v>
      </c>
      <c r="U84" t="s">
        <v>1347</v>
      </c>
      <c r="V84" t="s">
        <v>1605</v>
      </c>
      <c r="W84" t="s">
        <v>1443</v>
      </c>
    </row>
    <row r="85" spans="1:23" x14ac:dyDescent="0.35">
      <c r="A85">
        <v>73</v>
      </c>
      <c r="B85">
        <v>2116</v>
      </c>
      <c r="C85">
        <v>2116</v>
      </c>
      <c r="D85" t="s">
        <v>21</v>
      </c>
      <c r="E85" t="s">
        <v>30</v>
      </c>
      <c r="F85" t="s">
        <v>245</v>
      </c>
      <c r="G85" t="s">
        <v>406</v>
      </c>
      <c r="H85" t="s">
        <v>411</v>
      </c>
      <c r="I85" t="s">
        <v>411</v>
      </c>
      <c r="J85" t="s">
        <v>436</v>
      </c>
      <c r="K85" t="s">
        <v>455</v>
      </c>
      <c r="L85" t="s">
        <v>574</v>
      </c>
      <c r="M85">
        <v>2109</v>
      </c>
      <c r="N85" t="s">
        <v>1193</v>
      </c>
      <c r="O85" t="s">
        <v>1252</v>
      </c>
      <c r="P85" t="s">
        <v>21</v>
      </c>
      <c r="Q85" t="s">
        <v>21</v>
      </c>
      <c r="R85" t="s">
        <v>1258</v>
      </c>
      <c r="S85" t="s">
        <v>1278</v>
      </c>
      <c r="T85" t="s">
        <v>1278</v>
      </c>
      <c r="U85" t="s">
        <v>1347</v>
      </c>
      <c r="V85" t="s">
        <v>1605</v>
      </c>
      <c r="W85" t="s">
        <v>1443</v>
      </c>
    </row>
    <row r="86" spans="1:23" x14ac:dyDescent="0.35">
      <c r="A86">
        <v>74</v>
      </c>
      <c r="B86">
        <v>2116</v>
      </c>
      <c r="C86">
        <v>2116</v>
      </c>
      <c r="D86" t="s">
        <v>21</v>
      </c>
      <c r="E86" t="s">
        <v>30</v>
      </c>
      <c r="F86" t="s">
        <v>245</v>
      </c>
      <c r="G86" t="s">
        <v>406</v>
      </c>
      <c r="H86" t="s">
        <v>411</v>
      </c>
      <c r="I86" t="s">
        <v>411</v>
      </c>
      <c r="J86" t="s">
        <v>436</v>
      </c>
      <c r="K86" t="s">
        <v>455</v>
      </c>
      <c r="L86" t="s">
        <v>575</v>
      </c>
      <c r="M86">
        <v>2109</v>
      </c>
      <c r="N86" t="s">
        <v>1193</v>
      </c>
      <c r="O86" t="s">
        <v>1252</v>
      </c>
      <c r="P86" t="s">
        <v>21</v>
      </c>
      <c r="Q86" t="s">
        <v>21</v>
      </c>
      <c r="R86" t="s">
        <v>1258</v>
      </c>
      <c r="S86" t="s">
        <v>1278</v>
      </c>
      <c r="T86" t="s">
        <v>1278</v>
      </c>
      <c r="U86" t="s">
        <v>1347</v>
      </c>
      <c r="V86" t="s">
        <v>1605</v>
      </c>
      <c r="W86" t="s">
        <v>1443</v>
      </c>
    </row>
    <row r="87" spans="1:23" x14ac:dyDescent="0.35">
      <c r="A87">
        <v>75</v>
      </c>
      <c r="B87">
        <v>2116</v>
      </c>
      <c r="C87">
        <v>2116</v>
      </c>
      <c r="D87" t="s">
        <v>21</v>
      </c>
      <c r="E87" t="s">
        <v>30</v>
      </c>
      <c r="F87" t="s">
        <v>245</v>
      </c>
      <c r="G87" t="s">
        <v>406</v>
      </c>
      <c r="H87" t="s">
        <v>411</v>
      </c>
      <c r="I87" t="s">
        <v>411</v>
      </c>
      <c r="J87" t="s">
        <v>436</v>
      </c>
      <c r="K87" t="s">
        <v>455</v>
      </c>
      <c r="L87" t="s">
        <v>576</v>
      </c>
      <c r="M87">
        <v>2109</v>
      </c>
      <c r="N87" t="s">
        <v>1193</v>
      </c>
      <c r="O87" t="s">
        <v>1252</v>
      </c>
      <c r="P87" t="s">
        <v>21</v>
      </c>
      <c r="Q87" t="s">
        <v>21</v>
      </c>
      <c r="R87" t="s">
        <v>1258</v>
      </c>
      <c r="S87" t="s">
        <v>1278</v>
      </c>
      <c r="T87" t="s">
        <v>1278</v>
      </c>
      <c r="U87" t="s">
        <v>1347</v>
      </c>
      <c r="V87" t="s">
        <v>1605</v>
      </c>
      <c r="W87" t="s">
        <v>1443</v>
      </c>
    </row>
    <row r="88" spans="1:23" x14ac:dyDescent="0.35">
      <c r="A88">
        <v>76</v>
      </c>
      <c r="B88">
        <v>2116</v>
      </c>
      <c r="C88">
        <v>2116</v>
      </c>
      <c r="D88" t="s">
        <v>21</v>
      </c>
      <c r="E88" t="s">
        <v>30</v>
      </c>
      <c r="F88" t="s">
        <v>245</v>
      </c>
      <c r="G88" t="s">
        <v>406</v>
      </c>
      <c r="H88" t="s">
        <v>411</v>
      </c>
      <c r="I88" t="s">
        <v>411</v>
      </c>
      <c r="J88" t="s">
        <v>436</v>
      </c>
      <c r="K88" t="s">
        <v>455</v>
      </c>
      <c r="L88" t="s">
        <v>577</v>
      </c>
      <c r="M88">
        <v>2109</v>
      </c>
      <c r="N88" t="s">
        <v>1193</v>
      </c>
      <c r="O88" t="s">
        <v>1252</v>
      </c>
      <c r="P88" t="s">
        <v>21</v>
      </c>
      <c r="Q88" t="s">
        <v>21</v>
      </c>
      <c r="R88" t="s">
        <v>1258</v>
      </c>
      <c r="S88" t="s">
        <v>1278</v>
      </c>
      <c r="T88" t="s">
        <v>1278</v>
      </c>
      <c r="U88" t="s">
        <v>1347</v>
      </c>
      <c r="V88" t="s">
        <v>1605</v>
      </c>
      <c r="W88" t="s">
        <v>1443</v>
      </c>
    </row>
    <row r="89" spans="1:23" x14ac:dyDescent="0.35">
      <c r="A89">
        <v>77</v>
      </c>
      <c r="B89">
        <v>2116</v>
      </c>
      <c r="C89">
        <v>2116</v>
      </c>
      <c r="D89" t="s">
        <v>21</v>
      </c>
      <c r="E89" t="s">
        <v>30</v>
      </c>
      <c r="F89" t="s">
        <v>245</v>
      </c>
      <c r="G89" t="s">
        <v>406</v>
      </c>
      <c r="H89" t="s">
        <v>411</v>
      </c>
      <c r="I89" t="s">
        <v>411</v>
      </c>
      <c r="J89" t="s">
        <v>436</v>
      </c>
      <c r="K89" t="s">
        <v>455</v>
      </c>
      <c r="L89" t="s">
        <v>578</v>
      </c>
      <c r="M89">
        <v>2109</v>
      </c>
      <c r="N89" t="s">
        <v>1193</v>
      </c>
      <c r="O89" t="s">
        <v>1252</v>
      </c>
      <c r="P89" t="s">
        <v>21</v>
      </c>
      <c r="Q89" t="s">
        <v>21</v>
      </c>
      <c r="R89" t="s">
        <v>1258</v>
      </c>
      <c r="S89" t="s">
        <v>1278</v>
      </c>
      <c r="T89" t="s">
        <v>1278</v>
      </c>
      <c r="U89" t="s">
        <v>1347</v>
      </c>
      <c r="V89" t="s">
        <v>1605</v>
      </c>
      <c r="W89" t="s">
        <v>1443</v>
      </c>
    </row>
    <row r="90" spans="1:23" x14ac:dyDescent="0.35">
      <c r="A90">
        <v>78</v>
      </c>
      <c r="B90">
        <v>2116</v>
      </c>
      <c r="C90">
        <v>2116</v>
      </c>
      <c r="D90" t="s">
        <v>21</v>
      </c>
      <c r="E90" t="s">
        <v>30</v>
      </c>
      <c r="F90" t="s">
        <v>245</v>
      </c>
      <c r="G90" t="s">
        <v>406</v>
      </c>
      <c r="H90" t="s">
        <v>411</v>
      </c>
      <c r="I90" t="s">
        <v>411</v>
      </c>
      <c r="J90" t="s">
        <v>436</v>
      </c>
      <c r="K90" t="s">
        <v>455</v>
      </c>
      <c r="L90" t="s">
        <v>579</v>
      </c>
      <c r="M90">
        <v>2109</v>
      </c>
      <c r="N90" t="s">
        <v>1193</v>
      </c>
      <c r="O90" t="s">
        <v>1252</v>
      </c>
      <c r="P90" t="s">
        <v>21</v>
      </c>
      <c r="Q90" t="s">
        <v>21</v>
      </c>
      <c r="R90" t="s">
        <v>1258</v>
      </c>
      <c r="S90" t="s">
        <v>1278</v>
      </c>
      <c r="T90" t="s">
        <v>1278</v>
      </c>
      <c r="U90" t="s">
        <v>1347</v>
      </c>
      <c r="V90" t="s">
        <v>1605</v>
      </c>
      <c r="W90" t="s">
        <v>1443</v>
      </c>
    </row>
    <row r="91" spans="1:23" x14ac:dyDescent="0.35">
      <c r="A91">
        <v>79</v>
      </c>
      <c r="B91">
        <v>2116</v>
      </c>
      <c r="C91">
        <v>2116</v>
      </c>
      <c r="D91" t="s">
        <v>21</v>
      </c>
      <c r="E91" t="s">
        <v>30</v>
      </c>
      <c r="F91" t="s">
        <v>245</v>
      </c>
      <c r="G91" t="s">
        <v>406</v>
      </c>
      <c r="H91" t="s">
        <v>411</v>
      </c>
      <c r="I91" t="s">
        <v>411</v>
      </c>
      <c r="J91" t="s">
        <v>436</v>
      </c>
      <c r="K91" t="s">
        <v>455</v>
      </c>
      <c r="L91" t="s">
        <v>580</v>
      </c>
      <c r="M91">
        <v>2109</v>
      </c>
      <c r="N91" t="s">
        <v>1193</v>
      </c>
      <c r="O91" t="s">
        <v>1252</v>
      </c>
      <c r="P91" t="s">
        <v>21</v>
      </c>
      <c r="Q91" t="s">
        <v>21</v>
      </c>
      <c r="R91" t="s">
        <v>1258</v>
      </c>
      <c r="S91" t="s">
        <v>1278</v>
      </c>
      <c r="T91" t="s">
        <v>1278</v>
      </c>
      <c r="U91" t="s">
        <v>1347</v>
      </c>
      <c r="V91" t="s">
        <v>1605</v>
      </c>
      <c r="W91" t="s">
        <v>1443</v>
      </c>
    </row>
    <row r="92" spans="1:23" x14ac:dyDescent="0.35">
      <c r="A92">
        <v>80</v>
      </c>
      <c r="B92">
        <v>2116</v>
      </c>
      <c r="C92">
        <v>2116</v>
      </c>
      <c r="D92" t="s">
        <v>21</v>
      </c>
      <c r="E92" t="s">
        <v>30</v>
      </c>
      <c r="F92" t="s">
        <v>245</v>
      </c>
      <c r="G92" t="s">
        <v>406</v>
      </c>
      <c r="H92" t="s">
        <v>411</v>
      </c>
      <c r="I92" t="s">
        <v>411</v>
      </c>
      <c r="J92" t="s">
        <v>436</v>
      </c>
      <c r="K92" t="s">
        <v>455</v>
      </c>
      <c r="L92" t="s">
        <v>581</v>
      </c>
      <c r="M92">
        <v>2109</v>
      </c>
      <c r="N92" t="s">
        <v>1193</v>
      </c>
      <c r="O92" t="s">
        <v>1252</v>
      </c>
      <c r="P92" t="s">
        <v>21</v>
      </c>
      <c r="Q92" t="s">
        <v>21</v>
      </c>
      <c r="R92" t="s">
        <v>1258</v>
      </c>
      <c r="S92" t="s">
        <v>1278</v>
      </c>
      <c r="T92" t="s">
        <v>1278</v>
      </c>
      <c r="U92" t="s">
        <v>1347</v>
      </c>
      <c r="V92" t="s">
        <v>1605</v>
      </c>
      <c r="W92" t="s">
        <v>1443</v>
      </c>
    </row>
    <row r="93" spans="1:23" x14ac:dyDescent="0.35">
      <c r="A93">
        <v>81</v>
      </c>
      <c r="B93">
        <v>2116</v>
      </c>
      <c r="C93">
        <v>2116</v>
      </c>
      <c r="D93" t="s">
        <v>21</v>
      </c>
      <c r="E93" t="s">
        <v>30</v>
      </c>
      <c r="F93" t="s">
        <v>245</v>
      </c>
      <c r="G93" t="s">
        <v>406</v>
      </c>
      <c r="H93" t="s">
        <v>411</v>
      </c>
      <c r="I93" t="s">
        <v>411</v>
      </c>
      <c r="J93" t="s">
        <v>436</v>
      </c>
      <c r="K93" t="s">
        <v>455</v>
      </c>
      <c r="L93" t="s">
        <v>582</v>
      </c>
      <c r="M93">
        <v>2109</v>
      </c>
      <c r="N93" t="s">
        <v>1193</v>
      </c>
      <c r="O93" t="s">
        <v>1252</v>
      </c>
      <c r="P93" t="s">
        <v>21</v>
      </c>
      <c r="Q93" t="s">
        <v>21</v>
      </c>
      <c r="R93" t="s">
        <v>1258</v>
      </c>
      <c r="S93" t="s">
        <v>1278</v>
      </c>
      <c r="T93" t="s">
        <v>1278</v>
      </c>
      <c r="U93" t="s">
        <v>1347</v>
      </c>
      <c r="V93" t="s">
        <v>1605</v>
      </c>
      <c r="W93" t="s">
        <v>1443</v>
      </c>
    </row>
    <row r="94" spans="1:23" x14ac:dyDescent="0.35">
      <c r="A94">
        <v>82</v>
      </c>
      <c r="B94">
        <v>2116</v>
      </c>
      <c r="C94">
        <v>2116</v>
      </c>
      <c r="D94" t="s">
        <v>21</v>
      </c>
      <c r="E94" t="s">
        <v>30</v>
      </c>
      <c r="F94" t="s">
        <v>245</v>
      </c>
      <c r="G94" t="s">
        <v>406</v>
      </c>
      <c r="H94" t="s">
        <v>411</v>
      </c>
      <c r="I94" t="s">
        <v>411</v>
      </c>
      <c r="J94" t="s">
        <v>436</v>
      </c>
      <c r="K94" t="s">
        <v>455</v>
      </c>
      <c r="L94" t="s">
        <v>583</v>
      </c>
      <c r="M94">
        <v>2109</v>
      </c>
      <c r="N94" t="s">
        <v>1193</v>
      </c>
      <c r="O94" t="s">
        <v>1252</v>
      </c>
      <c r="P94" t="s">
        <v>21</v>
      </c>
      <c r="Q94" t="s">
        <v>21</v>
      </c>
      <c r="R94" t="s">
        <v>1258</v>
      </c>
      <c r="S94" t="s">
        <v>1278</v>
      </c>
      <c r="T94" t="s">
        <v>1278</v>
      </c>
      <c r="U94" t="s">
        <v>1347</v>
      </c>
      <c r="V94" t="s">
        <v>1605</v>
      </c>
      <c r="W94" t="s">
        <v>1443</v>
      </c>
    </row>
    <row r="95" spans="1:23" x14ac:dyDescent="0.35">
      <c r="A95">
        <v>83</v>
      </c>
      <c r="B95">
        <v>2116</v>
      </c>
      <c r="C95">
        <v>2116</v>
      </c>
      <c r="D95" t="s">
        <v>21</v>
      </c>
      <c r="E95" t="s">
        <v>30</v>
      </c>
      <c r="F95" t="s">
        <v>245</v>
      </c>
      <c r="G95" t="s">
        <v>406</v>
      </c>
      <c r="H95" t="s">
        <v>411</v>
      </c>
      <c r="I95" t="s">
        <v>411</v>
      </c>
      <c r="J95" t="s">
        <v>436</v>
      </c>
      <c r="K95" t="s">
        <v>455</v>
      </c>
      <c r="L95" t="s">
        <v>584</v>
      </c>
      <c r="M95">
        <v>2109</v>
      </c>
      <c r="N95" t="s">
        <v>1193</v>
      </c>
      <c r="O95" t="s">
        <v>1252</v>
      </c>
      <c r="P95" t="s">
        <v>21</v>
      </c>
      <c r="Q95" t="s">
        <v>21</v>
      </c>
      <c r="R95" t="s">
        <v>1258</v>
      </c>
      <c r="S95" t="s">
        <v>1278</v>
      </c>
      <c r="T95" t="s">
        <v>1278</v>
      </c>
      <c r="U95" t="s">
        <v>1347</v>
      </c>
      <c r="V95" t="s">
        <v>1605</v>
      </c>
      <c r="W95" t="s">
        <v>1443</v>
      </c>
    </row>
    <row r="96" spans="1:23" x14ac:dyDescent="0.35">
      <c r="A96">
        <v>84</v>
      </c>
      <c r="B96">
        <v>2116</v>
      </c>
      <c r="C96">
        <v>2116</v>
      </c>
      <c r="D96" t="s">
        <v>21</v>
      </c>
      <c r="E96" t="s">
        <v>30</v>
      </c>
      <c r="F96" t="s">
        <v>245</v>
      </c>
      <c r="G96" t="s">
        <v>406</v>
      </c>
      <c r="H96" t="s">
        <v>411</v>
      </c>
      <c r="I96" t="s">
        <v>411</v>
      </c>
      <c r="J96" t="s">
        <v>436</v>
      </c>
      <c r="K96" t="s">
        <v>455</v>
      </c>
      <c r="L96" t="s">
        <v>585</v>
      </c>
      <c r="M96">
        <v>2109</v>
      </c>
      <c r="N96" t="s">
        <v>1193</v>
      </c>
      <c r="O96" t="s">
        <v>1252</v>
      </c>
      <c r="P96" t="s">
        <v>21</v>
      </c>
      <c r="Q96" t="s">
        <v>21</v>
      </c>
      <c r="R96" t="s">
        <v>1258</v>
      </c>
      <c r="S96" t="s">
        <v>1278</v>
      </c>
      <c r="T96" t="s">
        <v>1278</v>
      </c>
      <c r="U96" t="s">
        <v>1347</v>
      </c>
      <c r="V96" t="s">
        <v>1605</v>
      </c>
      <c r="W96" t="s">
        <v>1443</v>
      </c>
    </row>
    <row r="97" spans="1:23" x14ac:dyDescent="0.35">
      <c r="A97">
        <v>85</v>
      </c>
      <c r="B97">
        <v>2116</v>
      </c>
      <c r="C97">
        <v>2116</v>
      </c>
      <c r="D97" t="s">
        <v>21</v>
      </c>
      <c r="E97" t="s">
        <v>30</v>
      </c>
      <c r="F97" t="s">
        <v>245</v>
      </c>
      <c r="G97" t="s">
        <v>406</v>
      </c>
      <c r="H97" t="s">
        <v>411</v>
      </c>
      <c r="I97" t="s">
        <v>411</v>
      </c>
      <c r="J97" t="s">
        <v>436</v>
      </c>
      <c r="K97" t="s">
        <v>455</v>
      </c>
      <c r="L97" t="s">
        <v>586</v>
      </c>
      <c r="M97">
        <v>2109</v>
      </c>
      <c r="N97" t="s">
        <v>1193</v>
      </c>
      <c r="O97" t="s">
        <v>1252</v>
      </c>
      <c r="P97" t="s">
        <v>21</v>
      </c>
      <c r="Q97" t="s">
        <v>21</v>
      </c>
      <c r="R97" t="s">
        <v>1258</v>
      </c>
      <c r="S97" t="s">
        <v>1278</v>
      </c>
      <c r="T97" t="s">
        <v>1278</v>
      </c>
      <c r="U97" t="s">
        <v>1347</v>
      </c>
      <c r="V97" t="s">
        <v>1605</v>
      </c>
      <c r="W97" t="s">
        <v>1443</v>
      </c>
    </row>
    <row r="98" spans="1:23" x14ac:dyDescent="0.35">
      <c r="A98">
        <v>86</v>
      </c>
      <c r="B98">
        <v>2116</v>
      </c>
      <c r="C98">
        <v>2116</v>
      </c>
      <c r="D98" t="s">
        <v>21</v>
      </c>
      <c r="E98" t="s">
        <v>30</v>
      </c>
      <c r="F98" t="s">
        <v>245</v>
      </c>
      <c r="G98" t="s">
        <v>406</v>
      </c>
      <c r="H98" t="s">
        <v>411</v>
      </c>
      <c r="I98" t="s">
        <v>411</v>
      </c>
      <c r="J98" t="s">
        <v>436</v>
      </c>
      <c r="K98" t="s">
        <v>455</v>
      </c>
      <c r="L98" t="s">
        <v>587</v>
      </c>
      <c r="M98">
        <v>2109</v>
      </c>
      <c r="N98" t="s">
        <v>1193</v>
      </c>
      <c r="O98" t="s">
        <v>1252</v>
      </c>
      <c r="P98" t="s">
        <v>21</v>
      </c>
      <c r="Q98" t="s">
        <v>21</v>
      </c>
      <c r="R98" t="s">
        <v>1258</v>
      </c>
      <c r="S98" t="s">
        <v>1278</v>
      </c>
      <c r="T98" t="s">
        <v>1278</v>
      </c>
      <c r="U98" t="s">
        <v>1347</v>
      </c>
      <c r="V98" t="s">
        <v>1605</v>
      </c>
      <c r="W98" t="s">
        <v>1443</v>
      </c>
    </row>
    <row r="99" spans="1:23" x14ac:dyDescent="0.35">
      <c r="A99">
        <v>87</v>
      </c>
      <c r="B99">
        <v>2116</v>
      </c>
      <c r="C99">
        <v>2116</v>
      </c>
      <c r="D99" t="s">
        <v>21</v>
      </c>
      <c r="E99" t="s">
        <v>30</v>
      </c>
      <c r="F99" t="s">
        <v>245</v>
      </c>
      <c r="G99" t="s">
        <v>406</v>
      </c>
      <c r="H99" t="s">
        <v>411</v>
      </c>
      <c r="I99" t="s">
        <v>411</v>
      </c>
      <c r="J99" t="s">
        <v>436</v>
      </c>
      <c r="K99" t="s">
        <v>455</v>
      </c>
      <c r="L99" t="s">
        <v>588</v>
      </c>
      <c r="M99">
        <v>2109</v>
      </c>
      <c r="N99" t="s">
        <v>1193</v>
      </c>
      <c r="O99" t="s">
        <v>1252</v>
      </c>
      <c r="P99" t="s">
        <v>21</v>
      </c>
      <c r="Q99" t="s">
        <v>21</v>
      </c>
      <c r="R99" t="s">
        <v>1258</v>
      </c>
      <c r="S99" t="s">
        <v>1278</v>
      </c>
      <c r="T99" t="s">
        <v>1278</v>
      </c>
      <c r="U99" t="s">
        <v>1347</v>
      </c>
      <c r="V99" t="s">
        <v>1605</v>
      </c>
      <c r="W99" t="s">
        <v>1443</v>
      </c>
    </row>
    <row r="100" spans="1:23" x14ac:dyDescent="0.35">
      <c r="A100">
        <v>88</v>
      </c>
      <c r="B100">
        <v>2116</v>
      </c>
      <c r="C100">
        <v>2116</v>
      </c>
      <c r="D100" t="s">
        <v>21</v>
      </c>
      <c r="E100" t="s">
        <v>30</v>
      </c>
      <c r="F100" t="s">
        <v>245</v>
      </c>
      <c r="G100" t="s">
        <v>406</v>
      </c>
      <c r="H100" t="s">
        <v>411</v>
      </c>
      <c r="I100" t="s">
        <v>411</v>
      </c>
      <c r="J100" t="s">
        <v>436</v>
      </c>
      <c r="K100" t="s">
        <v>455</v>
      </c>
      <c r="L100" t="s">
        <v>589</v>
      </c>
      <c r="M100">
        <v>2109</v>
      </c>
      <c r="N100" t="s">
        <v>1193</v>
      </c>
      <c r="O100" t="s">
        <v>1252</v>
      </c>
      <c r="P100" t="s">
        <v>21</v>
      </c>
      <c r="Q100" t="s">
        <v>21</v>
      </c>
      <c r="R100" t="s">
        <v>1258</v>
      </c>
      <c r="S100" t="s">
        <v>1278</v>
      </c>
      <c r="T100" t="s">
        <v>1278</v>
      </c>
      <c r="U100" t="s">
        <v>1347</v>
      </c>
      <c r="V100" t="s">
        <v>1605</v>
      </c>
      <c r="W100" t="s">
        <v>1443</v>
      </c>
    </row>
    <row r="101" spans="1:23" x14ac:dyDescent="0.35">
      <c r="A101">
        <v>89</v>
      </c>
      <c r="B101">
        <v>2116</v>
      </c>
      <c r="C101">
        <v>2116</v>
      </c>
      <c r="D101" t="s">
        <v>21</v>
      </c>
      <c r="E101" t="s">
        <v>30</v>
      </c>
      <c r="F101" t="s">
        <v>245</v>
      </c>
      <c r="G101" t="s">
        <v>406</v>
      </c>
      <c r="H101" t="s">
        <v>411</v>
      </c>
      <c r="I101" t="s">
        <v>411</v>
      </c>
      <c r="J101" t="s">
        <v>436</v>
      </c>
      <c r="K101" t="s">
        <v>455</v>
      </c>
      <c r="L101" t="s">
        <v>590</v>
      </c>
      <c r="M101">
        <v>2109</v>
      </c>
      <c r="N101" t="s">
        <v>1193</v>
      </c>
      <c r="O101" t="s">
        <v>1252</v>
      </c>
      <c r="P101" t="s">
        <v>21</v>
      </c>
      <c r="Q101" t="s">
        <v>21</v>
      </c>
      <c r="R101" t="s">
        <v>1258</v>
      </c>
      <c r="S101" t="s">
        <v>1278</v>
      </c>
      <c r="T101" t="s">
        <v>1278</v>
      </c>
      <c r="U101" t="s">
        <v>1347</v>
      </c>
      <c r="V101" t="s">
        <v>1605</v>
      </c>
      <c r="W101" t="s">
        <v>1443</v>
      </c>
    </row>
    <row r="102" spans="1:23" x14ac:dyDescent="0.35">
      <c r="A102">
        <v>90</v>
      </c>
      <c r="B102">
        <v>2116</v>
      </c>
      <c r="C102">
        <v>2116</v>
      </c>
      <c r="D102" t="s">
        <v>21</v>
      </c>
      <c r="E102" t="s">
        <v>30</v>
      </c>
      <c r="F102" t="s">
        <v>245</v>
      </c>
      <c r="G102" t="s">
        <v>406</v>
      </c>
      <c r="H102" t="s">
        <v>411</v>
      </c>
      <c r="I102" t="s">
        <v>411</v>
      </c>
      <c r="J102" t="s">
        <v>436</v>
      </c>
      <c r="K102" t="s">
        <v>455</v>
      </c>
      <c r="L102" t="s">
        <v>591</v>
      </c>
      <c r="M102">
        <v>2109</v>
      </c>
      <c r="N102" t="s">
        <v>1193</v>
      </c>
      <c r="O102" t="s">
        <v>1252</v>
      </c>
      <c r="P102" t="s">
        <v>21</v>
      </c>
      <c r="Q102" t="s">
        <v>21</v>
      </c>
      <c r="R102" t="s">
        <v>1258</v>
      </c>
      <c r="S102" t="s">
        <v>1278</v>
      </c>
      <c r="T102" t="s">
        <v>1278</v>
      </c>
      <c r="U102" t="s">
        <v>1347</v>
      </c>
      <c r="V102" t="s">
        <v>1605</v>
      </c>
      <c r="W102" t="s">
        <v>1443</v>
      </c>
    </row>
    <row r="103" spans="1:23" x14ac:dyDescent="0.35">
      <c r="A103">
        <v>91</v>
      </c>
      <c r="B103">
        <v>2116</v>
      </c>
      <c r="C103">
        <v>2116</v>
      </c>
      <c r="D103" t="s">
        <v>21</v>
      </c>
      <c r="E103" t="s">
        <v>30</v>
      </c>
      <c r="F103" t="s">
        <v>245</v>
      </c>
      <c r="G103" t="s">
        <v>406</v>
      </c>
      <c r="H103" t="s">
        <v>411</v>
      </c>
      <c r="I103" t="s">
        <v>411</v>
      </c>
      <c r="J103" t="s">
        <v>436</v>
      </c>
      <c r="K103" t="s">
        <v>455</v>
      </c>
      <c r="L103" t="s">
        <v>592</v>
      </c>
      <c r="M103">
        <v>2109</v>
      </c>
      <c r="N103" t="s">
        <v>1193</v>
      </c>
      <c r="O103" t="s">
        <v>1252</v>
      </c>
      <c r="P103" t="s">
        <v>21</v>
      </c>
      <c r="Q103" t="s">
        <v>21</v>
      </c>
      <c r="R103" t="s">
        <v>1258</v>
      </c>
      <c r="S103" t="s">
        <v>1278</v>
      </c>
      <c r="T103" t="s">
        <v>1278</v>
      </c>
      <c r="U103" t="s">
        <v>1347</v>
      </c>
      <c r="V103" t="s">
        <v>1605</v>
      </c>
      <c r="W103" t="s">
        <v>1443</v>
      </c>
    </row>
    <row r="104" spans="1:23" x14ac:dyDescent="0.35">
      <c r="A104">
        <v>92</v>
      </c>
      <c r="B104">
        <v>2116</v>
      </c>
      <c r="C104">
        <v>2116</v>
      </c>
      <c r="D104" t="s">
        <v>21</v>
      </c>
      <c r="E104" t="s">
        <v>30</v>
      </c>
      <c r="F104" t="s">
        <v>245</v>
      </c>
      <c r="G104" t="s">
        <v>406</v>
      </c>
      <c r="H104" t="s">
        <v>411</v>
      </c>
      <c r="I104" t="s">
        <v>411</v>
      </c>
      <c r="J104" t="s">
        <v>436</v>
      </c>
      <c r="K104" t="s">
        <v>455</v>
      </c>
      <c r="L104" t="s">
        <v>593</v>
      </c>
      <c r="M104">
        <v>2109</v>
      </c>
      <c r="N104" t="s">
        <v>1193</v>
      </c>
      <c r="O104" t="s">
        <v>1252</v>
      </c>
      <c r="P104" t="s">
        <v>21</v>
      </c>
      <c r="Q104" t="s">
        <v>21</v>
      </c>
      <c r="R104" t="s">
        <v>1258</v>
      </c>
      <c r="S104" t="s">
        <v>1278</v>
      </c>
      <c r="T104" t="s">
        <v>1278</v>
      </c>
      <c r="U104" t="s">
        <v>1347</v>
      </c>
      <c r="V104" t="s">
        <v>1605</v>
      </c>
      <c r="W104" t="s">
        <v>1443</v>
      </c>
    </row>
    <row r="105" spans="1:23" x14ac:dyDescent="0.35">
      <c r="A105">
        <v>93</v>
      </c>
      <c r="B105">
        <v>2116</v>
      </c>
      <c r="C105">
        <v>2116</v>
      </c>
      <c r="D105" t="s">
        <v>21</v>
      </c>
      <c r="E105" t="s">
        <v>30</v>
      </c>
      <c r="F105" t="s">
        <v>245</v>
      </c>
      <c r="G105" t="s">
        <v>406</v>
      </c>
      <c r="H105" t="s">
        <v>411</v>
      </c>
      <c r="I105" t="s">
        <v>411</v>
      </c>
      <c r="J105" t="s">
        <v>436</v>
      </c>
      <c r="K105" t="s">
        <v>455</v>
      </c>
      <c r="L105" t="s">
        <v>594</v>
      </c>
      <c r="M105">
        <v>2109</v>
      </c>
      <c r="N105" t="s">
        <v>1193</v>
      </c>
      <c r="O105" t="s">
        <v>1252</v>
      </c>
      <c r="P105" t="s">
        <v>21</v>
      </c>
      <c r="Q105" t="s">
        <v>21</v>
      </c>
      <c r="R105" t="s">
        <v>1258</v>
      </c>
      <c r="S105" t="s">
        <v>1278</v>
      </c>
      <c r="T105" t="s">
        <v>1278</v>
      </c>
      <c r="U105" t="s">
        <v>1347</v>
      </c>
      <c r="V105" t="s">
        <v>1605</v>
      </c>
      <c r="W105" t="s">
        <v>1443</v>
      </c>
    </row>
    <row r="106" spans="1:23" x14ac:dyDescent="0.35">
      <c r="A106">
        <v>94</v>
      </c>
      <c r="B106">
        <v>2116</v>
      </c>
      <c r="C106">
        <v>2116</v>
      </c>
      <c r="D106" t="s">
        <v>21</v>
      </c>
      <c r="E106" t="s">
        <v>30</v>
      </c>
      <c r="F106" t="s">
        <v>245</v>
      </c>
      <c r="G106" t="s">
        <v>406</v>
      </c>
      <c r="H106" t="s">
        <v>411</v>
      </c>
      <c r="I106" t="s">
        <v>411</v>
      </c>
      <c r="J106" t="s">
        <v>436</v>
      </c>
      <c r="K106" t="s">
        <v>455</v>
      </c>
      <c r="L106" t="s">
        <v>595</v>
      </c>
      <c r="M106">
        <v>2109</v>
      </c>
      <c r="N106" t="s">
        <v>1193</v>
      </c>
      <c r="O106" t="s">
        <v>1252</v>
      </c>
      <c r="P106" t="s">
        <v>21</v>
      </c>
      <c r="Q106" t="s">
        <v>21</v>
      </c>
      <c r="R106" t="s">
        <v>1258</v>
      </c>
      <c r="S106" t="s">
        <v>1278</v>
      </c>
      <c r="T106" t="s">
        <v>1278</v>
      </c>
      <c r="U106" t="s">
        <v>1347</v>
      </c>
      <c r="V106" t="s">
        <v>1605</v>
      </c>
      <c r="W106" t="s">
        <v>1443</v>
      </c>
    </row>
    <row r="107" spans="1:23" x14ac:dyDescent="0.35">
      <c r="A107">
        <v>95</v>
      </c>
      <c r="B107">
        <v>2116</v>
      </c>
      <c r="C107">
        <v>2116</v>
      </c>
      <c r="D107" t="s">
        <v>21</v>
      </c>
      <c r="E107" t="s">
        <v>30</v>
      </c>
      <c r="F107" t="s">
        <v>245</v>
      </c>
      <c r="G107" t="s">
        <v>406</v>
      </c>
      <c r="H107" t="s">
        <v>411</v>
      </c>
      <c r="I107" t="s">
        <v>411</v>
      </c>
      <c r="J107" t="s">
        <v>436</v>
      </c>
      <c r="K107" t="s">
        <v>455</v>
      </c>
      <c r="L107" t="s">
        <v>596</v>
      </c>
      <c r="M107">
        <v>2109</v>
      </c>
      <c r="N107" t="s">
        <v>1193</v>
      </c>
      <c r="O107" t="s">
        <v>1252</v>
      </c>
      <c r="P107" t="s">
        <v>21</v>
      </c>
      <c r="Q107" t="s">
        <v>21</v>
      </c>
      <c r="R107" t="s">
        <v>1258</v>
      </c>
      <c r="S107" t="s">
        <v>1278</v>
      </c>
      <c r="T107" t="s">
        <v>1278</v>
      </c>
      <c r="U107" t="s">
        <v>1347</v>
      </c>
      <c r="V107" t="s">
        <v>1605</v>
      </c>
      <c r="W107" t="s">
        <v>1443</v>
      </c>
    </row>
    <row r="108" spans="1:23" x14ac:dyDescent="0.35">
      <c r="A108">
        <v>96</v>
      </c>
      <c r="B108">
        <v>2116</v>
      </c>
      <c r="C108">
        <v>2116</v>
      </c>
      <c r="D108" t="s">
        <v>21</v>
      </c>
      <c r="E108" t="s">
        <v>30</v>
      </c>
      <c r="F108" t="s">
        <v>245</v>
      </c>
      <c r="G108" t="s">
        <v>406</v>
      </c>
      <c r="H108" t="s">
        <v>411</v>
      </c>
      <c r="I108" t="s">
        <v>411</v>
      </c>
      <c r="J108" t="s">
        <v>436</v>
      </c>
      <c r="K108" t="s">
        <v>455</v>
      </c>
      <c r="L108" t="s">
        <v>597</v>
      </c>
      <c r="M108">
        <v>2109</v>
      </c>
      <c r="N108" t="s">
        <v>1193</v>
      </c>
      <c r="O108" t="s">
        <v>1252</v>
      </c>
      <c r="P108" t="s">
        <v>21</v>
      </c>
      <c r="Q108" t="s">
        <v>21</v>
      </c>
      <c r="R108" t="s">
        <v>1258</v>
      </c>
      <c r="S108" t="s">
        <v>1278</v>
      </c>
      <c r="T108" t="s">
        <v>1278</v>
      </c>
      <c r="U108" t="s">
        <v>1347</v>
      </c>
      <c r="V108" t="s">
        <v>1605</v>
      </c>
      <c r="W108" t="s">
        <v>1443</v>
      </c>
    </row>
    <row r="109" spans="1:23" x14ac:dyDescent="0.35">
      <c r="A109">
        <v>97</v>
      </c>
      <c r="B109">
        <v>2116</v>
      </c>
      <c r="C109">
        <v>2116</v>
      </c>
      <c r="D109" t="s">
        <v>21</v>
      </c>
      <c r="E109" t="s">
        <v>30</v>
      </c>
      <c r="F109" t="s">
        <v>245</v>
      </c>
      <c r="G109" t="s">
        <v>406</v>
      </c>
      <c r="H109" t="s">
        <v>411</v>
      </c>
      <c r="I109" t="s">
        <v>411</v>
      </c>
      <c r="J109" t="s">
        <v>436</v>
      </c>
      <c r="K109" t="s">
        <v>455</v>
      </c>
      <c r="L109" t="s">
        <v>598</v>
      </c>
      <c r="M109">
        <v>2109</v>
      </c>
      <c r="N109" t="s">
        <v>1193</v>
      </c>
      <c r="O109" t="s">
        <v>1252</v>
      </c>
      <c r="P109" t="s">
        <v>21</v>
      </c>
      <c r="Q109" t="s">
        <v>21</v>
      </c>
      <c r="R109" t="s">
        <v>1258</v>
      </c>
      <c r="S109" t="s">
        <v>1278</v>
      </c>
      <c r="T109" t="s">
        <v>1278</v>
      </c>
      <c r="U109" t="s">
        <v>1347</v>
      </c>
      <c r="V109" t="s">
        <v>1605</v>
      </c>
      <c r="W109" t="s">
        <v>1443</v>
      </c>
    </row>
    <row r="110" spans="1:23" x14ac:dyDescent="0.35">
      <c r="A110">
        <v>98</v>
      </c>
      <c r="B110">
        <v>2116</v>
      </c>
      <c r="C110">
        <v>2116</v>
      </c>
      <c r="D110" t="s">
        <v>21</v>
      </c>
      <c r="E110" t="s">
        <v>30</v>
      </c>
      <c r="F110" t="s">
        <v>245</v>
      </c>
      <c r="G110" t="s">
        <v>406</v>
      </c>
      <c r="H110" t="s">
        <v>411</v>
      </c>
      <c r="I110" t="s">
        <v>411</v>
      </c>
      <c r="J110" t="s">
        <v>436</v>
      </c>
      <c r="K110" t="s">
        <v>455</v>
      </c>
      <c r="L110" t="s">
        <v>599</v>
      </c>
      <c r="M110">
        <v>2111</v>
      </c>
      <c r="N110" t="s">
        <v>1193</v>
      </c>
      <c r="O110" t="s">
        <v>1252</v>
      </c>
      <c r="P110" t="s">
        <v>21</v>
      </c>
      <c r="Q110" t="s">
        <v>21</v>
      </c>
      <c r="R110" t="s">
        <v>1258</v>
      </c>
      <c r="S110" t="s">
        <v>1278</v>
      </c>
      <c r="T110" t="s">
        <v>1278</v>
      </c>
      <c r="U110" t="s">
        <v>1347</v>
      </c>
      <c r="V110" t="s">
        <v>1605</v>
      </c>
      <c r="W110" t="s">
        <v>1443</v>
      </c>
    </row>
    <row r="111" spans="1:23" x14ac:dyDescent="0.35">
      <c r="A111">
        <v>99</v>
      </c>
      <c r="B111">
        <v>2116</v>
      </c>
      <c r="C111">
        <v>2116</v>
      </c>
      <c r="D111" t="s">
        <v>21</v>
      </c>
      <c r="E111" t="s">
        <v>30</v>
      </c>
      <c r="F111" t="s">
        <v>245</v>
      </c>
      <c r="G111" t="s">
        <v>406</v>
      </c>
      <c r="H111" t="s">
        <v>411</v>
      </c>
      <c r="I111" t="s">
        <v>411</v>
      </c>
      <c r="J111" t="s">
        <v>436</v>
      </c>
      <c r="K111" t="s">
        <v>455</v>
      </c>
      <c r="L111" t="s">
        <v>600</v>
      </c>
      <c r="M111">
        <v>2111</v>
      </c>
      <c r="N111" t="s">
        <v>1193</v>
      </c>
      <c r="O111" t="s">
        <v>1252</v>
      </c>
      <c r="P111" t="s">
        <v>21</v>
      </c>
      <c r="Q111" t="s">
        <v>21</v>
      </c>
      <c r="R111" t="s">
        <v>1258</v>
      </c>
      <c r="S111" t="s">
        <v>1278</v>
      </c>
      <c r="T111" t="s">
        <v>1278</v>
      </c>
      <c r="U111" t="s">
        <v>1347</v>
      </c>
      <c r="V111" t="s">
        <v>1605</v>
      </c>
      <c r="W111" t="s">
        <v>1443</v>
      </c>
    </row>
    <row r="112" spans="1:23" x14ac:dyDescent="0.35">
      <c r="A112">
        <v>100</v>
      </c>
      <c r="B112">
        <v>2116</v>
      </c>
      <c r="C112">
        <v>2116</v>
      </c>
      <c r="D112" t="s">
        <v>21</v>
      </c>
      <c r="E112" t="s">
        <v>30</v>
      </c>
      <c r="F112" t="s">
        <v>245</v>
      </c>
      <c r="G112" t="s">
        <v>406</v>
      </c>
      <c r="H112" t="s">
        <v>411</v>
      </c>
      <c r="I112" t="s">
        <v>411</v>
      </c>
      <c r="J112" t="s">
        <v>436</v>
      </c>
      <c r="K112" t="s">
        <v>455</v>
      </c>
      <c r="L112" t="s">
        <v>601</v>
      </c>
      <c r="M112">
        <v>2111</v>
      </c>
      <c r="N112" t="s">
        <v>1193</v>
      </c>
      <c r="O112" t="s">
        <v>1252</v>
      </c>
      <c r="P112" t="s">
        <v>21</v>
      </c>
      <c r="Q112" t="s">
        <v>21</v>
      </c>
      <c r="R112" t="s">
        <v>1258</v>
      </c>
      <c r="S112" t="s">
        <v>1278</v>
      </c>
      <c r="T112" t="s">
        <v>1278</v>
      </c>
      <c r="U112" t="s">
        <v>1347</v>
      </c>
      <c r="V112" t="s">
        <v>1605</v>
      </c>
      <c r="W112" t="s">
        <v>1443</v>
      </c>
    </row>
    <row r="113" spans="1:23" x14ac:dyDescent="0.35">
      <c r="A113">
        <v>101</v>
      </c>
      <c r="B113">
        <v>2116</v>
      </c>
      <c r="C113">
        <v>2116</v>
      </c>
      <c r="D113" t="s">
        <v>21</v>
      </c>
      <c r="E113" t="s">
        <v>30</v>
      </c>
      <c r="F113" t="s">
        <v>245</v>
      </c>
      <c r="G113" t="s">
        <v>406</v>
      </c>
      <c r="H113" t="s">
        <v>411</v>
      </c>
      <c r="I113" t="s">
        <v>411</v>
      </c>
      <c r="J113" t="s">
        <v>436</v>
      </c>
      <c r="K113" t="s">
        <v>455</v>
      </c>
      <c r="L113" t="s">
        <v>602</v>
      </c>
      <c r="M113">
        <v>2111</v>
      </c>
      <c r="N113" t="s">
        <v>1193</v>
      </c>
      <c r="O113" t="s">
        <v>1252</v>
      </c>
      <c r="P113" t="s">
        <v>21</v>
      </c>
      <c r="Q113" t="s">
        <v>21</v>
      </c>
      <c r="R113" t="s">
        <v>1258</v>
      </c>
      <c r="S113" t="s">
        <v>1278</v>
      </c>
      <c r="T113" t="s">
        <v>1278</v>
      </c>
      <c r="U113" t="s">
        <v>1347</v>
      </c>
      <c r="V113" t="s">
        <v>1605</v>
      </c>
      <c r="W113" t="s">
        <v>1443</v>
      </c>
    </row>
    <row r="114" spans="1:23" x14ac:dyDescent="0.35">
      <c r="A114">
        <v>102</v>
      </c>
      <c r="B114">
        <v>2116</v>
      </c>
      <c r="C114">
        <v>2116</v>
      </c>
      <c r="D114" t="s">
        <v>21</v>
      </c>
      <c r="E114" t="s">
        <v>30</v>
      </c>
      <c r="F114" t="s">
        <v>245</v>
      </c>
      <c r="G114" t="s">
        <v>406</v>
      </c>
      <c r="H114" t="s">
        <v>411</v>
      </c>
      <c r="I114" t="s">
        <v>411</v>
      </c>
      <c r="J114" t="s">
        <v>436</v>
      </c>
      <c r="K114" t="s">
        <v>455</v>
      </c>
      <c r="L114" t="s">
        <v>603</v>
      </c>
      <c r="M114">
        <v>2111</v>
      </c>
      <c r="N114" t="s">
        <v>1193</v>
      </c>
      <c r="O114" t="s">
        <v>1252</v>
      </c>
      <c r="P114" t="s">
        <v>21</v>
      </c>
      <c r="Q114" t="s">
        <v>21</v>
      </c>
      <c r="R114" t="s">
        <v>1258</v>
      </c>
      <c r="S114" t="s">
        <v>1278</v>
      </c>
      <c r="T114" t="s">
        <v>1278</v>
      </c>
      <c r="U114" t="s">
        <v>1347</v>
      </c>
      <c r="V114" t="s">
        <v>1605</v>
      </c>
      <c r="W114" t="s">
        <v>1443</v>
      </c>
    </row>
    <row r="115" spans="1:23" x14ac:dyDescent="0.35">
      <c r="A115">
        <v>103</v>
      </c>
      <c r="B115">
        <v>2116</v>
      </c>
      <c r="C115">
        <v>2116</v>
      </c>
      <c r="D115" t="s">
        <v>21</v>
      </c>
      <c r="E115" t="s">
        <v>30</v>
      </c>
      <c r="F115" t="s">
        <v>245</v>
      </c>
      <c r="G115" t="s">
        <v>406</v>
      </c>
      <c r="H115" t="s">
        <v>411</v>
      </c>
      <c r="I115" t="s">
        <v>411</v>
      </c>
      <c r="J115" t="s">
        <v>436</v>
      </c>
      <c r="K115" t="s">
        <v>455</v>
      </c>
      <c r="L115" t="s">
        <v>604</v>
      </c>
      <c r="M115">
        <v>2111</v>
      </c>
      <c r="N115" t="s">
        <v>1193</v>
      </c>
      <c r="O115" t="s">
        <v>1252</v>
      </c>
      <c r="P115" t="s">
        <v>21</v>
      </c>
      <c r="Q115" t="s">
        <v>21</v>
      </c>
      <c r="R115" t="s">
        <v>1258</v>
      </c>
      <c r="S115" t="s">
        <v>1278</v>
      </c>
      <c r="T115" t="s">
        <v>1278</v>
      </c>
      <c r="U115" t="s">
        <v>1347</v>
      </c>
      <c r="V115" t="s">
        <v>1605</v>
      </c>
      <c r="W115" t="s">
        <v>1443</v>
      </c>
    </row>
    <row r="116" spans="1:23" x14ac:dyDescent="0.35">
      <c r="A116">
        <v>104</v>
      </c>
      <c r="B116">
        <v>2116</v>
      </c>
      <c r="C116">
        <v>2116</v>
      </c>
      <c r="D116" t="s">
        <v>21</v>
      </c>
      <c r="E116" t="s">
        <v>30</v>
      </c>
      <c r="F116" t="s">
        <v>245</v>
      </c>
      <c r="G116" t="s">
        <v>406</v>
      </c>
      <c r="H116" t="s">
        <v>411</v>
      </c>
      <c r="I116" t="s">
        <v>411</v>
      </c>
      <c r="J116" t="s">
        <v>436</v>
      </c>
      <c r="K116" t="s">
        <v>455</v>
      </c>
      <c r="L116" t="s">
        <v>605</v>
      </c>
      <c r="M116">
        <v>2111</v>
      </c>
      <c r="N116" t="s">
        <v>1193</v>
      </c>
      <c r="O116" t="s">
        <v>1252</v>
      </c>
      <c r="P116" t="s">
        <v>21</v>
      </c>
      <c r="Q116" t="s">
        <v>21</v>
      </c>
      <c r="R116" t="s">
        <v>1258</v>
      </c>
      <c r="S116" t="s">
        <v>1278</v>
      </c>
      <c r="T116" t="s">
        <v>1278</v>
      </c>
      <c r="U116" t="s">
        <v>1347</v>
      </c>
      <c r="V116" t="s">
        <v>1605</v>
      </c>
      <c r="W116" t="s">
        <v>1443</v>
      </c>
    </row>
    <row r="117" spans="1:23" x14ac:dyDescent="0.35">
      <c r="A117">
        <v>105</v>
      </c>
      <c r="B117">
        <v>2116</v>
      </c>
      <c r="C117">
        <v>2116</v>
      </c>
      <c r="D117" t="s">
        <v>21</v>
      </c>
      <c r="E117" t="s">
        <v>30</v>
      </c>
      <c r="F117" t="s">
        <v>245</v>
      </c>
      <c r="G117" t="s">
        <v>406</v>
      </c>
      <c r="H117" t="s">
        <v>411</v>
      </c>
      <c r="I117" t="s">
        <v>411</v>
      </c>
      <c r="J117" t="s">
        <v>436</v>
      </c>
      <c r="K117" t="s">
        <v>455</v>
      </c>
      <c r="L117" t="s">
        <v>606</v>
      </c>
      <c r="M117">
        <v>2111</v>
      </c>
      <c r="N117" t="s">
        <v>1193</v>
      </c>
      <c r="O117" t="s">
        <v>1252</v>
      </c>
      <c r="P117" t="s">
        <v>21</v>
      </c>
      <c r="Q117" t="s">
        <v>21</v>
      </c>
      <c r="R117" t="s">
        <v>1258</v>
      </c>
      <c r="S117" t="s">
        <v>1278</v>
      </c>
      <c r="T117" t="s">
        <v>1278</v>
      </c>
      <c r="U117" t="s">
        <v>1347</v>
      </c>
      <c r="V117" t="s">
        <v>1605</v>
      </c>
      <c r="W117" t="s">
        <v>1443</v>
      </c>
    </row>
    <row r="118" spans="1:23" x14ac:dyDescent="0.35">
      <c r="A118">
        <v>106</v>
      </c>
      <c r="B118">
        <v>2116</v>
      </c>
      <c r="C118">
        <v>2116</v>
      </c>
      <c r="D118" t="s">
        <v>21</v>
      </c>
      <c r="E118" t="s">
        <v>30</v>
      </c>
      <c r="F118" t="s">
        <v>245</v>
      </c>
      <c r="G118" t="s">
        <v>406</v>
      </c>
      <c r="H118" t="s">
        <v>411</v>
      </c>
      <c r="I118" t="s">
        <v>411</v>
      </c>
      <c r="J118" t="s">
        <v>436</v>
      </c>
      <c r="K118" t="s">
        <v>455</v>
      </c>
      <c r="L118" t="s">
        <v>607</v>
      </c>
      <c r="M118">
        <v>2111</v>
      </c>
      <c r="N118" t="s">
        <v>1193</v>
      </c>
      <c r="O118" t="s">
        <v>1252</v>
      </c>
      <c r="P118" t="s">
        <v>21</v>
      </c>
      <c r="Q118" t="s">
        <v>21</v>
      </c>
      <c r="R118" t="s">
        <v>1258</v>
      </c>
      <c r="S118" t="s">
        <v>1278</v>
      </c>
      <c r="T118" t="s">
        <v>1278</v>
      </c>
      <c r="U118" t="s">
        <v>1347</v>
      </c>
      <c r="V118" t="s">
        <v>1605</v>
      </c>
      <c r="W118" t="s">
        <v>1443</v>
      </c>
    </row>
    <row r="119" spans="1:23" x14ac:dyDescent="0.35">
      <c r="A119">
        <v>107</v>
      </c>
      <c r="B119">
        <v>2116</v>
      </c>
      <c r="C119">
        <v>2116</v>
      </c>
      <c r="D119" t="s">
        <v>21</v>
      </c>
      <c r="E119" t="s">
        <v>30</v>
      </c>
      <c r="F119" t="s">
        <v>245</v>
      </c>
      <c r="G119" t="s">
        <v>406</v>
      </c>
      <c r="H119" t="s">
        <v>411</v>
      </c>
      <c r="I119" t="s">
        <v>411</v>
      </c>
      <c r="J119" t="s">
        <v>436</v>
      </c>
      <c r="K119" t="s">
        <v>455</v>
      </c>
      <c r="L119" t="s">
        <v>608</v>
      </c>
      <c r="M119">
        <v>2111</v>
      </c>
      <c r="N119" t="s">
        <v>1193</v>
      </c>
      <c r="O119" t="s">
        <v>1252</v>
      </c>
      <c r="P119" t="s">
        <v>21</v>
      </c>
      <c r="Q119" t="s">
        <v>21</v>
      </c>
      <c r="R119" t="s">
        <v>1258</v>
      </c>
      <c r="S119" t="s">
        <v>1278</v>
      </c>
      <c r="T119" t="s">
        <v>1278</v>
      </c>
      <c r="U119" t="s">
        <v>1347</v>
      </c>
      <c r="V119" t="s">
        <v>1605</v>
      </c>
      <c r="W119" t="s">
        <v>1443</v>
      </c>
    </row>
    <row r="120" spans="1:23" x14ac:dyDescent="0.35">
      <c r="A120">
        <v>108</v>
      </c>
      <c r="B120">
        <v>2116</v>
      </c>
      <c r="C120">
        <v>2116</v>
      </c>
      <c r="D120" t="s">
        <v>21</v>
      </c>
      <c r="E120" t="s">
        <v>30</v>
      </c>
      <c r="F120" t="s">
        <v>245</v>
      </c>
      <c r="G120" t="s">
        <v>406</v>
      </c>
      <c r="H120" t="s">
        <v>411</v>
      </c>
      <c r="I120" t="s">
        <v>411</v>
      </c>
      <c r="J120" t="s">
        <v>436</v>
      </c>
      <c r="K120" t="s">
        <v>455</v>
      </c>
      <c r="L120" t="s">
        <v>609</v>
      </c>
      <c r="M120">
        <v>2111</v>
      </c>
      <c r="N120" t="s">
        <v>1193</v>
      </c>
      <c r="O120" t="s">
        <v>1252</v>
      </c>
      <c r="P120" t="s">
        <v>21</v>
      </c>
      <c r="Q120" t="s">
        <v>21</v>
      </c>
      <c r="R120" t="s">
        <v>1258</v>
      </c>
      <c r="S120" t="s">
        <v>1278</v>
      </c>
      <c r="T120" t="s">
        <v>1278</v>
      </c>
      <c r="U120" t="s">
        <v>1347</v>
      </c>
      <c r="V120" t="s">
        <v>1605</v>
      </c>
      <c r="W120" t="s">
        <v>1443</v>
      </c>
    </row>
    <row r="121" spans="1:23" x14ac:dyDescent="0.35">
      <c r="A121">
        <v>109</v>
      </c>
      <c r="B121">
        <v>2116</v>
      </c>
      <c r="C121">
        <v>2116</v>
      </c>
      <c r="D121" t="s">
        <v>21</v>
      </c>
      <c r="E121" t="s">
        <v>30</v>
      </c>
      <c r="F121" t="s">
        <v>245</v>
      </c>
      <c r="G121" t="s">
        <v>406</v>
      </c>
      <c r="H121" t="s">
        <v>411</v>
      </c>
      <c r="I121" t="s">
        <v>411</v>
      </c>
      <c r="J121" t="s">
        <v>436</v>
      </c>
      <c r="K121" t="s">
        <v>455</v>
      </c>
      <c r="L121" t="s">
        <v>610</v>
      </c>
      <c r="M121">
        <v>2111</v>
      </c>
      <c r="N121" t="s">
        <v>1193</v>
      </c>
      <c r="O121" t="s">
        <v>1252</v>
      </c>
      <c r="P121" t="s">
        <v>21</v>
      </c>
      <c r="Q121" t="s">
        <v>21</v>
      </c>
      <c r="R121" t="s">
        <v>1258</v>
      </c>
      <c r="S121" t="s">
        <v>1278</v>
      </c>
      <c r="T121" t="s">
        <v>1278</v>
      </c>
      <c r="U121" t="s">
        <v>1347</v>
      </c>
      <c r="V121" t="s">
        <v>1605</v>
      </c>
      <c r="W121" t="s">
        <v>1443</v>
      </c>
    </row>
    <row r="122" spans="1:23" x14ac:dyDescent="0.35">
      <c r="A122">
        <v>110</v>
      </c>
      <c r="B122">
        <v>2116</v>
      </c>
      <c r="C122">
        <v>2116</v>
      </c>
      <c r="D122" t="s">
        <v>21</v>
      </c>
      <c r="E122" t="s">
        <v>30</v>
      </c>
      <c r="F122" t="s">
        <v>245</v>
      </c>
      <c r="G122" t="s">
        <v>406</v>
      </c>
      <c r="H122" t="s">
        <v>411</v>
      </c>
      <c r="I122" t="s">
        <v>411</v>
      </c>
      <c r="J122" t="s">
        <v>436</v>
      </c>
      <c r="K122" t="s">
        <v>455</v>
      </c>
      <c r="L122" t="s">
        <v>611</v>
      </c>
      <c r="M122">
        <v>2111</v>
      </c>
      <c r="N122" t="s">
        <v>1193</v>
      </c>
      <c r="O122" t="s">
        <v>1252</v>
      </c>
      <c r="P122" t="s">
        <v>21</v>
      </c>
      <c r="Q122" t="s">
        <v>21</v>
      </c>
      <c r="R122" t="s">
        <v>1258</v>
      </c>
      <c r="S122" t="s">
        <v>1278</v>
      </c>
      <c r="T122" t="s">
        <v>1278</v>
      </c>
      <c r="U122" t="s">
        <v>1347</v>
      </c>
      <c r="V122" t="s">
        <v>1605</v>
      </c>
      <c r="W122" t="s">
        <v>1443</v>
      </c>
    </row>
    <row r="123" spans="1:23" x14ac:dyDescent="0.35">
      <c r="A123">
        <v>111</v>
      </c>
      <c r="B123">
        <v>2116</v>
      </c>
      <c r="C123">
        <v>2116</v>
      </c>
      <c r="D123" t="s">
        <v>21</v>
      </c>
      <c r="E123" t="s">
        <v>30</v>
      </c>
      <c r="F123" t="s">
        <v>245</v>
      </c>
      <c r="G123" t="s">
        <v>406</v>
      </c>
      <c r="H123" t="s">
        <v>411</v>
      </c>
      <c r="I123" t="s">
        <v>411</v>
      </c>
      <c r="J123" t="s">
        <v>436</v>
      </c>
      <c r="K123" t="s">
        <v>455</v>
      </c>
      <c r="L123" t="s">
        <v>612</v>
      </c>
      <c r="M123">
        <v>2111</v>
      </c>
      <c r="N123" t="s">
        <v>1193</v>
      </c>
      <c r="O123" t="s">
        <v>1252</v>
      </c>
      <c r="P123" t="s">
        <v>21</v>
      </c>
      <c r="Q123" t="s">
        <v>21</v>
      </c>
      <c r="R123" t="s">
        <v>1258</v>
      </c>
      <c r="S123" t="s">
        <v>1278</v>
      </c>
      <c r="T123" t="s">
        <v>1278</v>
      </c>
      <c r="U123" t="s">
        <v>1347</v>
      </c>
      <c r="V123" t="s">
        <v>1605</v>
      </c>
      <c r="W123" t="s">
        <v>1443</v>
      </c>
    </row>
    <row r="124" spans="1:23" x14ac:dyDescent="0.35">
      <c r="A124">
        <v>112</v>
      </c>
      <c r="B124">
        <v>2116</v>
      </c>
      <c r="C124">
        <v>2116</v>
      </c>
      <c r="D124" t="s">
        <v>21</v>
      </c>
      <c r="E124" t="s">
        <v>30</v>
      </c>
      <c r="F124" t="s">
        <v>245</v>
      </c>
      <c r="G124" t="s">
        <v>406</v>
      </c>
      <c r="H124" t="s">
        <v>411</v>
      </c>
      <c r="I124" t="s">
        <v>411</v>
      </c>
      <c r="J124" t="s">
        <v>436</v>
      </c>
      <c r="K124" t="s">
        <v>455</v>
      </c>
      <c r="L124" t="s">
        <v>613</v>
      </c>
      <c r="M124">
        <v>2111</v>
      </c>
      <c r="N124" t="s">
        <v>1193</v>
      </c>
      <c r="O124" t="s">
        <v>1252</v>
      </c>
      <c r="P124" t="s">
        <v>21</v>
      </c>
      <c r="Q124" t="s">
        <v>21</v>
      </c>
      <c r="R124" t="s">
        <v>1258</v>
      </c>
      <c r="S124" t="s">
        <v>1278</v>
      </c>
      <c r="T124" t="s">
        <v>1278</v>
      </c>
      <c r="U124" t="s">
        <v>1347</v>
      </c>
      <c r="V124" t="s">
        <v>1605</v>
      </c>
      <c r="W124" t="s">
        <v>1443</v>
      </c>
    </row>
    <row r="125" spans="1:23" x14ac:dyDescent="0.35">
      <c r="A125">
        <v>113</v>
      </c>
      <c r="B125">
        <v>2116</v>
      </c>
      <c r="C125">
        <v>2116</v>
      </c>
      <c r="D125" t="s">
        <v>21</v>
      </c>
      <c r="E125" t="s">
        <v>30</v>
      </c>
      <c r="F125" t="s">
        <v>245</v>
      </c>
      <c r="G125" t="s">
        <v>406</v>
      </c>
      <c r="H125" t="s">
        <v>411</v>
      </c>
      <c r="I125" t="s">
        <v>411</v>
      </c>
      <c r="J125" t="s">
        <v>436</v>
      </c>
      <c r="K125" t="s">
        <v>455</v>
      </c>
      <c r="L125" t="s">
        <v>614</v>
      </c>
      <c r="M125">
        <v>2111</v>
      </c>
      <c r="N125" t="s">
        <v>1193</v>
      </c>
      <c r="O125" t="s">
        <v>1252</v>
      </c>
      <c r="P125" t="s">
        <v>21</v>
      </c>
      <c r="Q125" t="s">
        <v>21</v>
      </c>
      <c r="R125" t="s">
        <v>1258</v>
      </c>
      <c r="S125" t="s">
        <v>1278</v>
      </c>
      <c r="T125" t="s">
        <v>1278</v>
      </c>
      <c r="U125" t="s">
        <v>1347</v>
      </c>
      <c r="V125" t="s">
        <v>1605</v>
      </c>
      <c r="W125" t="s">
        <v>1443</v>
      </c>
    </row>
    <row r="126" spans="1:23" x14ac:dyDescent="0.35">
      <c r="A126">
        <v>114</v>
      </c>
      <c r="B126">
        <v>2116</v>
      </c>
      <c r="C126">
        <v>2116</v>
      </c>
      <c r="D126" t="s">
        <v>21</v>
      </c>
      <c r="E126" t="s">
        <v>30</v>
      </c>
      <c r="F126" t="s">
        <v>245</v>
      </c>
      <c r="G126" t="s">
        <v>406</v>
      </c>
      <c r="H126" t="s">
        <v>411</v>
      </c>
      <c r="I126" t="s">
        <v>411</v>
      </c>
      <c r="J126" t="s">
        <v>436</v>
      </c>
      <c r="K126" t="s">
        <v>455</v>
      </c>
      <c r="L126" t="s">
        <v>615</v>
      </c>
      <c r="M126">
        <v>2111</v>
      </c>
      <c r="N126" t="s">
        <v>1193</v>
      </c>
      <c r="O126" t="s">
        <v>1252</v>
      </c>
      <c r="P126" t="s">
        <v>21</v>
      </c>
      <c r="Q126" t="s">
        <v>21</v>
      </c>
      <c r="R126" t="s">
        <v>1258</v>
      </c>
      <c r="S126" t="s">
        <v>1278</v>
      </c>
      <c r="T126" t="s">
        <v>1278</v>
      </c>
      <c r="U126" t="s">
        <v>1347</v>
      </c>
      <c r="V126" t="s">
        <v>1605</v>
      </c>
      <c r="W126" t="s">
        <v>1443</v>
      </c>
    </row>
    <row r="127" spans="1:23" x14ac:dyDescent="0.35">
      <c r="A127">
        <v>115</v>
      </c>
      <c r="B127">
        <v>2116</v>
      </c>
      <c r="C127">
        <v>2116</v>
      </c>
      <c r="D127" t="s">
        <v>21</v>
      </c>
      <c r="E127" t="s">
        <v>30</v>
      </c>
      <c r="F127" t="s">
        <v>245</v>
      </c>
      <c r="G127" t="s">
        <v>406</v>
      </c>
      <c r="H127" t="s">
        <v>411</v>
      </c>
      <c r="I127" t="s">
        <v>411</v>
      </c>
      <c r="J127" t="s">
        <v>436</v>
      </c>
      <c r="K127" t="s">
        <v>455</v>
      </c>
      <c r="L127" t="s">
        <v>616</v>
      </c>
      <c r="M127">
        <v>2111</v>
      </c>
      <c r="N127" t="s">
        <v>1193</v>
      </c>
      <c r="O127" t="s">
        <v>1252</v>
      </c>
      <c r="P127" t="s">
        <v>21</v>
      </c>
      <c r="Q127" t="s">
        <v>21</v>
      </c>
      <c r="R127" t="s">
        <v>1258</v>
      </c>
      <c r="S127" t="s">
        <v>1278</v>
      </c>
      <c r="T127" t="s">
        <v>1278</v>
      </c>
      <c r="U127" t="s">
        <v>1347</v>
      </c>
      <c r="V127" t="s">
        <v>1605</v>
      </c>
      <c r="W127" t="s">
        <v>1443</v>
      </c>
    </row>
    <row r="128" spans="1:23" x14ac:dyDescent="0.35">
      <c r="A128">
        <v>116</v>
      </c>
      <c r="B128">
        <v>2116</v>
      </c>
      <c r="C128">
        <v>2116</v>
      </c>
      <c r="D128" t="s">
        <v>21</v>
      </c>
      <c r="E128" t="s">
        <v>30</v>
      </c>
      <c r="F128" t="s">
        <v>245</v>
      </c>
      <c r="G128" t="s">
        <v>406</v>
      </c>
      <c r="H128" t="s">
        <v>411</v>
      </c>
      <c r="I128" t="s">
        <v>411</v>
      </c>
      <c r="J128" t="s">
        <v>436</v>
      </c>
      <c r="K128" t="s">
        <v>455</v>
      </c>
      <c r="L128" t="s">
        <v>617</v>
      </c>
      <c r="M128">
        <v>2111</v>
      </c>
      <c r="N128" t="s">
        <v>1193</v>
      </c>
      <c r="O128" t="s">
        <v>1252</v>
      </c>
      <c r="P128" t="s">
        <v>21</v>
      </c>
      <c r="Q128" t="s">
        <v>21</v>
      </c>
      <c r="R128" t="s">
        <v>1258</v>
      </c>
      <c r="S128" t="s">
        <v>1278</v>
      </c>
      <c r="T128" t="s">
        <v>1278</v>
      </c>
      <c r="U128" t="s">
        <v>1347</v>
      </c>
      <c r="V128" t="s">
        <v>1605</v>
      </c>
      <c r="W128" t="s">
        <v>1443</v>
      </c>
    </row>
    <row r="129" spans="1:23" x14ac:dyDescent="0.35">
      <c r="A129">
        <v>117</v>
      </c>
      <c r="B129">
        <v>2116</v>
      </c>
      <c r="C129">
        <v>2116</v>
      </c>
      <c r="D129" t="s">
        <v>21</v>
      </c>
      <c r="E129" t="s">
        <v>30</v>
      </c>
      <c r="F129" t="s">
        <v>245</v>
      </c>
      <c r="G129" t="s">
        <v>406</v>
      </c>
      <c r="H129" t="s">
        <v>411</v>
      </c>
      <c r="I129" t="s">
        <v>411</v>
      </c>
      <c r="J129" t="s">
        <v>436</v>
      </c>
      <c r="K129" t="s">
        <v>455</v>
      </c>
      <c r="L129" t="s">
        <v>618</v>
      </c>
      <c r="M129">
        <v>2111</v>
      </c>
      <c r="N129" t="s">
        <v>1193</v>
      </c>
      <c r="O129" t="s">
        <v>1252</v>
      </c>
      <c r="P129" t="s">
        <v>21</v>
      </c>
      <c r="Q129" t="s">
        <v>21</v>
      </c>
      <c r="R129" t="s">
        <v>1258</v>
      </c>
      <c r="S129" t="s">
        <v>1278</v>
      </c>
      <c r="T129" t="s">
        <v>1278</v>
      </c>
      <c r="U129" t="s">
        <v>1347</v>
      </c>
      <c r="V129" t="s">
        <v>1605</v>
      </c>
      <c r="W129" t="s">
        <v>1443</v>
      </c>
    </row>
    <row r="130" spans="1:23" x14ac:dyDescent="0.35">
      <c r="A130">
        <v>118</v>
      </c>
      <c r="B130">
        <v>2116</v>
      </c>
      <c r="C130">
        <v>2116</v>
      </c>
      <c r="D130" t="s">
        <v>21</v>
      </c>
      <c r="E130" t="s">
        <v>30</v>
      </c>
      <c r="F130" t="s">
        <v>245</v>
      </c>
      <c r="G130" t="s">
        <v>406</v>
      </c>
      <c r="H130" t="s">
        <v>411</v>
      </c>
      <c r="I130" t="s">
        <v>411</v>
      </c>
      <c r="J130" t="s">
        <v>436</v>
      </c>
      <c r="K130" t="s">
        <v>455</v>
      </c>
      <c r="L130" t="s">
        <v>619</v>
      </c>
      <c r="M130">
        <v>2111</v>
      </c>
      <c r="N130" t="s">
        <v>1193</v>
      </c>
      <c r="O130" t="s">
        <v>1252</v>
      </c>
      <c r="P130" t="s">
        <v>21</v>
      </c>
      <c r="Q130" t="s">
        <v>21</v>
      </c>
      <c r="R130" t="s">
        <v>1258</v>
      </c>
      <c r="S130" t="s">
        <v>1278</v>
      </c>
      <c r="T130" t="s">
        <v>1278</v>
      </c>
      <c r="U130" t="s">
        <v>1347</v>
      </c>
      <c r="V130" t="s">
        <v>1605</v>
      </c>
      <c r="W130" t="s">
        <v>1443</v>
      </c>
    </row>
    <row r="131" spans="1:23" x14ac:dyDescent="0.35">
      <c r="A131">
        <v>119</v>
      </c>
      <c r="B131">
        <v>2116</v>
      </c>
      <c r="C131">
        <v>2116</v>
      </c>
      <c r="D131" t="s">
        <v>21</v>
      </c>
      <c r="E131" t="s">
        <v>30</v>
      </c>
      <c r="F131" t="s">
        <v>245</v>
      </c>
      <c r="G131" t="s">
        <v>406</v>
      </c>
      <c r="H131" t="s">
        <v>411</v>
      </c>
      <c r="I131" t="s">
        <v>411</v>
      </c>
      <c r="J131" t="s">
        <v>436</v>
      </c>
      <c r="K131" t="s">
        <v>455</v>
      </c>
      <c r="L131" t="s">
        <v>620</v>
      </c>
      <c r="M131">
        <v>2111</v>
      </c>
      <c r="N131" t="s">
        <v>1193</v>
      </c>
      <c r="O131" t="s">
        <v>1252</v>
      </c>
      <c r="P131" t="s">
        <v>21</v>
      </c>
      <c r="Q131" t="s">
        <v>21</v>
      </c>
      <c r="R131" t="s">
        <v>1258</v>
      </c>
      <c r="S131" t="s">
        <v>1278</v>
      </c>
      <c r="T131" t="s">
        <v>1278</v>
      </c>
      <c r="U131" t="s">
        <v>1347</v>
      </c>
      <c r="V131" t="s">
        <v>1605</v>
      </c>
      <c r="W131" t="s">
        <v>1443</v>
      </c>
    </row>
    <row r="132" spans="1:23" x14ac:dyDescent="0.35">
      <c r="A132">
        <v>120</v>
      </c>
      <c r="B132">
        <v>2116</v>
      </c>
      <c r="C132">
        <v>2116</v>
      </c>
      <c r="D132" t="s">
        <v>21</v>
      </c>
      <c r="E132" t="s">
        <v>30</v>
      </c>
      <c r="F132" t="s">
        <v>245</v>
      </c>
      <c r="G132" t="s">
        <v>406</v>
      </c>
      <c r="H132" t="s">
        <v>411</v>
      </c>
      <c r="I132" t="s">
        <v>411</v>
      </c>
      <c r="J132" t="s">
        <v>436</v>
      </c>
      <c r="K132" t="s">
        <v>455</v>
      </c>
      <c r="L132" t="s">
        <v>621</v>
      </c>
      <c r="M132">
        <v>2111</v>
      </c>
      <c r="N132" t="s">
        <v>1193</v>
      </c>
      <c r="O132" t="s">
        <v>1252</v>
      </c>
      <c r="P132" t="s">
        <v>21</v>
      </c>
      <c r="Q132" t="s">
        <v>21</v>
      </c>
      <c r="R132" t="s">
        <v>1258</v>
      </c>
      <c r="S132" t="s">
        <v>1278</v>
      </c>
      <c r="T132" t="s">
        <v>1278</v>
      </c>
      <c r="U132" t="s">
        <v>1347</v>
      </c>
      <c r="V132" t="s">
        <v>1605</v>
      </c>
      <c r="W132" t="s">
        <v>1443</v>
      </c>
    </row>
    <row r="133" spans="1:23" x14ac:dyDescent="0.35">
      <c r="A133">
        <v>121</v>
      </c>
      <c r="B133">
        <v>2116</v>
      </c>
      <c r="C133">
        <v>2116</v>
      </c>
      <c r="D133" t="s">
        <v>21</v>
      </c>
      <c r="E133" t="s">
        <v>30</v>
      </c>
      <c r="F133" t="s">
        <v>245</v>
      </c>
      <c r="G133" t="s">
        <v>406</v>
      </c>
      <c r="H133" t="s">
        <v>411</v>
      </c>
      <c r="I133" t="s">
        <v>411</v>
      </c>
      <c r="J133" t="s">
        <v>436</v>
      </c>
      <c r="K133" t="s">
        <v>455</v>
      </c>
      <c r="L133" t="s">
        <v>622</v>
      </c>
      <c r="M133">
        <v>2111</v>
      </c>
      <c r="N133" t="s">
        <v>1193</v>
      </c>
      <c r="O133" t="s">
        <v>1252</v>
      </c>
      <c r="P133" t="s">
        <v>21</v>
      </c>
      <c r="Q133" t="s">
        <v>21</v>
      </c>
      <c r="R133" t="s">
        <v>1258</v>
      </c>
      <c r="S133" t="s">
        <v>1278</v>
      </c>
      <c r="T133" t="s">
        <v>1278</v>
      </c>
      <c r="U133" t="s">
        <v>1347</v>
      </c>
      <c r="V133" t="s">
        <v>1605</v>
      </c>
      <c r="W133" t="s">
        <v>1443</v>
      </c>
    </row>
    <row r="134" spans="1:23" x14ac:dyDescent="0.35">
      <c r="A134">
        <v>122</v>
      </c>
      <c r="B134">
        <v>2116</v>
      </c>
      <c r="C134">
        <v>2116</v>
      </c>
      <c r="D134" t="s">
        <v>21</v>
      </c>
      <c r="E134" t="s">
        <v>30</v>
      </c>
      <c r="F134" t="s">
        <v>245</v>
      </c>
      <c r="G134" t="s">
        <v>406</v>
      </c>
      <c r="H134" t="s">
        <v>411</v>
      </c>
      <c r="I134" t="s">
        <v>411</v>
      </c>
      <c r="J134" t="s">
        <v>436</v>
      </c>
      <c r="K134" t="s">
        <v>455</v>
      </c>
      <c r="L134" t="s">
        <v>623</v>
      </c>
      <c r="M134">
        <v>2111</v>
      </c>
      <c r="N134" t="s">
        <v>1193</v>
      </c>
      <c r="O134" t="s">
        <v>1252</v>
      </c>
      <c r="P134" t="s">
        <v>21</v>
      </c>
      <c r="Q134" t="s">
        <v>21</v>
      </c>
      <c r="R134" t="s">
        <v>1258</v>
      </c>
      <c r="S134" t="s">
        <v>1278</v>
      </c>
      <c r="T134" t="s">
        <v>1278</v>
      </c>
      <c r="U134" t="s">
        <v>1347</v>
      </c>
      <c r="V134" t="s">
        <v>1605</v>
      </c>
      <c r="W134" t="s">
        <v>1443</v>
      </c>
    </row>
    <row r="135" spans="1:23" x14ac:dyDescent="0.35">
      <c r="A135">
        <v>123</v>
      </c>
      <c r="B135">
        <v>2116</v>
      </c>
      <c r="C135">
        <v>2116</v>
      </c>
      <c r="D135" t="s">
        <v>21</v>
      </c>
      <c r="E135" t="s">
        <v>30</v>
      </c>
      <c r="F135" t="s">
        <v>245</v>
      </c>
      <c r="G135" t="s">
        <v>406</v>
      </c>
      <c r="H135" t="s">
        <v>411</v>
      </c>
      <c r="I135" t="s">
        <v>411</v>
      </c>
      <c r="J135" t="s">
        <v>436</v>
      </c>
      <c r="K135" t="s">
        <v>455</v>
      </c>
      <c r="L135" t="s">
        <v>624</v>
      </c>
      <c r="M135">
        <v>2111</v>
      </c>
      <c r="N135" t="s">
        <v>1193</v>
      </c>
      <c r="O135" t="s">
        <v>1252</v>
      </c>
      <c r="P135" t="s">
        <v>21</v>
      </c>
      <c r="Q135" t="s">
        <v>21</v>
      </c>
      <c r="R135" t="s">
        <v>1258</v>
      </c>
      <c r="S135" t="s">
        <v>1278</v>
      </c>
      <c r="T135" t="s">
        <v>1278</v>
      </c>
      <c r="U135" t="s">
        <v>1347</v>
      </c>
      <c r="V135" t="s">
        <v>1605</v>
      </c>
      <c r="W135" t="s">
        <v>1443</v>
      </c>
    </row>
    <row r="136" spans="1:23" x14ac:dyDescent="0.35">
      <c r="A136">
        <v>124</v>
      </c>
      <c r="B136">
        <v>2116</v>
      </c>
      <c r="C136">
        <v>2116</v>
      </c>
      <c r="D136" t="s">
        <v>21</v>
      </c>
      <c r="E136" t="s">
        <v>30</v>
      </c>
      <c r="F136" t="s">
        <v>245</v>
      </c>
      <c r="G136" t="s">
        <v>406</v>
      </c>
      <c r="H136" t="s">
        <v>411</v>
      </c>
      <c r="I136" t="s">
        <v>411</v>
      </c>
      <c r="J136" t="s">
        <v>436</v>
      </c>
      <c r="K136" t="s">
        <v>455</v>
      </c>
      <c r="L136" t="s">
        <v>625</v>
      </c>
      <c r="M136">
        <v>2111</v>
      </c>
      <c r="N136" t="s">
        <v>1193</v>
      </c>
      <c r="O136" t="s">
        <v>1252</v>
      </c>
      <c r="P136" t="s">
        <v>21</v>
      </c>
      <c r="Q136" t="s">
        <v>21</v>
      </c>
      <c r="R136" t="s">
        <v>1258</v>
      </c>
      <c r="S136" t="s">
        <v>1278</v>
      </c>
      <c r="T136" t="s">
        <v>1278</v>
      </c>
      <c r="U136" t="s">
        <v>1347</v>
      </c>
      <c r="V136" t="s">
        <v>1605</v>
      </c>
      <c r="W136" t="s">
        <v>1443</v>
      </c>
    </row>
    <row r="137" spans="1:23" x14ac:dyDescent="0.35">
      <c r="A137">
        <v>125</v>
      </c>
      <c r="B137">
        <v>2116</v>
      </c>
      <c r="C137">
        <v>2116</v>
      </c>
      <c r="D137" t="s">
        <v>21</v>
      </c>
      <c r="E137" t="s">
        <v>30</v>
      </c>
      <c r="F137" t="s">
        <v>245</v>
      </c>
      <c r="G137" t="s">
        <v>406</v>
      </c>
      <c r="H137" t="s">
        <v>411</v>
      </c>
      <c r="I137" t="s">
        <v>411</v>
      </c>
      <c r="J137" t="s">
        <v>436</v>
      </c>
      <c r="K137" t="s">
        <v>455</v>
      </c>
      <c r="L137" t="s">
        <v>626</v>
      </c>
      <c r="M137">
        <v>2111</v>
      </c>
      <c r="N137" t="s">
        <v>1193</v>
      </c>
      <c r="O137" t="s">
        <v>1252</v>
      </c>
      <c r="P137" t="s">
        <v>21</v>
      </c>
      <c r="Q137" t="s">
        <v>21</v>
      </c>
      <c r="R137" t="s">
        <v>1258</v>
      </c>
      <c r="S137" t="s">
        <v>1278</v>
      </c>
      <c r="T137" t="s">
        <v>1278</v>
      </c>
      <c r="U137" t="s">
        <v>1347</v>
      </c>
      <c r="V137" t="s">
        <v>1605</v>
      </c>
      <c r="W137" t="s">
        <v>1443</v>
      </c>
    </row>
    <row r="138" spans="1:23" x14ac:dyDescent="0.35">
      <c r="A138">
        <v>126</v>
      </c>
      <c r="B138">
        <v>2116</v>
      </c>
      <c r="C138">
        <v>2116</v>
      </c>
      <c r="D138" t="s">
        <v>21</v>
      </c>
      <c r="E138" t="s">
        <v>30</v>
      </c>
      <c r="F138" t="s">
        <v>245</v>
      </c>
      <c r="G138" t="s">
        <v>406</v>
      </c>
      <c r="H138" t="s">
        <v>411</v>
      </c>
      <c r="I138" t="s">
        <v>411</v>
      </c>
      <c r="J138" t="s">
        <v>436</v>
      </c>
      <c r="K138" t="s">
        <v>455</v>
      </c>
      <c r="L138" t="s">
        <v>627</v>
      </c>
      <c r="M138">
        <v>2111</v>
      </c>
      <c r="N138" t="s">
        <v>1193</v>
      </c>
      <c r="O138" t="s">
        <v>1252</v>
      </c>
      <c r="P138" t="s">
        <v>21</v>
      </c>
      <c r="Q138" t="s">
        <v>21</v>
      </c>
      <c r="R138" t="s">
        <v>1258</v>
      </c>
      <c r="S138" t="s">
        <v>1278</v>
      </c>
      <c r="T138" t="s">
        <v>1278</v>
      </c>
      <c r="U138" t="s">
        <v>1347</v>
      </c>
      <c r="V138" t="s">
        <v>1605</v>
      </c>
      <c r="W138" t="s">
        <v>1443</v>
      </c>
    </row>
    <row r="139" spans="1:23" x14ac:dyDescent="0.35">
      <c r="A139">
        <v>127</v>
      </c>
      <c r="B139">
        <v>2116</v>
      </c>
      <c r="C139">
        <v>2116</v>
      </c>
      <c r="D139" t="s">
        <v>21</v>
      </c>
      <c r="E139" t="s">
        <v>30</v>
      </c>
      <c r="F139" t="s">
        <v>245</v>
      </c>
      <c r="G139" t="s">
        <v>406</v>
      </c>
      <c r="H139" t="s">
        <v>411</v>
      </c>
      <c r="I139" t="s">
        <v>411</v>
      </c>
      <c r="J139" t="s">
        <v>436</v>
      </c>
      <c r="K139" t="s">
        <v>455</v>
      </c>
      <c r="L139" t="s">
        <v>628</v>
      </c>
      <c r="M139">
        <v>2111</v>
      </c>
      <c r="N139" t="s">
        <v>1193</v>
      </c>
      <c r="O139" t="s">
        <v>1252</v>
      </c>
      <c r="P139" t="s">
        <v>21</v>
      </c>
      <c r="Q139" t="s">
        <v>21</v>
      </c>
      <c r="R139" t="s">
        <v>1258</v>
      </c>
      <c r="S139" t="s">
        <v>1278</v>
      </c>
      <c r="T139" t="s">
        <v>1278</v>
      </c>
      <c r="U139" t="s">
        <v>1347</v>
      </c>
      <c r="V139" t="s">
        <v>1605</v>
      </c>
      <c r="W139" t="s">
        <v>1443</v>
      </c>
    </row>
    <row r="140" spans="1:23" x14ac:dyDescent="0.35">
      <c r="A140">
        <v>128</v>
      </c>
      <c r="B140">
        <v>2116</v>
      </c>
      <c r="C140">
        <v>2116</v>
      </c>
      <c r="D140" t="s">
        <v>21</v>
      </c>
      <c r="E140" t="s">
        <v>30</v>
      </c>
      <c r="F140" t="s">
        <v>245</v>
      </c>
      <c r="G140" t="s">
        <v>406</v>
      </c>
      <c r="H140" t="s">
        <v>411</v>
      </c>
      <c r="I140" t="s">
        <v>411</v>
      </c>
      <c r="J140" t="s">
        <v>436</v>
      </c>
      <c r="K140" t="s">
        <v>455</v>
      </c>
      <c r="L140" t="s">
        <v>629</v>
      </c>
      <c r="M140">
        <v>2111</v>
      </c>
      <c r="N140" t="s">
        <v>1193</v>
      </c>
      <c r="O140" t="s">
        <v>1252</v>
      </c>
      <c r="P140" t="s">
        <v>21</v>
      </c>
      <c r="Q140" t="s">
        <v>21</v>
      </c>
      <c r="R140" t="s">
        <v>1258</v>
      </c>
      <c r="S140" t="s">
        <v>1278</v>
      </c>
      <c r="T140" t="s">
        <v>1278</v>
      </c>
      <c r="U140" t="s">
        <v>1347</v>
      </c>
      <c r="V140" t="s">
        <v>1605</v>
      </c>
      <c r="W140" t="s">
        <v>1443</v>
      </c>
    </row>
    <row r="141" spans="1:23" x14ac:dyDescent="0.35">
      <c r="A141">
        <v>129</v>
      </c>
      <c r="B141">
        <v>2116</v>
      </c>
      <c r="C141">
        <v>2116</v>
      </c>
      <c r="D141" t="s">
        <v>21</v>
      </c>
      <c r="E141" t="s">
        <v>30</v>
      </c>
      <c r="F141" t="s">
        <v>245</v>
      </c>
      <c r="G141" t="s">
        <v>406</v>
      </c>
      <c r="H141" t="s">
        <v>411</v>
      </c>
      <c r="I141" t="s">
        <v>411</v>
      </c>
      <c r="J141" t="s">
        <v>436</v>
      </c>
      <c r="K141" t="s">
        <v>455</v>
      </c>
      <c r="L141" t="s">
        <v>630</v>
      </c>
      <c r="M141">
        <v>2111</v>
      </c>
      <c r="N141" t="s">
        <v>1193</v>
      </c>
      <c r="O141" t="s">
        <v>1252</v>
      </c>
      <c r="P141" t="s">
        <v>21</v>
      </c>
      <c r="Q141" t="s">
        <v>21</v>
      </c>
      <c r="R141" t="s">
        <v>1258</v>
      </c>
      <c r="S141" t="s">
        <v>1278</v>
      </c>
      <c r="T141" t="s">
        <v>1278</v>
      </c>
      <c r="U141" t="s">
        <v>1347</v>
      </c>
      <c r="V141" t="s">
        <v>1605</v>
      </c>
      <c r="W141" t="s">
        <v>1443</v>
      </c>
    </row>
    <row r="142" spans="1:23" x14ac:dyDescent="0.35">
      <c r="A142">
        <v>130</v>
      </c>
      <c r="B142">
        <v>2116</v>
      </c>
      <c r="C142">
        <v>2116</v>
      </c>
      <c r="D142" t="s">
        <v>21</v>
      </c>
      <c r="E142" t="s">
        <v>30</v>
      </c>
      <c r="F142" t="s">
        <v>245</v>
      </c>
      <c r="G142" t="s">
        <v>406</v>
      </c>
      <c r="H142" t="s">
        <v>411</v>
      </c>
      <c r="I142" t="s">
        <v>411</v>
      </c>
      <c r="J142" t="s">
        <v>436</v>
      </c>
      <c r="K142" t="s">
        <v>455</v>
      </c>
      <c r="L142" t="s">
        <v>631</v>
      </c>
      <c r="M142">
        <v>2111</v>
      </c>
      <c r="N142" t="s">
        <v>1193</v>
      </c>
      <c r="O142" t="s">
        <v>1252</v>
      </c>
      <c r="P142" t="s">
        <v>21</v>
      </c>
      <c r="Q142" t="s">
        <v>21</v>
      </c>
      <c r="R142" t="s">
        <v>1258</v>
      </c>
      <c r="S142" t="s">
        <v>1278</v>
      </c>
      <c r="T142" t="s">
        <v>1278</v>
      </c>
      <c r="U142" t="s">
        <v>1347</v>
      </c>
      <c r="V142" t="s">
        <v>1605</v>
      </c>
      <c r="W142" t="s">
        <v>1443</v>
      </c>
    </row>
    <row r="143" spans="1:23" x14ac:dyDescent="0.35">
      <c r="A143">
        <v>131</v>
      </c>
      <c r="B143">
        <v>2116</v>
      </c>
      <c r="C143">
        <v>2116</v>
      </c>
      <c r="D143" t="s">
        <v>21</v>
      </c>
      <c r="E143" t="s">
        <v>30</v>
      </c>
      <c r="F143" t="s">
        <v>245</v>
      </c>
      <c r="G143" t="s">
        <v>406</v>
      </c>
      <c r="H143" t="s">
        <v>411</v>
      </c>
      <c r="I143" t="s">
        <v>411</v>
      </c>
      <c r="J143" t="s">
        <v>436</v>
      </c>
      <c r="K143" t="s">
        <v>455</v>
      </c>
      <c r="L143" t="s">
        <v>632</v>
      </c>
      <c r="M143">
        <v>2111</v>
      </c>
      <c r="N143" t="s">
        <v>1193</v>
      </c>
      <c r="O143" t="s">
        <v>1252</v>
      </c>
      <c r="P143" t="s">
        <v>21</v>
      </c>
      <c r="Q143" t="s">
        <v>21</v>
      </c>
      <c r="R143" t="s">
        <v>1258</v>
      </c>
      <c r="S143" t="s">
        <v>1278</v>
      </c>
      <c r="T143" t="s">
        <v>1278</v>
      </c>
      <c r="U143" t="s">
        <v>1347</v>
      </c>
      <c r="V143" t="s">
        <v>1605</v>
      </c>
      <c r="W143" t="s">
        <v>1443</v>
      </c>
    </row>
    <row r="144" spans="1:23" x14ac:dyDescent="0.35">
      <c r="A144">
        <v>132</v>
      </c>
      <c r="B144">
        <v>2116</v>
      </c>
      <c r="C144">
        <v>2116</v>
      </c>
      <c r="D144" t="s">
        <v>21</v>
      </c>
      <c r="E144" t="s">
        <v>30</v>
      </c>
      <c r="F144" t="s">
        <v>245</v>
      </c>
      <c r="G144" t="s">
        <v>406</v>
      </c>
      <c r="H144" t="s">
        <v>411</v>
      </c>
      <c r="I144" t="s">
        <v>411</v>
      </c>
      <c r="J144" t="s">
        <v>436</v>
      </c>
      <c r="K144" t="s">
        <v>455</v>
      </c>
      <c r="L144" t="s">
        <v>633</v>
      </c>
      <c r="M144">
        <v>2111</v>
      </c>
      <c r="N144" t="s">
        <v>1193</v>
      </c>
      <c r="O144" t="s">
        <v>1252</v>
      </c>
      <c r="P144" t="s">
        <v>21</v>
      </c>
      <c r="Q144" t="s">
        <v>21</v>
      </c>
      <c r="R144" t="s">
        <v>1258</v>
      </c>
      <c r="S144" t="s">
        <v>1278</v>
      </c>
      <c r="T144" t="s">
        <v>1278</v>
      </c>
      <c r="U144" t="s">
        <v>1347</v>
      </c>
      <c r="V144" t="s">
        <v>1605</v>
      </c>
      <c r="W144" t="s">
        <v>1443</v>
      </c>
    </row>
    <row r="145" spans="1:23" x14ac:dyDescent="0.35">
      <c r="A145">
        <v>133</v>
      </c>
      <c r="B145">
        <v>2116</v>
      </c>
      <c r="C145">
        <v>2116</v>
      </c>
      <c r="D145" t="s">
        <v>21</v>
      </c>
      <c r="E145" t="s">
        <v>30</v>
      </c>
      <c r="F145" t="s">
        <v>245</v>
      </c>
      <c r="G145" t="s">
        <v>406</v>
      </c>
      <c r="H145" t="s">
        <v>411</v>
      </c>
      <c r="I145" t="s">
        <v>411</v>
      </c>
      <c r="J145" t="s">
        <v>436</v>
      </c>
      <c r="K145" t="s">
        <v>455</v>
      </c>
      <c r="L145" t="s">
        <v>634</v>
      </c>
      <c r="M145">
        <v>2111</v>
      </c>
      <c r="N145" t="s">
        <v>1193</v>
      </c>
      <c r="O145" t="s">
        <v>1252</v>
      </c>
      <c r="P145" t="s">
        <v>21</v>
      </c>
      <c r="Q145" t="s">
        <v>21</v>
      </c>
      <c r="R145" t="s">
        <v>1258</v>
      </c>
      <c r="S145" t="s">
        <v>1278</v>
      </c>
      <c r="T145" t="s">
        <v>1278</v>
      </c>
      <c r="U145" t="s">
        <v>1347</v>
      </c>
      <c r="V145" t="s">
        <v>1605</v>
      </c>
      <c r="W145" t="s">
        <v>1443</v>
      </c>
    </row>
    <row r="146" spans="1:23" x14ac:dyDescent="0.35">
      <c r="A146">
        <v>134</v>
      </c>
      <c r="B146">
        <v>2116</v>
      </c>
      <c r="C146">
        <v>2116</v>
      </c>
      <c r="D146" t="s">
        <v>21</v>
      </c>
      <c r="E146" t="s">
        <v>30</v>
      </c>
      <c r="F146" t="s">
        <v>245</v>
      </c>
      <c r="G146" t="s">
        <v>406</v>
      </c>
      <c r="H146" t="s">
        <v>411</v>
      </c>
      <c r="I146" t="s">
        <v>411</v>
      </c>
      <c r="J146" t="s">
        <v>436</v>
      </c>
      <c r="K146" t="s">
        <v>455</v>
      </c>
      <c r="L146" t="s">
        <v>635</v>
      </c>
      <c r="M146">
        <v>2111</v>
      </c>
      <c r="N146" t="s">
        <v>1193</v>
      </c>
      <c r="O146" t="s">
        <v>1252</v>
      </c>
      <c r="P146" t="s">
        <v>21</v>
      </c>
      <c r="Q146" t="s">
        <v>21</v>
      </c>
      <c r="R146" t="s">
        <v>1258</v>
      </c>
      <c r="S146" t="s">
        <v>1278</v>
      </c>
      <c r="T146" t="s">
        <v>1278</v>
      </c>
      <c r="U146" t="s">
        <v>1347</v>
      </c>
      <c r="V146" t="s">
        <v>1605</v>
      </c>
      <c r="W146" t="s">
        <v>1443</v>
      </c>
    </row>
    <row r="147" spans="1:23" x14ac:dyDescent="0.35">
      <c r="A147">
        <v>135</v>
      </c>
      <c r="B147">
        <v>2116</v>
      </c>
      <c r="C147">
        <v>2116</v>
      </c>
      <c r="D147" t="s">
        <v>21</v>
      </c>
      <c r="E147" t="s">
        <v>30</v>
      </c>
      <c r="F147" t="s">
        <v>245</v>
      </c>
      <c r="G147" t="s">
        <v>406</v>
      </c>
      <c r="H147" t="s">
        <v>411</v>
      </c>
      <c r="I147" t="s">
        <v>411</v>
      </c>
      <c r="J147" t="s">
        <v>436</v>
      </c>
      <c r="K147" t="s">
        <v>455</v>
      </c>
      <c r="L147" t="s">
        <v>636</v>
      </c>
      <c r="M147">
        <v>2111</v>
      </c>
      <c r="N147" t="s">
        <v>1193</v>
      </c>
      <c r="O147" t="s">
        <v>1252</v>
      </c>
      <c r="P147" t="s">
        <v>21</v>
      </c>
      <c r="Q147" t="s">
        <v>21</v>
      </c>
      <c r="R147" t="s">
        <v>1258</v>
      </c>
      <c r="S147" t="s">
        <v>1278</v>
      </c>
      <c r="T147" t="s">
        <v>1278</v>
      </c>
      <c r="U147" t="s">
        <v>1347</v>
      </c>
      <c r="V147" t="s">
        <v>1605</v>
      </c>
      <c r="W147" t="s">
        <v>1443</v>
      </c>
    </row>
    <row r="148" spans="1:23" x14ac:dyDescent="0.35">
      <c r="A148">
        <v>136</v>
      </c>
      <c r="B148">
        <v>2116</v>
      </c>
      <c r="C148">
        <v>2116</v>
      </c>
      <c r="D148" t="s">
        <v>21</v>
      </c>
      <c r="E148" t="s">
        <v>30</v>
      </c>
      <c r="F148" t="s">
        <v>245</v>
      </c>
      <c r="G148" t="s">
        <v>406</v>
      </c>
      <c r="H148" t="s">
        <v>411</v>
      </c>
      <c r="I148" t="s">
        <v>411</v>
      </c>
      <c r="J148" t="s">
        <v>436</v>
      </c>
      <c r="K148" t="s">
        <v>455</v>
      </c>
      <c r="L148" t="s">
        <v>637</v>
      </c>
      <c r="M148">
        <v>2111</v>
      </c>
      <c r="N148" t="s">
        <v>1193</v>
      </c>
      <c r="O148" t="s">
        <v>1252</v>
      </c>
      <c r="P148" t="s">
        <v>21</v>
      </c>
      <c r="Q148" t="s">
        <v>21</v>
      </c>
      <c r="R148" t="s">
        <v>1258</v>
      </c>
      <c r="S148" t="s">
        <v>1278</v>
      </c>
      <c r="T148" t="s">
        <v>1278</v>
      </c>
      <c r="U148" t="s">
        <v>1347</v>
      </c>
      <c r="V148" t="s">
        <v>1605</v>
      </c>
      <c r="W148" t="s">
        <v>1443</v>
      </c>
    </row>
    <row r="149" spans="1:23" x14ac:dyDescent="0.35">
      <c r="A149">
        <v>137</v>
      </c>
      <c r="B149">
        <v>2116</v>
      </c>
      <c r="C149">
        <v>2116</v>
      </c>
      <c r="D149" t="s">
        <v>21</v>
      </c>
      <c r="E149" t="s">
        <v>30</v>
      </c>
      <c r="F149" t="s">
        <v>245</v>
      </c>
      <c r="G149" t="s">
        <v>406</v>
      </c>
      <c r="H149" t="s">
        <v>411</v>
      </c>
      <c r="I149" t="s">
        <v>411</v>
      </c>
      <c r="J149" t="s">
        <v>436</v>
      </c>
      <c r="K149" t="s">
        <v>455</v>
      </c>
      <c r="L149" t="s">
        <v>638</v>
      </c>
      <c r="M149">
        <v>2111</v>
      </c>
      <c r="N149" t="s">
        <v>1193</v>
      </c>
      <c r="O149" t="s">
        <v>1252</v>
      </c>
      <c r="P149" t="s">
        <v>21</v>
      </c>
      <c r="Q149" t="s">
        <v>21</v>
      </c>
      <c r="R149" t="s">
        <v>1258</v>
      </c>
      <c r="S149" t="s">
        <v>1278</v>
      </c>
      <c r="T149" t="s">
        <v>1278</v>
      </c>
      <c r="U149" t="s">
        <v>1347</v>
      </c>
      <c r="V149" t="s">
        <v>1605</v>
      </c>
      <c r="W149" t="s">
        <v>1443</v>
      </c>
    </row>
    <row r="150" spans="1:23" x14ac:dyDescent="0.35">
      <c r="A150">
        <v>138</v>
      </c>
      <c r="B150">
        <v>2116</v>
      </c>
      <c r="C150">
        <v>2116</v>
      </c>
      <c r="D150" t="s">
        <v>21</v>
      </c>
      <c r="E150" t="s">
        <v>30</v>
      </c>
      <c r="F150" t="s">
        <v>245</v>
      </c>
      <c r="G150" t="s">
        <v>406</v>
      </c>
      <c r="H150" t="s">
        <v>411</v>
      </c>
      <c r="I150" t="s">
        <v>411</v>
      </c>
      <c r="J150" t="s">
        <v>436</v>
      </c>
      <c r="K150" t="s">
        <v>455</v>
      </c>
      <c r="L150" t="s">
        <v>639</v>
      </c>
      <c r="M150">
        <v>2111</v>
      </c>
      <c r="N150" t="s">
        <v>1193</v>
      </c>
      <c r="O150" t="s">
        <v>1252</v>
      </c>
      <c r="P150" t="s">
        <v>21</v>
      </c>
      <c r="Q150" t="s">
        <v>21</v>
      </c>
      <c r="R150" t="s">
        <v>1258</v>
      </c>
      <c r="S150" t="s">
        <v>1278</v>
      </c>
      <c r="T150" t="s">
        <v>1278</v>
      </c>
      <c r="U150" t="s">
        <v>1347</v>
      </c>
      <c r="V150" t="s">
        <v>1605</v>
      </c>
      <c r="W150" t="s">
        <v>1443</v>
      </c>
    </row>
    <row r="151" spans="1:23" x14ac:dyDescent="0.35">
      <c r="A151">
        <v>139</v>
      </c>
      <c r="B151">
        <v>2116</v>
      </c>
      <c r="C151">
        <v>2116</v>
      </c>
      <c r="D151" t="s">
        <v>21</v>
      </c>
      <c r="E151" t="s">
        <v>30</v>
      </c>
      <c r="F151" t="s">
        <v>245</v>
      </c>
      <c r="G151" t="s">
        <v>406</v>
      </c>
      <c r="H151" t="s">
        <v>411</v>
      </c>
      <c r="I151" t="s">
        <v>411</v>
      </c>
      <c r="J151" t="s">
        <v>436</v>
      </c>
      <c r="K151" t="s">
        <v>455</v>
      </c>
      <c r="L151" t="s">
        <v>640</v>
      </c>
      <c r="M151">
        <v>2111</v>
      </c>
      <c r="N151" t="s">
        <v>1193</v>
      </c>
      <c r="O151" t="s">
        <v>1252</v>
      </c>
      <c r="P151" t="s">
        <v>21</v>
      </c>
      <c r="Q151" t="s">
        <v>21</v>
      </c>
      <c r="R151" t="s">
        <v>1258</v>
      </c>
      <c r="S151" t="s">
        <v>1278</v>
      </c>
      <c r="T151" t="s">
        <v>1278</v>
      </c>
      <c r="U151" t="s">
        <v>1347</v>
      </c>
      <c r="V151" t="s">
        <v>1605</v>
      </c>
      <c r="W151" t="s">
        <v>1443</v>
      </c>
    </row>
    <row r="152" spans="1:23" x14ac:dyDescent="0.35">
      <c r="A152">
        <v>140</v>
      </c>
      <c r="B152">
        <v>2116</v>
      </c>
      <c r="C152">
        <v>2116</v>
      </c>
      <c r="D152" t="s">
        <v>21</v>
      </c>
      <c r="E152" t="s">
        <v>30</v>
      </c>
      <c r="F152" t="s">
        <v>245</v>
      </c>
      <c r="G152" t="s">
        <v>406</v>
      </c>
      <c r="H152" t="s">
        <v>411</v>
      </c>
      <c r="I152" t="s">
        <v>411</v>
      </c>
      <c r="J152" t="s">
        <v>436</v>
      </c>
      <c r="K152" t="s">
        <v>455</v>
      </c>
      <c r="L152" t="s">
        <v>641</v>
      </c>
      <c r="M152">
        <v>2111</v>
      </c>
      <c r="N152" t="s">
        <v>1193</v>
      </c>
      <c r="O152" t="s">
        <v>1252</v>
      </c>
      <c r="P152" t="s">
        <v>21</v>
      </c>
      <c r="Q152" t="s">
        <v>21</v>
      </c>
      <c r="R152" t="s">
        <v>1258</v>
      </c>
      <c r="S152" t="s">
        <v>1278</v>
      </c>
      <c r="T152" t="s">
        <v>1278</v>
      </c>
      <c r="U152" t="s">
        <v>1347</v>
      </c>
      <c r="V152" t="s">
        <v>1605</v>
      </c>
      <c r="W152" t="s">
        <v>1443</v>
      </c>
    </row>
    <row r="153" spans="1:23" x14ac:dyDescent="0.35">
      <c r="A153">
        <v>141</v>
      </c>
      <c r="B153">
        <v>2116</v>
      </c>
      <c r="C153">
        <v>2116</v>
      </c>
      <c r="D153" t="s">
        <v>21</v>
      </c>
      <c r="E153" t="s">
        <v>30</v>
      </c>
      <c r="F153" t="s">
        <v>245</v>
      </c>
      <c r="G153" t="s">
        <v>406</v>
      </c>
      <c r="H153" t="s">
        <v>411</v>
      </c>
      <c r="I153" t="s">
        <v>411</v>
      </c>
      <c r="J153" t="s">
        <v>436</v>
      </c>
      <c r="K153" t="s">
        <v>455</v>
      </c>
      <c r="L153" t="s">
        <v>642</v>
      </c>
      <c r="M153">
        <v>2111</v>
      </c>
      <c r="N153" t="s">
        <v>1193</v>
      </c>
      <c r="O153" t="s">
        <v>1252</v>
      </c>
      <c r="P153" t="s">
        <v>21</v>
      </c>
      <c r="Q153" t="s">
        <v>21</v>
      </c>
      <c r="R153" t="s">
        <v>1258</v>
      </c>
      <c r="S153" t="s">
        <v>1278</v>
      </c>
      <c r="T153" t="s">
        <v>1278</v>
      </c>
      <c r="U153" t="s">
        <v>1347</v>
      </c>
      <c r="V153" t="s">
        <v>1605</v>
      </c>
      <c r="W153" t="s">
        <v>1443</v>
      </c>
    </row>
    <row r="154" spans="1:23" x14ac:dyDescent="0.35">
      <c r="A154">
        <v>142</v>
      </c>
      <c r="B154">
        <v>2116</v>
      </c>
      <c r="C154">
        <v>2116</v>
      </c>
      <c r="D154" t="s">
        <v>21</v>
      </c>
      <c r="E154" t="s">
        <v>30</v>
      </c>
      <c r="F154" t="s">
        <v>245</v>
      </c>
      <c r="G154" t="s">
        <v>406</v>
      </c>
      <c r="H154" t="s">
        <v>411</v>
      </c>
      <c r="I154" t="s">
        <v>411</v>
      </c>
      <c r="J154" t="s">
        <v>436</v>
      </c>
      <c r="K154" t="s">
        <v>455</v>
      </c>
      <c r="L154" t="s">
        <v>643</v>
      </c>
      <c r="M154">
        <v>2111</v>
      </c>
      <c r="N154" t="s">
        <v>1193</v>
      </c>
      <c r="O154" t="s">
        <v>1252</v>
      </c>
      <c r="P154" t="s">
        <v>21</v>
      </c>
      <c r="Q154" t="s">
        <v>21</v>
      </c>
      <c r="R154" t="s">
        <v>1258</v>
      </c>
      <c r="S154" t="s">
        <v>1278</v>
      </c>
      <c r="T154" t="s">
        <v>1278</v>
      </c>
      <c r="U154" t="s">
        <v>1347</v>
      </c>
      <c r="V154" t="s">
        <v>1605</v>
      </c>
      <c r="W154" t="s">
        <v>1443</v>
      </c>
    </row>
    <row r="155" spans="1:23" x14ac:dyDescent="0.35">
      <c r="A155">
        <v>143</v>
      </c>
      <c r="B155">
        <v>2116</v>
      </c>
      <c r="C155">
        <v>2116</v>
      </c>
      <c r="D155" t="s">
        <v>21</v>
      </c>
      <c r="E155" t="s">
        <v>30</v>
      </c>
      <c r="F155" t="s">
        <v>245</v>
      </c>
      <c r="G155" t="s">
        <v>406</v>
      </c>
      <c r="H155" t="s">
        <v>411</v>
      </c>
      <c r="I155" t="s">
        <v>411</v>
      </c>
      <c r="J155" t="s">
        <v>436</v>
      </c>
      <c r="K155" t="s">
        <v>455</v>
      </c>
      <c r="L155" t="s">
        <v>644</v>
      </c>
      <c r="M155">
        <v>2111</v>
      </c>
      <c r="N155" t="s">
        <v>1193</v>
      </c>
      <c r="O155" t="s">
        <v>1252</v>
      </c>
      <c r="P155" t="s">
        <v>21</v>
      </c>
      <c r="Q155" t="s">
        <v>21</v>
      </c>
      <c r="R155" t="s">
        <v>1258</v>
      </c>
      <c r="S155" t="s">
        <v>1278</v>
      </c>
      <c r="T155" t="s">
        <v>1278</v>
      </c>
      <c r="U155" t="s">
        <v>1347</v>
      </c>
      <c r="V155" t="s">
        <v>1605</v>
      </c>
      <c r="W155" t="s">
        <v>1443</v>
      </c>
    </row>
    <row r="156" spans="1:23" x14ac:dyDescent="0.35">
      <c r="A156">
        <v>144</v>
      </c>
      <c r="B156">
        <v>2116</v>
      </c>
      <c r="C156">
        <v>2116</v>
      </c>
      <c r="D156" t="s">
        <v>21</v>
      </c>
      <c r="E156" t="s">
        <v>30</v>
      </c>
      <c r="F156" t="s">
        <v>245</v>
      </c>
      <c r="G156" t="s">
        <v>406</v>
      </c>
      <c r="H156" t="s">
        <v>411</v>
      </c>
      <c r="I156" t="s">
        <v>411</v>
      </c>
      <c r="J156" t="s">
        <v>436</v>
      </c>
      <c r="K156" t="s">
        <v>455</v>
      </c>
      <c r="L156" t="s">
        <v>645</v>
      </c>
      <c r="M156">
        <v>2111</v>
      </c>
      <c r="N156" t="s">
        <v>1193</v>
      </c>
      <c r="O156" t="s">
        <v>1252</v>
      </c>
      <c r="P156" t="s">
        <v>21</v>
      </c>
      <c r="Q156" t="s">
        <v>21</v>
      </c>
      <c r="R156" t="s">
        <v>1258</v>
      </c>
      <c r="S156" t="s">
        <v>1278</v>
      </c>
      <c r="T156" t="s">
        <v>1278</v>
      </c>
      <c r="U156" t="s">
        <v>1347</v>
      </c>
      <c r="V156" t="s">
        <v>1605</v>
      </c>
      <c r="W156" t="s">
        <v>1443</v>
      </c>
    </row>
    <row r="157" spans="1:23" x14ac:dyDescent="0.35">
      <c r="A157">
        <v>145</v>
      </c>
      <c r="B157">
        <v>2116</v>
      </c>
      <c r="C157">
        <v>2116</v>
      </c>
      <c r="D157" t="s">
        <v>21</v>
      </c>
      <c r="E157" t="s">
        <v>30</v>
      </c>
      <c r="F157" t="s">
        <v>245</v>
      </c>
      <c r="G157" t="s">
        <v>406</v>
      </c>
      <c r="H157" t="s">
        <v>411</v>
      </c>
      <c r="I157" t="s">
        <v>411</v>
      </c>
      <c r="J157" t="s">
        <v>436</v>
      </c>
      <c r="K157" t="s">
        <v>455</v>
      </c>
      <c r="L157" t="s">
        <v>646</v>
      </c>
      <c r="M157">
        <v>2111</v>
      </c>
      <c r="N157" t="s">
        <v>1193</v>
      </c>
      <c r="O157" t="s">
        <v>1252</v>
      </c>
      <c r="P157" t="s">
        <v>21</v>
      </c>
      <c r="Q157" t="s">
        <v>21</v>
      </c>
      <c r="R157" t="s">
        <v>1258</v>
      </c>
      <c r="S157" t="s">
        <v>1278</v>
      </c>
      <c r="T157" t="s">
        <v>1278</v>
      </c>
      <c r="U157" t="s">
        <v>1347</v>
      </c>
      <c r="V157" t="s">
        <v>1605</v>
      </c>
      <c r="W157" t="s">
        <v>1443</v>
      </c>
    </row>
    <row r="158" spans="1:23" x14ac:dyDescent="0.35">
      <c r="A158">
        <v>146</v>
      </c>
      <c r="B158">
        <v>2116</v>
      </c>
      <c r="C158">
        <v>2116</v>
      </c>
      <c r="D158" t="s">
        <v>21</v>
      </c>
      <c r="E158" t="s">
        <v>30</v>
      </c>
      <c r="F158" t="s">
        <v>245</v>
      </c>
      <c r="G158" t="s">
        <v>406</v>
      </c>
      <c r="H158" t="s">
        <v>411</v>
      </c>
      <c r="I158" t="s">
        <v>411</v>
      </c>
      <c r="J158" t="s">
        <v>436</v>
      </c>
      <c r="K158" t="s">
        <v>455</v>
      </c>
      <c r="L158" t="s">
        <v>647</v>
      </c>
      <c r="M158">
        <v>2111</v>
      </c>
      <c r="N158" t="s">
        <v>1193</v>
      </c>
      <c r="O158" t="s">
        <v>1252</v>
      </c>
      <c r="P158" t="s">
        <v>21</v>
      </c>
      <c r="Q158" t="s">
        <v>21</v>
      </c>
      <c r="R158" t="s">
        <v>1258</v>
      </c>
      <c r="S158" t="s">
        <v>1278</v>
      </c>
      <c r="T158" t="s">
        <v>1278</v>
      </c>
      <c r="U158" t="s">
        <v>1347</v>
      </c>
      <c r="V158" t="s">
        <v>1605</v>
      </c>
      <c r="W158" t="s">
        <v>1443</v>
      </c>
    </row>
    <row r="159" spans="1:23" x14ac:dyDescent="0.35">
      <c r="A159">
        <v>147</v>
      </c>
      <c r="B159">
        <v>2116</v>
      </c>
      <c r="C159">
        <v>2116</v>
      </c>
      <c r="D159" t="s">
        <v>21</v>
      </c>
      <c r="E159" t="s">
        <v>30</v>
      </c>
      <c r="F159" t="s">
        <v>245</v>
      </c>
      <c r="G159" t="s">
        <v>406</v>
      </c>
      <c r="H159" t="s">
        <v>411</v>
      </c>
      <c r="I159" t="s">
        <v>411</v>
      </c>
      <c r="J159" t="s">
        <v>436</v>
      </c>
      <c r="K159" t="s">
        <v>455</v>
      </c>
      <c r="L159" t="s">
        <v>648</v>
      </c>
      <c r="M159">
        <v>2111</v>
      </c>
      <c r="N159" t="s">
        <v>1193</v>
      </c>
      <c r="O159" t="s">
        <v>1252</v>
      </c>
      <c r="P159" t="s">
        <v>21</v>
      </c>
      <c r="Q159" t="s">
        <v>21</v>
      </c>
      <c r="R159" t="s">
        <v>1258</v>
      </c>
      <c r="S159" t="s">
        <v>1278</v>
      </c>
      <c r="T159" t="s">
        <v>1278</v>
      </c>
      <c r="U159" t="s">
        <v>1347</v>
      </c>
      <c r="V159" t="s">
        <v>1605</v>
      </c>
      <c r="W159" t="s">
        <v>1443</v>
      </c>
    </row>
    <row r="160" spans="1:23" x14ac:dyDescent="0.35">
      <c r="A160">
        <v>148</v>
      </c>
      <c r="B160">
        <v>2116</v>
      </c>
      <c r="C160">
        <v>2116</v>
      </c>
      <c r="D160" t="s">
        <v>21</v>
      </c>
      <c r="E160" t="s">
        <v>30</v>
      </c>
      <c r="F160" t="s">
        <v>245</v>
      </c>
      <c r="G160" t="s">
        <v>406</v>
      </c>
      <c r="H160" t="s">
        <v>411</v>
      </c>
      <c r="I160" t="s">
        <v>411</v>
      </c>
      <c r="J160" t="s">
        <v>436</v>
      </c>
      <c r="K160" t="s">
        <v>455</v>
      </c>
      <c r="L160" t="s">
        <v>649</v>
      </c>
      <c r="M160">
        <v>2111</v>
      </c>
      <c r="N160" t="s">
        <v>1193</v>
      </c>
      <c r="O160" t="s">
        <v>1252</v>
      </c>
      <c r="P160" t="s">
        <v>21</v>
      </c>
      <c r="Q160" t="s">
        <v>21</v>
      </c>
      <c r="R160" t="s">
        <v>1258</v>
      </c>
      <c r="S160" t="s">
        <v>1278</v>
      </c>
      <c r="T160" t="s">
        <v>1278</v>
      </c>
      <c r="U160" t="s">
        <v>1347</v>
      </c>
      <c r="V160" t="s">
        <v>1605</v>
      </c>
      <c r="W160" t="s">
        <v>1443</v>
      </c>
    </row>
    <row r="161" spans="1:23" x14ac:dyDescent="0.35">
      <c r="A161">
        <v>149</v>
      </c>
      <c r="B161">
        <v>2116</v>
      </c>
      <c r="C161">
        <v>2116</v>
      </c>
      <c r="D161" t="s">
        <v>21</v>
      </c>
      <c r="E161" t="s">
        <v>30</v>
      </c>
      <c r="F161" t="s">
        <v>245</v>
      </c>
      <c r="G161" t="s">
        <v>406</v>
      </c>
      <c r="H161" t="s">
        <v>411</v>
      </c>
      <c r="I161" t="s">
        <v>411</v>
      </c>
      <c r="J161" t="s">
        <v>436</v>
      </c>
      <c r="K161" t="s">
        <v>455</v>
      </c>
      <c r="L161" t="s">
        <v>650</v>
      </c>
      <c r="M161">
        <v>2111</v>
      </c>
      <c r="N161" t="s">
        <v>1193</v>
      </c>
      <c r="O161" t="s">
        <v>1252</v>
      </c>
      <c r="P161" t="s">
        <v>21</v>
      </c>
      <c r="Q161" t="s">
        <v>21</v>
      </c>
      <c r="R161" t="s">
        <v>1258</v>
      </c>
      <c r="S161" t="s">
        <v>1278</v>
      </c>
      <c r="T161" t="s">
        <v>1278</v>
      </c>
      <c r="U161" t="s">
        <v>1347</v>
      </c>
      <c r="V161" t="s">
        <v>1605</v>
      </c>
      <c r="W161" t="s">
        <v>1443</v>
      </c>
    </row>
    <row r="162" spans="1:23" x14ac:dyDescent="0.35">
      <c r="A162">
        <v>150</v>
      </c>
      <c r="B162">
        <v>2116</v>
      </c>
      <c r="C162">
        <v>2116</v>
      </c>
      <c r="D162" t="s">
        <v>21</v>
      </c>
      <c r="E162" t="s">
        <v>30</v>
      </c>
      <c r="F162" t="s">
        <v>245</v>
      </c>
      <c r="G162" t="s">
        <v>406</v>
      </c>
      <c r="H162" t="s">
        <v>411</v>
      </c>
      <c r="I162" t="s">
        <v>411</v>
      </c>
      <c r="J162" t="s">
        <v>436</v>
      </c>
      <c r="K162" t="s">
        <v>455</v>
      </c>
      <c r="L162" t="s">
        <v>651</v>
      </c>
      <c r="M162">
        <v>2111</v>
      </c>
      <c r="N162" t="s">
        <v>1193</v>
      </c>
      <c r="O162" t="s">
        <v>1252</v>
      </c>
      <c r="P162" t="s">
        <v>21</v>
      </c>
      <c r="Q162" t="s">
        <v>21</v>
      </c>
      <c r="R162" t="s">
        <v>1258</v>
      </c>
      <c r="S162" t="s">
        <v>1278</v>
      </c>
      <c r="T162" t="s">
        <v>1278</v>
      </c>
      <c r="U162" t="s">
        <v>1347</v>
      </c>
      <c r="V162" t="s">
        <v>1605</v>
      </c>
      <c r="W162" t="s">
        <v>1443</v>
      </c>
    </row>
    <row r="163" spans="1:23" x14ac:dyDescent="0.35">
      <c r="A163">
        <v>151</v>
      </c>
      <c r="B163">
        <v>2116</v>
      </c>
      <c r="C163">
        <v>2116</v>
      </c>
      <c r="D163" t="s">
        <v>21</v>
      </c>
      <c r="E163" t="s">
        <v>30</v>
      </c>
      <c r="F163" t="s">
        <v>245</v>
      </c>
      <c r="G163" t="s">
        <v>406</v>
      </c>
      <c r="H163" t="s">
        <v>411</v>
      </c>
      <c r="I163" t="s">
        <v>411</v>
      </c>
      <c r="J163" t="s">
        <v>436</v>
      </c>
      <c r="K163" t="s">
        <v>455</v>
      </c>
      <c r="L163" t="s">
        <v>652</v>
      </c>
      <c r="M163">
        <v>2111</v>
      </c>
      <c r="N163" t="s">
        <v>1193</v>
      </c>
      <c r="O163" t="s">
        <v>1252</v>
      </c>
      <c r="P163" t="s">
        <v>21</v>
      </c>
      <c r="Q163" t="s">
        <v>21</v>
      </c>
      <c r="R163" t="s">
        <v>1258</v>
      </c>
      <c r="S163" t="s">
        <v>1278</v>
      </c>
      <c r="T163" t="s">
        <v>1278</v>
      </c>
      <c r="U163" t="s">
        <v>1347</v>
      </c>
      <c r="V163" t="s">
        <v>1605</v>
      </c>
      <c r="W163" t="s">
        <v>1443</v>
      </c>
    </row>
    <row r="164" spans="1:23" x14ac:dyDescent="0.35">
      <c r="A164">
        <v>152</v>
      </c>
      <c r="B164">
        <v>2116</v>
      </c>
      <c r="C164">
        <v>2116</v>
      </c>
      <c r="D164" t="s">
        <v>21</v>
      </c>
      <c r="E164" t="s">
        <v>30</v>
      </c>
      <c r="F164" t="s">
        <v>245</v>
      </c>
      <c r="G164" t="s">
        <v>406</v>
      </c>
      <c r="H164" t="s">
        <v>411</v>
      </c>
      <c r="I164" t="s">
        <v>411</v>
      </c>
      <c r="J164" t="s">
        <v>436</v>
      </c>
      <c r="K164" t="s">
        <v>455</v>
      </c>
      <c r="L164" t="s">
        <v>653</v>
      </c>
      <c r="M164">
        <v>2111</v>
      </c>
      <c r="N164" t="s">
        <v>1193</v>
      </c>
      <c r="O164" t="s">
        <v>1252</v>
      </c>
      <c r="P164" t="s">
        <v>21</v>
      </c>
      <c r="Q164" t="s">
        <v>21</v>
      </c>
      <c r="R164" t="s">
        <v>1258</v>
      </c>
      <c r="S164" t="s">
        <v>1278</v>
      </c>
      <c r="T164" t="s">
        <v>1278</v>
      </c>
      <c r="U164" t="s">
        <v>1347</v>
      </c>
      <c r="V164" t="s">
        <v>1605</v>
      </c>
      <c r="W164" t="s">
        <v>1443</v>
      </c>
    </row>
    <row r="165" spans="1:23" x14ac:dyDescent="0.35">
      <c r="A165">
        <v>153</v>
      </c>
      <c r="B165">
        <v>2116</v>
      </c>
      <c r="C165">
        <v>2116</v>
      </c>
      <c r="D165" t="s">
        <v>21</v>
      </c>
      <c r="E165" t="s">
        <v>30</v>
      </c>
      <c r="F165" t="s">
        <v>245</v>
      </c>
      <c r="G165" t="s">
        <v>406</v>
      </c>
      <c r="H165" t="s">
        <v>411</v>
      </c>
      <c r="I165" t="s">
        <v>411</v>
      </c>
      <c r="J165" t="s">
        <v>436</v>
      </c>
      <c r="K165" t="s">
        <v>455</v>
      </c>
      <c r="L165" t="s">
        <v>654</v>
      </c>
      <c r="M165">
        <v>2111</v>
      </c>
      <c r="N165" t="s">
        <v>1193</v>
      </c>
      <c r="O165" t="s">
        <v>1252</v>
      </c>
      <c r="P165" t="s">
        <v>21</v>
      </c>
      <c r="Q165" t="s">
        <v>21</v>
      </c>
      <c r="R165" t="s">
        <v>1258</v>
      </c>
      <c r="S165" t="s">
        <v>1278</v>
      </c>
      <c r="T165" t="s">
        <v>1278</v>
      </c>
      <c r="U165" t="s">
        <v>1347</v>
      </c>
      <c r="V165" t="s">
        <v>1605</v>
      </c>
      <c r="W165" t="s">
        <v>1443</v>
      </c>
    </row>
    <row r="166" spans="1:23" x14ac:dyDescent="0.35">
      <c r="A166">
        <v>154</v>
      </c>
      <c r="B166">
        <v>2116</v>
      </c>
      <c r="C166">
        <v>2116</v>
      </c>
      <c r="D166" t="s">
        <v>21</v>
      </c>
      <c r="E166" t="s">
        <v>30</v>
      </c>
      <c r="F166" t="s">
        <v>245</v>
      </c>
      <c r="G166" t="s">
        <v>406</v>
      </c>
      <c r="H166" t="s">
        <v>411</v>
      </c>
      <c r="I166" t="s">
        <v>411</v>
      </c>
      <c r="J166" t="s">
        <v>436</v>
      </c>
      <c r="K166" t="s">
        <v>455</v>
      </c>
      <c r="L166" t="s">
        <v>655</v>
      </c>
      <c r="M166">
        <v>2111</v>
      </c>
      <c r="N166" t="s">
        <v>1193</v>
      </c>
      <c r="O166" t="s">
        <v>1252</v>
      </c>
      <c r="P166" t="s">
        <v>21</v>
      </c>
      <c r="Q166" t="s">
        <v>21</v>
      </c>
      <c r="R166" t="s">
        <v>1258</v>
      </c>
      <c r="S166" t="s">
        <v>1278</v>
      </c>
      <c r="T166" t="s">
        <v>1278</v>
      </c>
      <c r="U166" t="s">
        <v>1347</v>
      </c>
      <c r="V166" t="s">
        <v>1605</v>
      </c>
      <c r="W166" t="s">
        <v>1443</v>
      </c>
    </row>
    <row r="167" spans="1:23" x14ac:dyDescent="0.35">
      <c r="A167">
        <v>155</v>
      </c>
      <c r="B167">
        <v>2116</v>
      </c>
      <c r="C167">
        <v>2116</v>
      </c>
      <c r="D167" t="s">
        <v>21</v>
      </c>
      <c r="E167" t="s">
        <v>30</v>
      </c>
      <c r="F167" t="s">
        <v>245</v>
      </c>
      <c r="G167" t="s">
        <v>406</v>
      </c>
      <c r="H167" t="s">
        <v>411</v>
      </c>
      <c r="I167" t="s">
        <v>411</v>
      </c>
      <c r="J167" t="s">
        <v>436</v>
      </c>
      <c r="K167" t="s">
        <v>455</v>
      </c>
      <c r="L167" t="s">
        <v>656</v>
      </c>
      <c r="M167">
        <v>2111</v>
      </c>
      <c r="N167" t="s">
        <v>1193</v>
      </c>
      <c r="O167" t="s">
        <v>1252</v>
      </c>
      <c r="P167" t="s">
        <v>21</v>
      </c>
      <c r="Q167" t="s">
        <v>21</v>
      </c>
      <c r="R167" t="s">
        <v>1258</v>
      </c>
      <c r="S167" t="s">
        <v>1278</v>
      </c>
      <c r="T167" t="s">
        <v>1278</v>
      </c>
      <c r="U167" t="s">
        <v>1347</v>
      </c>
      <c r="V167" t="s">
        <v>1605</v>
      </c>
      <c r="W167" t="s">
        <v>1443</v>
      </c>
    </row>
    <row r="168" spans="1:23" x14ac:dyDescent="0.35">
      <c r="A168">
        <v>156</v>
      </c>
      <c r="B168">
        <v>2116</v>
      </c>
      <c r="C168">
        <v>2116</v>
      </c>
      <c r="D168" t="s">
        <v>21</v>
      </c>
      <c r="E168" t="s">
        <v>30</v>
      </c>
      <c r="F168" t="s">
        <v>245</v>
      </c>
      <c r="G168" t="s">
        <v>406</v>
      </c>
      <c r="H168" t="s">
        <v>411</v>
      </c>
      <c r="I168" t="s">
        <v>411</v>
      </c>
      <c r="J168" t="s">
        <v>436</v>
      </c>
      <c r="K168" t="s">
        <v>455</v>
      </c>
      <c r="L168" t="s">
        <v>657</v>
      </c>
      <c r="M168">
        <v>2111</v>
      </c>
      <c r="N168" t="s">
        <v>1193</v>
      </c>
      <c r="O168" t="s">
        <v>1252</v>
      </c>
      <c r="P168" t="s">
        <v>21</v>
      </c>
      <c r="Q168" t="s">
        <v>21</v>
      </c>
      <c r="R168" t="s">
        <v>1258</v>
      </c>
      <c r="S168" t="s">
        <v>1278</v>
      </c>
      <c r="T168" t="s">
        <v>1278</v>
      </c>
      <c r="U168" t="s">
        <v>1347</v>
      </c>
      <c r="V168" t="s">
        <v>1605</v>
      </c>
      <c r="W168" t="s">
        <v>1443</v>
      </c>
    </row>
    <row r="169" spans="1:23" x14ac:dyDescent="0.35">
      <c r="A169">
        <v>157</v>
      </c>
      <c r="B169">
        <v>2116</v>
      </c>
      <c r="C169">
        <v>2116</v>
      </c>
      <c r="D169" t="s">
        <v>21</v>
      </c>
      <c r="E169" t="s">
        <v>30</v>
      </c>
      <c r="F169" t="s">
        <v>245</v>
      </c>
      <c r="G169" t="s">
        <v>406</v>
      </c>
      <c r="H169" t="s">
        <v>411</v>
      </c>
      <c r="I169" t="s">
        <v>411</v>
      </c>
      <c r="J169" t="s">
        <v>436</v>
      </c>
      <c r="K169" t="s">
        <v>455</v>
      </c>
      <c r="L169" t="s">
        <v>658</v>
      </c>
      <c r="M169">
        <v>2111</v>
      </c>
      <c r="N169" t="s">
        <v>1193</v>
      </c>
      <c r="O169" t="s">
        <v>1252</v>
      </c>
      <c r="P169" t="s">
        <v>21</v>
      </c>
      <c r="Q169" t="s">
        <v>21</v>
      </c>
      <c r="R169" t="s">
        <v>1258</v>
      </c>
      <c r="S169" t="s">
        <v>1278</v>
      </c>
      <c r="T169" t="s">
        <v>1278</v>
      </c>
      <c r="U169" t="s">
        <v>1347</v>
      </c>
      <c r="V169" t="s">
        <v>1605</v>
      </c>
      <c r="W169" t="s">
        <v>1443</v>
      </c>
    </row>
    <row r="170" spans="1:23" x14ac:dyDescent="0.35">
      <c r="A170">
        <v>158</v>
      </c>
      <c r="B170">
        <v>2116</v>
      </c>
      <c r="C170">
        <v>2116</v>
      </c>
      <c r="D170" t="s">
        <v>21</v>
      </c>
      <c r="E170" t="s">
        <v>30</v>
      </c>
      <c r="F170" t="s">
        <v>245</v>
      </c>
      <c r="G170" t="s">
        <v>406</v>
      </c>
      <c r="H170" t="s">
        <v>411</v>
      </c>
      <c r="I170" t="s">
        <v>411</v>
      </c>
      <c r="J170" t="s">
        <v>436</v>
      </c>
      <c r="K170" t="s">
        <v>455</v>
      </c>
      <c r="L170" t="s">
        <v>659</v>
      </c>
      <c r="M170">
        <v>2111</v>
      </c>
      <c r="N170" t="s">
        <v>1193</v>
      </c>
      <c r="O170" t="s">
        <v>1252</v>
      </c>
      <c r="P170" t="s">
        <v>21</v>
      </c>
      <c r="Q170" t="s">
        <v>21</v>
      </c>
      <c r="R170" t="s">
        <v>1258</v>
      </c>
      <c r="S170" t="s">
        <v>1278</v>
      </c>
      <c r="T170" t="s">
        <v>1278</v>
      </c>
      <c r="U170" t="s">
        <v>1347</v>
      </c>
      <c r="V170" t="s">
        <v>1605</v>
      </c>
      <c r="W170" t="s">
        <v>1443</v>
      </c>
    </row>
    <row r="171" spans="1:23" x14ac:dyDescent="0.35">
      <c r="A171">
        <v>159</v>
      </c>
      <c r="B171">
        <v>2116</v>
      </c>
      <c r="C171">
        <v>2116</v>
      </c>
      <c r="D171" t="s">
        <v>21</v>
      </c>
      <c r="E171" t="s">
        <v>30</v>
      </c>
      <c r="F171" t="s">
        <v>245</v>
      </c>
      <c r="G171" t="s">
        <v>406</v>
      </c>
      <c r="H171" t="s">
        <v>411</v>
      </c>
      <c r="I171" t="s">
        <v>411</v>
      </c>
      <c r="J171" t="s">
        <v>436</v>
      </c>
      <c r="K171" t="s">
        <v>455</v>
      </c>
      <c r="L171" t="s">
        <v>660</v>
      </c>
      <c r="M171">
        <v>2111</v>
      </c>
      <c r="N171" t="s">
        <v>1193</v>
      </c>
      <c r="O171" t="s">
        <v>1252</v>
      </c>
      <c r="P171" t="s">
        <v>21</v>
      </c>
      <c r="Q171" t="s">
        <v>21</v>
      </c>
      <c r="R171" t="s">
        <v>1258</v>
      </c>
      <c r="S171" t="s">
        <v>1278</v>
      </c>
      <c r="T171" t="s">
        <v>1278</v>
      </c>
      <c r="U171" t="s">
        <v>1347</v>
      </c>
      <c r="V171" t="s">
        <v>1605</v>
      </c>
      <c r="W171" t="s">
        <v>1443</v>
      </c>
    </row>
    <row r="172" spans="1:23" x14ac:dyDescent="0.35">
      <c r="A172">
        <v>160</v>
      </c>
      <c r="B172">
        <v>2116</v>
      </c>
      <c r="C172">
        <v>2116</v>
      </c>
      <c r="D172" t="s">
        <v>21</v>
      </c>
      <c r="E172" t="s">
        <v>30</v>
      </c>
      <c r="F172" t="s">
        <v>245</v>
      </c>
      <c r="G172" t="s">
        <v>406</v>
      </c>
      <c r="H172" t="s">
        <v>411</v>
      </c>
      <c r="I172" t="s">
        <v>411</v>
      </c>
      <c r="J172" t="s">
        <v>436</v>
      </c>
      <c r="K172" t="s">
        <v>455</v>
      </c>
      <c r="L172" t="s">
        <v>661</v>
      </c>
      <c r="M172">
        <v>2111</v>
      </c>
      <c r="N172" t="s">
        <v>1193</v>
      </c>
      <c r="O172" t="s">
        <v>1252</v>
      </c>
      <c r="P172" t="s">
        <v>21</v>
      </c>
      <c r="Q172" t="s">
        <v>21</v>
      </c>
      <c r="R172" t="s">
        <v>1258</v>
      </c>
      <c r="S172" t="s">
        <v>1278</v>
      </c>
      <c r="T172" t="s">
        <v>1278</v>
      </c>
      <c r="U172" t="s">
        <v>1347</v>
      </c>
      <c r="V172" t="s">
        <v>1605</v>
      </c>
      <c r="W172" t="s">
        <v>1443</v>
      </c>
    </row>
    <row r="173" spans="1:23" x14ac:dyDescent="0.35">
      <c r="A173">
        <v>161</v>
      </c>
      <c r="B173">
        <v>2116</v>
      </c>
      <c r="C173">
        <v>2116</v>
      </c>
      <c r="D173" t="s">
        <v>21</v>
      </c>
      <c r="E173" t="s">
        <v>30</v>
      </c>
      <c r="F173" t="s">
        <v>245</v>
      </c>
      <c r="G173" t="s">
        <v>406</v>
      </c>
      <c r="H173" t="s">
        <v>411</v>
      </c>
      <c r="I173" t="s">
        <v>411</v>
      </c>
      <c r="J173" t="s">
        <v>436</v>
      </c>
      <c r="K173" t="s">
        <v>455</v>
      </c>
      <c r="L173" t="s">
        <v>662</v>
      </c>
      <c r="M173">
        <v>2111</v>
      </c>
      <c r="N173" t="s">
        <v>1193</v>
      </c>
      <c r="O173" t="s">
        <v>1252</v>
      </c>
      <c r="P173" t="s">
        <v>21</v>
      </c>
      <c r="Q173" t="s">
        <v>21</v>
      </c>
      <c r="R173" t="s">
        <v>1258</v>
      </c>
      <c r="S173" t="s">
        <v>1278</v>
      </c>
      <c r="T173" t="s">
        <v>1278</v>
      </c>
      <c r="U173" t="s">
        <v>1347</v>
      </c>
      <c r="V173" t="s">
        <v>1605</v>
      </c>
      <c r="W173" t="s">
        <v>1443</v>
      </c>
    </row>
    <row r="174" spans="1:23" x14ac:dyDescent="0.35">
      <c r="A174">
        <v>162</v>
      </c>
      <c r="B174">
        <v>2116</v>
      </c>
      <c r="C174">
        <v>2116</v>
      </c>
      <c r="D174" t="s">
        <v>21</v>
      </c>
      <c r="E174" t="s">
        <v>30</v>
      </c>
      <c r="F174" t="s">
        <v>245</v>
      </c>
      <c r="G174" t="s">
        <v>406</v>
      </c>
      <c r="H174" t="s">
        <v>411</v>
      </c>
      <c r="I174" t="s">
        <v>411</v>
      </c>
      <c r="J174" t="s">
        <v>436</v>
      </c>
      <c r="K174" t="s">
        <v>455</v>
      </c>
      <c r="L174" t="s">
        <v>663</v>
      </c>
      <c r="M174">
        <v>2111</v>
      </c>
      <c r="N174" t="s">
        <v>1193</v>
      </c>
      <c r="O174" t="s">
        <v>1252</v>
      </c>
      <c r="P174" t="s">
        <v>21</v>
      </c>
      <c r="Q174" t="s">
        <v>21</v>
      </c>
      <c r="R174" t="s">
        <v>1258</v>
      </c>
      <c r="S174" t="s">
        <v>1278</v>
      </c>
      <c r="T174" t="s">
        <v>1278</v>
      </c>
      <c r="U174" t="s">
        <v>1347</v>
      </c>
      <c r="V174" t="s">
        <v>1605</v>
      </c>
      <c r="W174" t="s">
        <v>1443</v>
      </c>
    </row>
    <row r="175" spans="1:23" x14ac:dyDescent="0.35">
      <c r="A175">
        <v>163</v>
      </c>
      <c r="B175">
        <v>2116</v>
      </c>
      <c r="C175">
        <v>2116</v>
      </c>
      <c r="D175" t="s">
        <v>21</v>
      </c>
      <c r="E175" t="s">
        <v>30</v>
      </c>
      <c r="F175" t="s">
        <v>245</v>
      </c>
      <c r="G175" t="s">
        <v>406</v>
      </c>
      <c r="H175" t="s">
        <v>411</v>
      </c>
      <c r="I175" t="s">
        <v>411</v>
      </c>
      <c r="J175" t="s">
        <v>436</v>
      </c>
      <c r="K175" t="s">
        <v>455</v>
      </c>
      <c r="L175" t="s">
        <v>664</v>
      </c>
      <c r="M175">
        <v>2111</v>
      </c>
      <c r="N175" t="s">
        <v>1193</v>
      </c>
      <c r="O175" t="s">
        <v>1252</v>
      </c>
      <c r="P175" t="s">
        <v>21</v>
      </c>
      <c r="Q175" t="s">
        <v>21</v>
      </c>
      <c r="R175" t="s">
        <v>1258</v>
      </c>
      <c r="S175" t="s">
        <v>1278</v>
      </c>
      <c r="T175" t="s">
        <v>1278</v>
      </c>
      <c r="U175" t="s">
        <v>1347</v>
      </c>
      <c r="V175" t="s">
        <v>1605</v>
      </c>
      <c r="W175" t="s">
        <v>1443</v>
      </c>
    </row>
    <row r="176" spans="1:23" x14ac:dyDescent="0.35">
      <c r="A176">
        <v>164</v>
      </c>
      <c r="B176">
        <v>2116</v>
      </c>
      <c r="C176">
        <v>2116</v>
      </c>
      <c r="D176" t="s">
        <v>21</v>
      </c>
      <c r="E176" t="s">
        <v>30</v>
      </c>
      <c r="F176" t="s">
        <v>245</v>
      </c>
      <c r="G176" t="s">
        <v>406</v>
      </c>
      <c r="H176" t="s">
        <v>411</v>
      </c>
      <c r="I176" t="s">
        <v>411</v>
      </c>
      <c r="J176" t="s">
        <v>436</v>
      </c>
      <c r="K176" t="s">
        <v>455</v>
      </c>
      <c r="L176" t="s">
        <v>665</v>
      </c>
      <c r="M176">
        <v>2111</v>
      </c>
      <c r="N176" t="s">
        <v>1193</v>
      </c>
      <c r="O176" t="s">
        <v>1252</v>
      </c>
      <c r="P176" t="s">
        <v>21</v>
      </c>
      <c r="Q176" t="s">
        <v>21</v>
      </c>
      <c r="R176" t="s">
        <v>1258</v>
      </c>
      <c r="S176" t="s">
        <v>1278</v>
      </c>
      <c r="T176" t="s">
        <v>1278</v>
      </c>
      <c r="U176" t="s">
        <v>1347</v>
      </c>
      <c r="V176" t="s">
        <v>1605</v>
      </c>
      <c r="W176" t="s">
        <v>1443</v>
      </c>
    </row>
    <row r="177" spans="1:23" x14ac:dyDescent="0.35">
      <c r="A177">
        <v>165</v>
      </c>
      <c r="B177">
        <v>2116</v>
      </c>
      <c r="C177">
        <v>2116</v>
      </c>
      <c r="D177" t="s">
        <v>21</v>
      </c>
      <c r="E177" t="s">
        <v>30</v>
      </c>
      <c r="F177" t="s">
        <v>245</v>
      </c>
      <c r="G177" t="s">
        <v>406</v>
      </c>
      <c r="H177" t="s">
        <v>411</v>
      </c>
      <c r="I177" t="s">
        <v>411</v>
      </c>
      <c r="J177" t="s">
        <v>436</v>
      </c>
      <c r="K177" t="s">
        <v>455</v>
      </c>
      <c r="L177" t="s">
        <v>666</v>
      </c>
      <c r="M177">
        <v>2111</v>
      </c>
      <c r="N177" t="s">
        <v>1193</v>
      </c>
      <c r="O177" t="s">
        <v>1252</v>
      </c>
      <c r="P177" t="s">
        <v>21</v>
      </c>
      <c r="Q177" t="s">
        <v>21</v>
      </c>
      <c r="R177" t="s">
        <v>1258</v>
      </c>
      <c r="S177" t="s">
        <v>1278</v>
      </c>
      <c r="T177" t="s">
        <v>1278</v>
      </c>
      <c r="U177" t="s">
        <v>1347</v>
      </c>
      <c r="V177" t="s">
        <v>1605</v>
      </c>
      <c r="W177" t="s">
        <v>1443</v>
      </c>
    </row>
    <row r="178" spans="1:23" x14ac:dyDescent="0.35">
      <c r="A178">
        <v>166</v>
      </c>
      <c r="B178">
        <v>2116</v>
      </c>
      <c r="C178">
        <v>2116</v>
      </c>
      <c r="D178" t="s">
        <v>21</v>
      </c>
      <c r="E178" t="s">
        <v>30</v>
      </c>
      <c r="F178" t="s">
        <v>245</v>
      </c>
      <c r="G178" t="s">
        <v>406</v>
      </c>
      <c r="H178" t="s">
        <v>411</v>
      </c>
      <c r="I178" t="s">
        <v>411</v>
      </c>
      <c r="J178" t="s">
        <v>436</v>
      </c>
      <c r="K178" t="s">
        <v>455</v>
      </c>
      <c r="L178" t="s">
        <v>667</v>
      </c>
      <c r="M178">
        <v>2111</v>
      </c>
      <c r="N178" t="s">
        <v>1193</v>
      </c>
      <c r="O178" t="s">
        <v>1252</v>
      </c>
      <c r="P178" t="s">
        <v>21</v>
      </c>
      <c r="Q178" t="s">
        <v>21</v>
      </c>
      <c r="R178" t="s">
        <v>1258</v>
      </c>
      <c r="S178" t="s">
        <v>1278</v>
      </c>
      <c r="T178" t="s">
        <v>1278</v>
      </c>
      <c r="U178" t="s">
        <v>1347</v>
      </c>
      <c r="V178" t="s">
        <v>1605</v>
      </c>
      <c r="W178" t="s">
        <v>1443</v>
      </c>
    </row>
    <row r="179" spans="1:23" x14ac:dyDescent="0.35">
      <c r="A179">
        <v>167</v>
      </c>
      <c r="B179">
        <v>2116</v>
      </c>
      <c r="C179">
        <v>2116</v>
      </c>
      <c r="D179" t="s">
        <v>21</v>
      </c>
      <c r="E179" t="s">
        <v>30</v>
      </c>
      <c r="F179" t="s">
        <v>245</v>
      </c>
      <c r="G179" t="s">
        <v>406</v>
      </c>
      <c r="H179" t="s">
        <v>411</v>
      </c>
      <c r="I179" t="s">
        <v>411</v>
      </c>
      <c r="J179" t="s">
        <v>436</v>
      </c>
      <c r="K179" t="s">
        <v>455</v>
      </c>
      <c r="L179" t="s">
        <v>668</v>
      </c>
      <c r="M179">
        <v>2111</v>
      </c>
      <c r="N179" t="s">
        <v>1193</v>
      </c>
      <c r="O179" t="s">
        <v>1252</v>
      </c>
      <c r="P179" t="s">
        <v>21</v>
      </c>
      <c r="Q179" t="s">
        <v>21</v>
      </c>
      <c r="R179" t="s">
        <v>1258</v>
      </c>
      <c r="S179" t="s">
        <v>1278</v>
      </c>
      <c r="T179" t="s">
        <v>1278</v>
      </c>
      <c r="U179" t="s">
        <v>1347</v>
      </c>
      <c r="V179" t="s">
        <v>1605</v>
      </c>
      <c r="W179" t="s">
        <v>1443</v>
      </c>
    </row>
    <row r="180" spans="1:23" x14ac:dyDescent="0.35">
      <c r="A180">
        <v>168</v>
      </c>
      <c r="B180">
        <v>2116</v>
      </c>
      <c r="C180">
        <v>2116</v>
      </c>
      <c r="D180" t="s">
        <v>21</v>
      </c>
      <c r="E180" t="s">
        <v>30</v>
      </c>
      <c r="F180" t="s">
        <v>245</v>
      </c>
      <c r="G180" t="s">
        <v>406</v>
      </c>
      <c r="H180" t="s">
        <v>411</v>
      </c>
      <c r="I180" t="s">
        <v>411</v>
      </c>
      <c r="J180" t="s">
        <v>436</v>
      </c>
      <c r="K180" t="s">
        <v>455</v>
      </c>
      <c r="L180" t="s">
        <v>669</v>
      </c>
      <c r="M180">
        <v>2111</v>
      </c>
      <c r="N180" t="s">
        <v>1193</v>
      </c>
      <c r="O180" t="s">
        <v>1252</v>
      </c>
      <c r="P180" t="s">
        <v>21</v>
      </c>
      <c r="Q180" t="s">
        <v>21</v>
      </c>
      <c r="R180" t="s">
        <v>1258</v>
      </c>
      <c r="S180" t="s">
        <v>1278</v>
      </c>
      <c r="T180" t="s">
        <v>1278</v>
      </c>
      <c r="U180" t="s">
        <v>1347</v>
      </c>
      <c r="V180" t="s">
        <v>1605</v>
      </c>
      <c r="W180" t="s">
        <v>1443</v>
      </c>
    </row>
    <row r="181" spans="1:23" x14ac:dyDescent="0.35">
      <c r="A181">
        <v>169</v>
      </c>
      <c r="B181">
        <v>2116</v>
      </c>
      <c r="C181">
        <v>2116</v>
      </c>
      <c r="D181" t="s">
        <v>21</v>
      </c>
      <c r="E181" t="s">
        <v>30</v>
      </c>
      <c r="F181" t="s">
        <v>245</v>
      </c>
      <c r="G181" t="s">
        <v>406</v>
      </c>
      <c r="H181" t="s">
        <v>411</v>
      </c>
      <c r="I181" t="s">
        <v>411</v>
      </c>
      <c r="J181" t="s">
        <v>436</v>
      </c>
      <c r="K181" t="s">
        <v>455</v>
      </c>
      <c r="L181" t="s">
        <v>670</v>
      </c>
      <c r="M181">
        <v>2111</v>
      </c>
      <c r="N181" t="s">
        <v>1193</v>
      </c>
      <c r="O181" t="s">
        <v>1252</v>
      </c>
      <c r="P181" t="s">
        <v>21</v>
      </c>
      <c r="Q181" t="s">
        <v>21</v>
      </c>
      <c r="R181" t="s">
        <v>1258</v>
      </c>
      <c r="S181" t="s">
        <v>1278</v>
      </c>
      <c r="T181" t="s">
        <v>1278</v>
      </c>
      <c r="U181" t="s">
        <v>1347</v>
      </c>
      <c r="V181" t="s">
        <v>1605</v>
      </c>
      <c r="W181" t="s">
        <v>1443</v>
      </c>
    </row>
    <row r="182" spans="1:23" x14ac:dyDescent="0.35">
      <c r="A182">
        <v>170</v>
      </c>
      <c r="B182">
        <v>2116</v>
      </c>
      <c r="C182">
        <v>2116</v>
      </c>
      <c r="D182" t="s">
        <v>21</v>
      </c>
      <c r="E182" t="s">
        <v>30</v>
      </c>
      <c r="F182" t="s">
        <v>245</v>
      </c>
      <c r="G182" t="s">
        <v>406</v>
      </c>
      <c r="H182" t="s">
        <v>411</v>
      </c>
      <c r="I182" t="s">
        <v>411</v>
      </c>
      <c r="J182" t="s">
        <v>436</v>
      </c>
      <c r="K182" t="s">
        <v>455</v>
      </c>
      <c r="L182" t="s">
        <v>671</v>
      </c>
      <c r="M182">
        <v>2111</v>
      </c>
      <c r="N182" t="s">
        <v>1193</v>
      </c>
      <c r="O182" t="s">
        <v>1252</v>
      </c>
      <c r="P182" t="s">
        <v>21</v>
      </c>
      <c r="Q182" t="s">
        <v>21</v>
      </c>
      <c r="R182" t="s">
        <v>1258</v>
      </c>
      <c r="S182" t="s">
        <v>1278</v>
      </c>
      <c r="T182" t="s">
        <v>1278</v>
      </c>
      <c r="U182" t="s">
        <v>1347</v>
      </c>
      <c r="V182" t="s">
        <v>1605</v>
      </c>
      <c r="W182" t="s">
        <v>1443</v>
      </c>
    </row>
    <row r="183" spans="1:23" x14ac:dyDescent="0.35">
      <c r="A183">
        <v>171</v>
      </c>
      <c r="B183">
        <v>2116</v>
      </c>
      <c r="C183">
        <v>2116</v>
      </c>
      <c r="D183" t="s">
        <v>21</v>
      </c>
      <c r="E183" t="s">
        <v>30</v>
      </c>
      <c r="F183" t="s">
        <v>245</v>
      </c>
      <c r="G183" t="s">
        <v>406</v>
      </c>
      <c r="H183" t="s">
        <v>411</v>
      </c>
      <c r="I183" t="s">
        <v>411</v>
      </c>
      <c r="J183" t="s">
        <v>436</v>
      </c>
      <c r="K183" t="s">
        <v>455</v>
      </c>
      <c r="L183" t="s">
        <v>672</v>
      </c>
      <c r="M183">
        <v>2111</v>
      </c>
      <c r="N183" t="s">
        <v>1193</v>
      </c>
      <c r="O183" t="s">
        <v>1252</v>
      </c>
      <c r="P183" t="s">
        <v>21</v>
      </c>
      <c r="Q183" t="s">
        <v>21</v>
      </c>
      <c r="R183" t="s">
        <v>1258</v>
      </c>
      <c r="S183" t="s">
        <v>1278</v>
      </c>
      <c r="T183" t="s">
        <v>1278</v>
      </c>
      <c r="U183" t="s">
        <v>1347</v>
      </c>
      <c r="V183" t="s">
        <v>1605</v>
      </c>
      <c r="W183" t="s">
        <v>1443</v>
      </c>
    </row>
    <row r="184" spans="1:23" x14ac:dyDescent="0.35">
      <c r="A184">
        <v>172</v>
      </c>
      <c r="B184">
        <v>2116</v>
      </c>
      <c r="C184">
        <v>2116</v>
      </c>
      <c r="D184" t="s">
        <v>21</v>
      </c>
      <c r="E184" t="s">
        <v>30</v>
      </c>
      <c r="F184" t="s">
        <v>245</v>
      </c>
      <c r="G184" t="s">
        <v>406</v>
      </c>
      <c r="H184" t="s">
        <v>411</v>
      </c>
      <c r="I184" t="s">
        <v>411</v>
      </c>
      <c r="J184" t="s">
        <v>436</v>
      </c>
      <c r="K184" t="s">
        <v>455</v>
      </c>
      <c r="L184" t="s">
        <v>673</v>
      </c>
      <c r="M184">
        <v>2111</v>
      </c>
      <c r="N184" t="s">
        <v>1193</v>
      </c>
      <c r="O184" t="s">
        <v>1252</v>
      </c>
      <c r="P184" t="s">
        <v>21</v>
      </c>
      <c r="Q184" t="s">
        <v>21</v>
      </c>
      <c r="R184" t="s">
        <v>1258</v>
      </c>
      <c r="S184" t="s">
        <v>1278</v>
      </c>
      <c r="T184" t="s">
        <v>1278</v>
      </c>
      <c r="U184" t="s">
        <v>1347</v>
      </c>
      <c r="V184" t="s">
        <v>1605</v>
      </c>
      <c r="W184" t="s">
        <v>1443</v>
      </c>
    </row>
    <row r="185" spans="1:23" x14ac:dyDescent="0.35">
      <c r="A185">
        <v>173</v>
      </c>
      <c r="B185">
        <v>2116</v>
      </c>
      <c r="C185">
        <v>2116</v>
      </c>
      <c r="D185" t="s">
        <v>21</v>
      </c>
      <c r="E185" t="s">
        <v>30</v>
      </c>
      <c r="F185" t="s">
        <v>245</v>
      </c>
      <c r="G185" t="s">
        <v>406</v>
      </c>
      <c r="H185" t="s">
        <v>411</v>
      </c>
      <c r="I185" t="s">
        <v>411</v>
      </c>
      <c r="J185" t="s">
        <v>436</v>
      </c>
      <c r="K185" t="s">
        <v>455</v>
      </c>
      <c r="L185" t="s">
        <v>674</v>
      </c>
      <c r="M185">
        <v>2111</v>
      </c>
      <c r="N185" t="s">
        <v>1193</v>
      </c>
      <c r="O185" t="s">
        <v>1252</v>
      </c>
      <c r="P185" t="s">
        <v>21</v>
      </c>
      <c r="Q185" t="s">
        <v>21</v>
      </c>
      <c r="R185" t="s">
        <v>1258</v>
      </c>
      <c r="S185" t="s">
        <v>1278</v>
      </c>
      <c r="T185" t="s">
        <v>1278</v>
      </c>
      <c r="U185" t="s">
        <v>1347</v>
      </c>
      <c r="V185" t="s">
        <v>1605</v>
      </c>
      <c r="W185" t="s">
        <v>1443</v>
      </c>
    </row>
    <row r="186" spans="1:23" x14ac:dyDescent="0.35">
      <c r="A186">
        <v>174</v>
      </c>
      <c r="B186">
        <v>2116</v>
      </c>
      <c r="C186">
        <v>2116</v>
      </c>
      <c r="D186" t="s">
        <v>21</v>
      </c>
      <c r="E186" t="s">
        <v>30</v>
      </c>
      <c r="F186" t="s">
        <v>245</v>
      </c>
      <c r="G186" t="s">
        <v>406</v>
      </c>
      <c r="H186" t="s">
        <v>411</v>
      </c>
      <c r="I186" t="s">
        <v>411</v>
      </c>
      <c r="J186" t="s">
        <v>436</v>
      </c>
      <c r="K186" t="s">
        <v>455</v>
      </c>
      <c r="L186" t="s">
        <v>675</v>
      </c>
      <c r="M186">
        <v>2111</v>
      </c>
      <c r="N186" t="s">
        <v>1193</v>
      </c>
      <c r="O186" t="s">
        <v>1252</v>
      </c>
      <c r="P186" t="s">
        <v>21</v>
      </c>
      <c r="Q186" t="s">
        <v>21</v>
      </c>
      <c r="R186" t="s">
        <v>1258</v>
      </c>
      <c r="S186" t="s">
        <v>1278</v>
      </c>
      <c r="T186" t="s">
        <v>1278</v>
      </c>
      <c r="U186" t="s">
        <v>1347</v>
      </c>
      <c r="V186" t="s">
        <v>1605</v>
      </c>
      <c r="W186" t="s">
        <v>1443</v>
      </c>
    </row>
    <row r="187" spans="1:23" x14ac:dyDescent="0.35">
      <c r="A187">
        <v>175</v>
      </c>
      <c r="B187">
        <v>2116</v>
      </c>
      <c r="C187">
        <v>2116</v>
      </c>
      <c r="D187" t="s">
        <v>21</v>
      </c>
      <c r="E187" t="s">
        <v>30</v>
      </c>
      <c r="F187" t="s">
        <v>245</v>
      </c>
      <c r="G187" t="s">
        <v>406</v>
      </c>
      <c r="H187" t="s">
        <v>411</v>
      </c>
      <c r="I187" t="s">
        <v>411</v>
      </c>
      <c r="J187" t="s">
        <v>436</v>
      </c>
      <c r="K187" t="s">
        <v>455</v>
      </c>
      <c r="L187" t="s">
        <v>676</v>
      </c>
      <c r="M187">
        <v>2111</v>
      </c>
      <c r="N187" t="s">
        <v>1193</v>
      </c>
      <c r="O187" t="s">
        <v>1252</v>
      </c>
      <c r="P187" t="s">
        <v>21</v>
      </c>
      <c r="Q187" t="s">
        <v>21</v>
      </c>
      <c r="R187" t="s">
        <v>1258</v>
      </c>
      <c r="S187" t="s">
        <v>1278</v>
      </c>
      <c r="T187" t="s">
        <v>1278</v>
      </c>
      <c r="U187" t="s">
        <v>1347</v>
      </c>
      <c r="V187" t="s">
        <v>1605</v>
      </c>
      <c r="W187" t="s">
        <v>1443</v>
      </c>
    </row>
    <row r="188" spans="1:23" x14ac:dyDescent="0.35">
      <c r="A188">
        <v>176</v>
      </c>
      <c r="B188">
        <v>2116</v>
      </c>
      <c r="C188">
        <v>2116</v>
      </c>
      <c r="D188" t="s">
        <v>21</v>
      </c>
      <c r="E188" t="s">
        <v>30</v>
      </c>
      <c r="F188" t="s">
        <v>245</v>
      </c>
      <c r="G188" t="s">
        <v>406</v>
      </c>
      <c r="H188" t="s">
        <v>411</v>
      </c>
      <c r="I188" t="s">
        <v>411</v>
      </c>
      <c r="J188" t="s">
        <v>436</v>
      </c>
      <c r="K188" t="s">
        <v>455</v>
      </c>
      <c r="L188" t="s">
        <v>677</v>
      </c>
      <c r="M188">
        <v>2111</v>
      </c>
      <c r="N188" t="s">
        <v>1193</v>
      </c>
      <c r="O188" t="s">
        <v>1252</v>
      </c>
      <c r="P188" t="s">
        <v>21</v>
      </c>
      <c r="Q188" t="s">
        <v>21</v>
      </c>
      <c r="R188" t="s">
        <v>1258</v>
      </c>
      <c r="S188" t="s">
        <v>1278</v>
      </c>
      <c r="T188" t="s">
        <v>1278</v>
      </c>
      <c r="U188" t="s">
        <v>1347</v>
      </c>
      <c r="V188" t="s">
        <v>1605</v>
      </c>
      <c r="W188" t="s">
        <v>1443</v>
      </c>
    </row>
    <row r="189" spans="1:23" x14ac:dyDescent="0.35">
      <c r="A189">
        <v>177</v>
      </c>
      <c r="B189">
        <v>2116</v>
      </c>
      <c r="C189">
        <v>2116</v>
      </c>
      <c r="D189" t="s">
        <v>21</v>
      </c>
      <c r="E189" t="s">
        <v>30</v>
      </c>
      <c r="F189" t="s">
        <v>245</v>
      </c>
      <c r="G189" t="s">
        <v>406</v>
      </c>
      <c r="H189" t="s">
        <v>411</v>
      </c>
      <c r="I189" t="s">
        <v>411</v>
      </c>
      <c r="J189" t="s">
        <v>436</v>
      </c>
      <c r="K189" t="s">
        <v>455</v>
      </c>
      <c r="L189" t="s">
        <v>678</v>
      </c>
      <c r="M189">
        <v>2111</v>
      </c>
      <c r="N189" t="s">
        <v>1193</v>
      </c>
      <c r="O189" t="s">
        <v>1252</v>
      </c>
      <c r="P189" t="s">
        <v>21</v>
      </c>
      <c r="Q189" t="s">
        <v>21</v>
      </c>
      <c r="R189" t="s">
        <v>1258</v>
      </c>
      <c r="S189" t="s">
        <v>1278</v>
      </c>
      <c r="T189" t="s">
        <v>1278</v>
      </c>
      <c r="U189" t="s">
        <v>1347</v>
      </c>
      <c r="V189" t="s">
        <v>1605</v>
      </c>
      <c r="W189" t="s">
        <v>1443</v>
      </c>
    </row>
    <row r="190" spans="1:23" x14ac:dyDescent="0.35">
      <c r="A190">
        <v>178</v>
      </c>
      <c r="B190">
        <v>2116</v>
      </c>
      <c r="C190">
        <v>2116</v>
      </c>
      <c r="D190" t="s">
        <v>21</v>
      </c>
      <c r="E190" t="s">
        <v>30</v>
      </c>
      <c r="F190" t="s">
        <v>245</v>
      </c>
      <c r="G190" t="s">
        <v>406</v>
      </c>
      <c r="H190" t="s">
        <v>411</v>
      </c>
      <c r="I190" t="s">
        <v>411</v>
      </c>
      <c r="J190" t="s">
        <v>436</v>
      </c>
      <c r="K190" t="s">
        <v>455</v>
      </c>
      <c r="L190" t="s">
        <v>679</v>
      </c>
      <c r="M190">
        <v>2111</v>
      </c>
      <c r="N190" t="s">
        <v>1193</v>
      </c>
      <c r="O190" t="s">
        <v>1252</v>
      </c>
      <c r="P190" t="s">
        <v>21</v>
      </c>
      <c r="Q190" t="s">
        <v>21</v>
      </c>
      <c r="R190" t="s">
        <v>1258</v>
      </c>
      <c r="S190" t="s">
        <v>1278</v>
      </c>
      <c r="T190" t="s">
        <v>1278</v>
      </c>
      <c r="U190" t="s">
        <v>1347</v>
      </c>
      <c r="V190" t="s">
        <v>1605</v>
      </c>
      <c r="W190" t="s">
        <v>1443</v>
      </c>
    </row>
    <row r="191" spans="1:23" x14ac:dyDescent="0.35">
      <c r="A191">
        <v>179</v>
      </c>
      <c r="B191">
        <v>2116</v>
      </c>
      <c r="C191">
        <v>2116</v>
      </c>
      <c r="D191" t="s">
        <v>21</v>
      </c>
      <c r="E191" t="s">
        <v>30</v>
      </c>
      <c r="F191" t="s">
        <v>245</v>
      </c>
      <c r="G191" t="s">
        <v>406</v>
      </c>
      <c r="H191" t="s">
        <v>411</v>
      </c>
      <c r="I191" t="s">
        <v>411</v>
      </c>
      <c r="J191" t="s">
        <v>436</v>
      </c>
      <c r="K191" t="s">
        <v>455</v>
      </c>
      <c r="L191" t="s">
        <v>680</v>
      </c>
      <c r="M191">
        <v>2111</v>
      </c>
      <c r="N191" t="s">
        <v>1193</v>
      </c>
      <c r="O191" t="s">
        <v>1252</v>
      </c>
      <c r="P191" t="s">
        <v>21</v>
      </c>
      <c r="Q191" t="s">
        <v>21</v>
      </c>
      <c r="R191" t="s">
        <v>1258</v>
      </c>
      <c r="S191" t="s">
        <v>1278</v>
      </c>
      <c r="T191" t="s">
        <v>1278</v>
      </c>
      <c r="U191" t="s">
        <v>1347</v>
      </c>
      <c r="V191" t="s">
        <v>1605</v>
      </c>
      <c r="W191" t="s">
        <v>1443</v>
      </c>
    </row>
    <row r="192" spans="1:23" x14ac:dyDescent="0.35">
      <c r="A192">
        <v>180</v>
      </c>
      <c r="B192">
        <v>2116</v>
      </c>
      <c r="C192">
        <v>2116</v>
      </c>
      <c r="D192" t="s">
        <v>21</v>
      </c>
      <c r="E192" t="s">
        <v>30</v>
      </c>
      <c r="F192" t="s">
        <v>245</v>
      </c>
      <c r="G192" t="s">
        <v>406</v>
      </c>
      <c r="H192" t="s">
        <v>411</v>
      </c>
      <c r="I192" t="s">
        <v>411</v>
      </c>
      <c r="J192" t="s">
        <v>436</v>
      </c>
      <c r="K192" t="s">
        <v>455</v>
      </c>
      <c r="L192" t="s">
        <v>681</v>
      </c>
      <c r="M192">
        <v>2111</v>
      </c>
      <c r="N192" t="s">
        <v>1193</v>
      </c>
      <c r="O192" t="s">
        <v>1252</v>
      </c>
      <c r="P192" t="s">
        <v>21</v>
      </c>
      <c r="Q192" t="s">
        <v>21</v>
      </c>
      <c r="R192" t="s">
        <v>1258</v>
      </c>
      <c r="S192" t="s">
        <v>1278</v>
      </c>
      <c r="T192" t="s">
        <v>1278</v>
      </c>
      <c r="U192" t="s">
        <v>1347</v>
      </c>
      <c r="V192" t="s">
        <v>1605</v>
      </c>
      <c r="W192" t="s">
        <v>1443</v>
      </c>
    </row>
    <row r="193" spans="1:23" x14ac:dyDescent="0.35">
      <c r="A193">
        <v>181</v>
      </c>
      <c r="B193">
        <v>2116</v>
      </c>
      <c r="C193">
        <v>2116</v>
      </c>
      <c r="D193" t="s">
        <v>21</v>
      </c>
      <c r="E193" t="s">
        <v>30</v>
      </c>
      <c r="F193" t="s">
        <v>245</v>
      </c>
      <c r="G193" t="s">
        <v>406</v>
      </c>
      <c r="H193" t="s">
        <v>411</v>
      </c>
      <c r="I193" t="s">
        <v>411</v>
      </c>
      <c r="J193" t="s">
        <v>436</v>
      </c>
      <c r="K193" t="s">
        <v>455</v>
      </c>
      <c r="L193" t="s">
        <v>682</v>
      </c>
      <c r="M193">
        <v>2111</v>
      </c>
      <c r="N193" t="s">
        <v>1193</v>
      </c>
      <c r="O193" t="s">
        <v>1252</v>
      </c>
      <c r="P193" t="s">
        <v>21</v>
      </c>
      <c r="Q193" t="s">
        <v>21</v>
      </c>
      <c r="R193" t="s">
        <v>1258</v>
      </c>
      <c r="S193" t="s">
        <v>1278</v>
      </c>
      <c r="T193" t="s">
        <v>1278</v>
      </c>
      <c r="U193" t="s">
        <v>1347</v>
      </c>
      <c r="V193" t="s">
        <v>1605</v>
      </c>
      <c r="W193" t="s">
        <v>1443</v>
      </c>
    </row>
    <row r="194" spans="1:23" x14ac:dyDescent="0.35">
      <c r="A194">
        <v>182</v>
      </c>
      <c r="B194">
        <v>2116</v>
      </c>
      <c r="C194">
        <v>2116</v>
      </c>
      <c r="D194" t="s">
        <v>21</v>
      </c>
      <c r="E194" t="s">
        <v>30</v>
      </c>
      <c r="F194" t="s">
        <v>245</v>
      </c>
      <c r="G194" t="s">
        <v>406</v>
      </c>
      <c r="H194" t="s">
        <v>411</v>
      </c>
      <c r="I194" t="s">
        <v>411</v>
      </c>
      <c r="J194" t="s">
        <v>436</v>
      </c>
      <c r="K194" t="s">
        <v>455</v>
      </c>
      <c r="L194" t="s">
        <v>683</v>
      </c>
      <c r="M194">
        <v>2111</v>
      </c>
      <c r="N194" t="s">
        <v>1193</v>
      </c>
      <c r="O194" t="s">
        <v>1252</v>
      </c>
      <c r="P194" t="s">
        <v>21</v>
      </c>
      <c r="Q194" t="s">
        <v>21</v>
      </c>
      <c r="R194" t="s">
        <v>1258</v>
      </c>
      <c r="S194" t="s">
        <v>1278</v>
      </c>
      <c r="T194" t="s">
        <v>1278</v>
      </c>
      <c r="U194" t="s">
        <v>1347</v>
      </c>
      <c r="V194" t="s">
        <v>1605</v>
      </c>
      <c r="W194" t="s">
        <v>1443</v>
      </c>
    </row>
    <row r="195" spans="1:23" x14ac:dyDescent="0.35">
      <c r="A195">
        <v>183</v>
      </c>
      <c r="B195">
        <v>2116</v>
      </c>
      <c r="C195">
        <v>2116</v>
      </c>
      <c r="D195" t="s">
        <v>21</v>
      </c>
      <c r="E195" t="s">
        <v>30</v>
      </c>
      <c r="F195" t="s">
        <v>245</v>
      </c>
      <c r="G195" t="s">
        <v>406</v>
      </c>
      <c r="H195" t="s">
        <v>411</v>
      </c>
      <c r="I195" t="s">
        <v>411</v>
      </c>
      <c r="J195" t="s">
        <v>436</v>
      </c>
      <c r="K195" t="s">
        <v>455</v>
      </c>
      <c r="L195" t="s">
        <v>684</v>
      </c>
      <c r="M195">
        <v>2111</v>
      </c>
      <c r="N195" t="s">
        <v>1193</v>
      </c>
      <c r="O195" t="s">
        <v>1252</v>
      </c>
      <c r="P195" t="s">
        <v>21</v>
      </c>
      <c r="Q195" t="s">
        <v>21</v>
      </c>
      <c r="R195" t="s">
        <v>1258</v>
      </c>
      <c r="S195" t="s">
        <v>1278</v>
      </c>
      <c r="T195" t="s">
        <v>1278</v>
      </c>
      <c r="U195" t="s">
        <v>1347</v>
      </c>
      <c r="V195" t="s">
        <v>1605</v>
      </c>
      <c r="W195" t="s">
        <v>1443</v>
      </c>
    </row>
    <row r="196" spans="1:23" x14ac:dyDescent="0.35">
      <c r="A196">
        <v>184</v>
      </c>
      <c r="B196">
        <v>2116</v>
      </c>
      <c r="C196">
        <v>2116</v>
      </c>
      <c r="D196" t="s">
        <v>21</v>
      </c>
      <c r="E196" t="s">
        <v>30</v>
      </c>
      <c r="F196" t="s">
        <v>245</v>
      </c>
      <c r="G196" t="s">
        <v>406</v>
      </c>
      <c r="H196" t="s">
        <v>411</v>
      </c>
      <c r="I196" t="s">
        <v>411</v>
      </c>
      <c r="J196" t="s">
        <v>436</v>
      </c>
      <c r="K196" t="s">
        <v>455</v>
      </c>
      <c r="L196" t="s">
        <v>685</v>
      </c>
      <c r="M196">
        <v>2111</v>
      </c>
      <c r="N196" t="s">
        <v>1193</v>
      </c>
      <c r="O196" t="s">
        <v>1252</v>
      </c>
      <c r="P196" t="s">
        <v>21</v>
      </c>
      <c r="Q196" t="s">
        <v>21</v>
      </c>
      <c r="R196" t="s">
        <v>1258</v>
      </c>
      <c r="S196" t="s">
        <v>1278</v>
      </c>
      <c r="T196" t="s">
        <v>1278</v>
      </c>
      <c r="U196" t="s">
        <v>1347</v>
      </c>
      <c r="V196" t="s">
        <v>1605</v>
      </c>
      <c r="W196" t="s">
        <v>1443</v>
      </c>
    </row>
    <row r="197" spans="1:23" x14ac:dyDescent="0.35">
      <c r="A197">
        <v>185</v>
      </c>
      <c r="B197">
        <v>2116</v>
      </c>
      <c r="C197">
        <v>2116</v>
      </c>
      <c r="D197" t="s">
        <v>21</v>
      </c>
      <c r="E197" t="s">
        <v>30</v>
      </c>
      <c r="F197" t="s">
        <v>245</v>
      </c>
      <c r="G197" t="s">
        <v>406</v>
      </c>
      <c r="H197" t="s">
        <v>411</v>
      </c>
      <c r="I197" t="s">
        <v>411</v>
      </c>
      <c r="J197" t="s">
        <v>436</v>
      </c>
      <c r="K197" t="s">
        <v>455</v>
      </c>
      <c r="L197" t="s">
        <v>686</v>
      </c>
      <c r="M197">
        <v>2111</v>
      </c>
      <c r="N197" t="s">
        <v>1193</v>
      </c>
      <c r="O197" t="s">
        <v>1252</v>
      </c>
      <c r="P197" t="s">
        <v>21</v>
      </c>
      <c r="Q197" t="s">
        <v>21</v>
      </c>
      <c r="R197" t="s">
        <v>1258</v>
      </c>
      <c r="S197" t="s">
        <v>1278</v>
      </c>
      <c r="T197" t="s">
        <v>1278</v>
      </c>
      <c r="U197" t="s">
        <v>1347</v>
      </c>
      <c r="V197" t="s">
        <v>1605</v>
      </c>
      <c r="W197" t="s">
        <v>1443</v>
      </c>
    </row>
    <row r="198" spans="1:23" x14ac:dyDescent="0.35">
      <c r="A198">
        <v>186</v>
      </c>
      <c r="B198">
        <v>2116</v>
      </c>
      <c r="C198">
        <v>2116</v>
      </c>
      <c r="D198" t="s">
        <v>21</v>
      </c>
      <c r="E198" t="s">
        <v>30</v>
      </c>
      <c r="F198" t="s">
        <v>245</v>
      </c>
      <c r="G198" t="s">
        <v>406</v>
      </c>
      <c r="H198" t="s">
        <v>411</v>
      </c>
      <c r="I198" t="s">
        <v>411</v>
      </c>
      <c r="J198" t="s">
        <v>436</v>
      </c>
      <c r="K198" t="s">
        <v>455</v>
      </c>
      <c r="L198" t="s">
        <v>687</v>
      </c>
      <c r="M198">
        <v>2111</v>
      </c>
      <c r="N198" t="s">
        <v>1193</v>
      </c>
      <c r="O198" t="s">
        <v>1252</v>
      </c>
      <c r="P198" t="s">
        <v>21</v>
      </c>
      <c r="Q198" t="s">
        <v>21</v>
      </c>
      <c r="R198" t="s">
        <v>1258</v>
      </c>
      <c r="S198" t="s">
        <v>1278</v>
      </c>
      <c r="T198" t="s">
        <v>1278</v>
      </c>
      <c r="U198" t="s">
        <v>1347</v>
      </c>
      <c r="V198" t="s">
        <v>1605</v>
      </c>
      <c r="W198" t="s">
        <v>1443</v>
      </c>
    </row>
    <row r="199" spans="1:23" x14ac:dyDescent="0.35">
      <c r="A199">
        <v>187</v>
      </c>
      <c r="B199">
        <v>2116</v>
      </c>
      <c r="C199">
        <v>2116</v>
      </c>
      <c r="D199" t="s">
        <v>21</v>
      </c>
      <c r="E199" t="s">
        <v>30</v>
      </c>
      <c r="F199" t="s">
        <v>245</v>
      </c>
      <c r="G199" t="s">
        <v>406</v>
      </c>
      <c r="H199" t="s">
        <v>411</v>
      </c>
      <c r="I199" t="s">
        <v>411</v>
      </c>
      <c r="J199" t="s">
        <v>436</v>
      </c>
      <c r="K199" t="s">
        <v>455</v>
      </c>
      <c r="L199" t="s">
        <v>688</v>
      </c>
      <c r="M199">
        <v>2111</v>
      </c>
      <c r="N199" t="s">
        <v>1193</v>
      </c>
      <c r="O199" t="s">
        <v>1252</v>
      </c>
      <c r="P199" t="s">
        <v>21</v>
      </c>
      <c r="Q199" t="s">
        <v>21</v>
      </c>
      <c r="R199" t="s">
        <v>1258</v>
      </c>
      <c r="S199" t="s">
        <v>1278</v>
      </c>
      <c r="T199" t="s">
        <v>1278</v>
      </c>
      <c r="U199" t="s">
        <v>1347</v>
      </c>
      <c r="V199" t="s">
        <v>1605</v>
      </c>
      <c r="W199" t="s">
        <v>1443</v>
      </c>
    </row>
    <row r="200" spans="1:23" x14ac:dyDescent="0.35">
      <c r="A200">
        <v>188</v>
      </c>
      <c r="B200">
        <v>2116</v>
      </c>
      <c r="C200">
        <v>2116</v>
      </c>
      <c r="D200" t="s">
        <v>21</v>
      </c>
      <c r="E200" t="s">
        <v>30</v>
      </c>
      <c r="F200" t="s">
        <v>245</v>
      </c>
      <c r="G200" t="s">
        <v>406</v>
      </c>
      <c r="H200" t="s">
        <v>411</v>
      </c>
      <c r="I200" t="s">
        <v>411</v>
      </c>
      <c r="J200" t="s">
        <v>436</v>
      </c>
      <c r="K200" t="s">
        <v>455</v>
      </c>
      <c r="L200" t="s">
        <v>689</v>
      </c>
      <c r="M200">
        <v>2111</v>
      </c>
      <c r="N200" t="s">
        <v>1193</v>
      </c>
      <c r="O200" t="s">
        <v>1252</v>
      </c>
      <c r="P200" t="s">
        <v>21</v>
      </c>
      <c r="Q200" t="s">
        <v>21</v>
      </c>
      <c r="R200" t="s">
        <v>1258</v>
      </c>
      <c r="S200" t="s">
        <v>1278</v>
      </c>
      <c r="T200" t="s">
        <v>1278</v>
      </c>
      <c r="U200" t="s">
        <v>1347</v>
      </c>
      <c r="V200" t="s">
        <v>1605</v>
      </c>
      <c r="W200" t="s">
        <v>1443</v>
      </c>
    </row>
    <row r="201" spans="1:23" x14ac:dyDescent="0.35">
      <c r="A201">
        <v>189</v>
      </c>
      <c r="B201">
        <v>2116</v>
      </c>
      <c r="C201">
        <v>2116</v>
      </c>
      <c r="D201" t="s">
        <v>21</v>
      </c>
      <c r="E201" t="s">
        <v>30</v>
      </c>
      <c r="F201" t="s">
        <v>245</v>
      </c>
      <c r="G201" t="s">
        <v>406</v>
      </c>
      <c r="H201" t="s">
        <v>411</v>
      </c>
      <c r="I201" t="s">
        <v>411</v>
      </c>
      <c r="J201" t="s">
        <v>436</v>
      </c>
      <c r="K201" t="s">
        <v>455</v>
      </c>
      <c r="L201" t="s">
        <v>690</v>
      </c>
      <c r="M201">
        <v>2111</v>
      </c>
      <c r="N201" t="s">
        <v>1193</v>
      </c>
      <c r="O201" t="s">
        <v>1252</v>
      </c>
      <c r="P201" t="s">
        <v>21</v>
      </c>
      <c r="Q201" t="s">
        <v>21</v>
      </c>
      <c r="R201" t="s">
        <v>1258</v>
      </c>
      <c r="S201" t="s">
        <v>1278</v>
      </c>
      <c r="T201" t="s">
        <v>1278</v>
      </c>
      <c r="U201" t="s">
        <v>1347</v>
      </c>
      <c r="V201" t="s">
        <v>1605</v>
      </c>
      <c r="W201" t="s">
        <v>1443</v>
      </c>
    </row>
    <row r="202" spans="1:23" x14ac:dyDescent="0.35">
      <c r="A202">
        <v>190</v>
      </c>
      <c r="B202">
        <v>2116</v>
      </c>
      <c r="C202">
        <v>2116</v>
      </c>
      <c r="D202" t="s">
        <v>21</v>
      </c>
      <c r="E202" t="s">
        <v>30</v>
      </c>
      <c r="F202" t="s">
        <v>245</v>
      </c>
      <c r="G202" t="s">
        <v>406</v>
      </c>
      <c r="H202" t="s">
        <v>411</v>
      </c>
      <c r="I202" t="s">
        <v>411</v>
      </c>
      <c r="J202" t="s">
        <v>436</v>
      </c>
      <c r="K202" t="s">
        <v>455</v>
      </c>
      <c r="L202" t="s">
        <v>691</v>
      </c>
      <c r="M202">
        <v>2111</v>
      </c>
      <c r="N202" t="s">
        <v>1193</v>
      </c>
      <c r="O202" t="s">
        <v>1252</v>
      </c>
      <c r="P202" t="s">
        <v>21</v>
      </c>
      <c r="Q202" t="s">
        <v>21</v>
      </c>
      <c r="R202" t="s">
        <v>1258</v>
      </c>
      <c r="S202" t="s">
        <v>1278</v>
      </c>
      <c r="T202" t="s">
        <v>1278</v>
      </c>
      <c r="U202" t="s">
        <v>1347</v>
      </c>
      <c r="V202" t="s">
        <v>1605</v>
      </c>
      <c r="W202" t="s">
        <v>1443</v>
      </c>
    </row>
    <row r="203" spans="1:23" x14ac:dyDescent="0.35">
      <c r="A203">
        <v>191</v>
      </c>
      <c r="B203">
        <v>2116</v>
      </c>
      <c r="C203">
        <v>2116</v>
      </c>
      <c r="D203" t="s">
        <v>21</v>
      </c>
      <c r="E203" t="s">
        <v>30</v>
      </c>
      <c r="F203" t="s">
        <v>245</v>
      </c>
      <c r="G203" t="s">
        <v>406</v>
      </c>
      <c r="H203" t="s">
        <v>411</v>
      </c>
      <c r="I203" t="s">
        <v>411</v>
      </c>
      <c r="J203" t="s">
        <v>436</v>
      </c>
      <c r="K203" t="s">
        <v>455</v>
      </c>
      <c r="L203" t="s">
        <v>692</v>
      </c>
      <c r="M203">
        <v>2111</v>
      </c>
      <c r="N203" t="s">
        <v>1193</v>
      </c>
      <c r="O203" t="s">
        <v>1252</v>
      </c>
      <c r="P203" t="s">
        <v>21</v>
      </c>
      <c r="Q203" t="s">
        <v>21</v>
      </c>
      <c r="R203" t="s">
        <v>1258</v>
      </c>
      <c r="S203" t="s">
        <v>1278</v>
      </c>
      <c r="T203" t="s">
        <v>1278</v>
      </c>
      <c r="U203" t="s">
        <v>1347</v>
      </c>
      <c r="V203" t="s">
        <v>1605</v>
      </c>
      <c r="W203" t="s">
        <v>1443</v>
      </c>
    </row>
    <row r="204" spans="1:23" x14ac:dyDescent="0.35">
      <c r="A204">
        <v>192</v>
      </c>
      <c r="B204">
        <v>2116</v>
      </c>
      <c r="C204">
        <v>2116</v>
      </c>
      <c r="D204" t="s">
        <v>21</v>
      </c>
      <c r="E204" t="s">
        <v>30</v>
      </c>
      <c r="F204" t="s">
        <v>245</v>
      </c>
      <c r="G204" t="s">
        <v>406</v>
      </c>
      <c r="H204" t="s">
        <v>411</v>
      </c>
      <c r="I204" t="s">
        <v>411</v>
      </c>
      <c r="J204" t="s">
        <v>436</v>
      </c>
      <c r="K204" t="s">
        <v>455</v>
      </c>
      <c r="L204" t="s">
        <v>693</v>
      </c>
      <c r="M204">
        <v>2111</v>
      </c>
      <c r="N204" t="s">
        <v>1193</v>
      </c>
      <c r="O204" t="s">
        <v>1252</v>
      </c>
      <c r="P204" t="s">
        <v>21</v>
      </c>
      <c r="Q204" t="s">
        <v>21</v>
      </c>
      <c r="R204" t="s">
        <v>1258</v>
      </c>
      <c r="S204" t="s">
        <v>1278</v>
      </c>
      <c r="T204" t="s">
        <v>1278</v>
      </c>
      <c r="U204" t="s">
        <v>1347</v>
      </c>
      <c r="V204" t="s">
        <v>1605</v>
      </c>
      <c r="W204" t="s">
        <v>1443</v>
      </c>
    </row>
    <row r="205" spans="1:23" x14ac:dyDescent="0.35">
      <c r="A205">
        <v>193</v>
      </c>
      <c r="B205">
        <v>2116</v>
      </c>
      <c r="C205">
        <v>2116</v>
      </c>
      <c r="D205" t="s">
        <v>21</v>
      </c>
      <c r="E205" t="s">
        <v>30</v>
      </c>
      <c r="F205" t="s">
        <v>245</v>
      </c>
      <c r="G205" t="s">
        <v>406</v>
      </c>
      <c r="H205" t="s">
        <v>411</v>
      </c>
      <c r="I205" t="s">
        <v>411</v>
      </c>
      <c r="J205" t="s">
        <v>436</v>
      </c>
      <c r="K205" t="s">
        <v>455</v>
      </c>
      <c r="L205" t="s">
        <v>694</v>
      </c>
      <c r="M205">
        <v>2111</v>
      </c>
      <c r="N205" t="s">
        <v>1193</v>
      </c>
      <c r="O205" t="s">
        <v>1252</v>
      </c>
      <c r="P205" t="s">
        <v>21</v>
      </c>
      <c r="Q205" t="s">
        <v>21</v>
      </c>
      <c r="R205" t="s">
        <v>1258</v>
      </c>
      <c r="S205" t="s">
        <v>1278</v>
      </c>
      <c r="T205" t="s">
        <v>1278</v>
      </c>
      <c r="U205" t="s">
        <v>1347</v>
      </c>
      <c r="V205" t="s">
        <v>1605</v>
      </c>
      <c r="W205" t="s">
        <v>1443</v>
      </c>
    </row>
    <row r="206" spans="1:23" x14ac:dyDescent="0.35">
      <c r="A206">
        <v>194</v>
      </c>
      <c r="B206">
        <v>2116</v>
      </c>
      <c r="C206">
        <v>2116</v>
      </c>
      <c r="D206" t="s">
        <v>21</v>
      </c>
      <c r="E206" t="s">
        <v>30</v>
      </c>
      <c r="F206" t="s">
        <v>245</v>
      </c>
      <c r="G206" t="s">
        <v>406</v>
      </c>
      <c r="H206" t="s">
        <v>411</v>
      </c>
      <c r="I206" t="s">
        <v>411</v>
      </c>
      <c r="J206" t="s">
        <v>436</v>
      </c>
      <c r="K206" t="s">
        <v>455</v>
      </c>
      <c r="L206" t="s">
        <v>695</v>
      </c>
      <c r="M206">
        <v>2111</v>
      </c>
      <c r="N206" t="s">
        <v>1193</v>
      </c>
      <c r="O206" t="s">
        <v>1252</v>
      </c>
      <c r="P206" t="s">
        <v>21</v>
      </c>
      <c r="Q206" t="s">
        <v>21</v>
      </c>
      <c r="R206" t="s">
        <v>1258</v>
      </c>
      <c r="S206" t="s">
        <v>1278</v>
      </c>
      <c r="T206" t="s">
        <v>1278</v>
      </c>
      <c r="U206" t="s">
        <v>1347</v>
      </c>
      <c r="V206" t="s">
        <v>1605</v>
      </c>
      <c r="W206" t="s">
        <v>1443</v>
      </c>
    </row>
    <row r="207" spans="1:23" x14ac:dyDescent="0.35">
      <c r="A207">
        <v>195</v>
      </c>
      <c r="B207">
        <v>2116</v>
      </c>
      <c r="C207">
        <v>2116</v>
      </c>
      <c r="D207" t="s">
        <v>21</v>
      </c>
      <c r="E207" t="s">
        <v>30</v>
      </c>
      <c r="F207" t="s">
        <v>245</v>
      </c>
      <c r="G207" t="s">
        <v>406</v>
      </c>
      <c r="H207" t="s">
        <v>411</v>
      </c>
      <c r="I207" t="s">
        <v>411</v>
      </c>
      <c r="J207" t="s">
        <v>436</v>
      </c>
      <c r="K207" t="s">
        <v>455</v>
      </c>
      <c r="L207" t="s">
        <v>696</v>
      </c>
      <c r="M207">
        <v>2111</v>
      </c>
      <c r="N207" t="s">
        <v>1193</v>
      </c>
      <c r="O207" t="s">
        <v>1252</v>
      </c>
      <c r="P207" t="s">
        <v>21</v>
      </c>
      <c r="Q207" t="s">
        <v>21</v>
      </c>
      <c r="R207" t="s">
        <v>1258</v>
      </c>
      <c r="S207" t="s">
        <v>1278</v>
      </c>
      <c r="T207" t="s">
        <v>1278</v>
      </c>
      <c r="U207" t="s">
        <v>1347</v>
      </c>
      <c r="V207" t="s">
        <v>1605</v>
      </c>
      <c r="W207" t="s">
        <v>1443</v>
      </c>
    </row>
    <row r="208" spans="1:23" x14ac:dyDescent="0.35">
      <c r="A208">
        <v>196</v>
      </c>
      <c r="B208">
        <v>2116</v>
      </c>
      <c r="C208">
        <v>2116</v>
      </c>
      <c r="D208" t="s">
        <v>21</v>
      </c>
      <c r="E208" t="s">
        <v>30</v>
      </c>
      <c r="F208" t="s">
        <v>245</v>
      </c>
      <c r="G208" t="s">
        <v>406</v>
      </c>
      <c r="H208" t="s">
        <v>411</v>
      </c>
      <c r="I208" t="s">
        <v>411</v>
      </c>
      <c r="J208" t="s">
        <v>436</v>
      </c>
      <c r="K208" t="s">
        <v>455</v>
      </c>
      <c r="L208" t="s">
        <v>697</v>
      </c>
      <c r="M208">
        <v>2111</v>
      </c>
      <c r="N208" t="s">
        <v>1193</v>
      </c>
      <c r="O208" t="s">
        <v>1252</v>
      </c>
      <c r="P208" t="s">
        <v>21</v>
      </c>
      <c r="Q208" t="s">
        <v>21</v>
      </c>
      <c r="R208" t="s">
        <v>1258</v>
      </c>
      <c r="S208" t="s">
        <v>1278</v>
      </c>
      <c r="T208" t="s">
        <v>1278</v>
      </c>
      <c r="U208" t="s">
        <v>1347</v>
      </c>
      <c r="V208" t="s">
        <v>1605</v>
      </c>
      <c r="W208" t="s">
        <v>1443</v>
      </c>
    </row>
    <row r="209" spans="1:23" x14ac:dyDescent="0.35">
      <c r="A209">
        <v>197</v>
      </c>
      <c r="B209">
        <v>2116</v>
      </c>
      <c r="C209">
        <v>2116</v>
      </c>
      <c r="D209" t="s">
        <v>21</v>
      </c>
      <c r="E209" t="s">
        <v>30</v>
      </c>
      <c r="F209" t="s">
        <v>245</v>
      </c>
      <c r="G209" t="s">
        <v>406</v>
      </c>
      <c r="H209" t="s">
        <v>411</v>
      </c>
      <c r="I209" t="s">
        <v>411</v>
      </c>
      <c r="J209" t="s">
        <v>437</v>
      </c>
      <c r="K209" t="s">
        <v>456</v>
      </c>
      <c r="L209" t="s">
        <v>698</v>
      </c>
      <c r="M209">
        <v>2109</v>
      </c>
      <c r="N209" t="s">
        <v>1194</v>
      </c>
      <c r="O209" t="s">
        <v>1252</v>
      </c>
      <c r="P209" t="s">
        <v>21</v>
      </c>
      <c r="Q209" t="s">
        <v>21</v>
      </c>
      <c r="R209" t="s">
        <v>1258</v>
      </c>
      <c r="S209" t="s">
        <v>1278</v>
      </c>
      <c r="T209" t="s">
        <v>1278</v>
      </c>
      <c r="U209" t="s">
        <v>1347</v>
      </c>
      <c r="V209" t="s">
        <v>1605</v>
      </c>
      <c r="W209" t="s">
        <v>1443</v>
      </c>
    </row>
    <row r="210" spans="1:23" x14ac:dyDescent="0.35">
      <c r="A210">
        <v>198</v>
      </c>
      <c r="B210">
        <v>2116</v>
      </c>
      <c r="C210">
        <v>2116</v>
      </c>
      <c r="D210" t="s">
        <v>21</v>
      </c>
      <c r="E210" t="s">
        <v>30</v>
      </c>
      <c r="F210" t="s">
        <v>245</v>
      </c>
      <c r="G210" t="s">
        <v>406</v>
      </c>
      <c r="H210" t="s">
        <v>411</v>
      </c>
      <c r="I210" t="s">
        <v>411</v>
      </c>
      <c r="J210" t="s">
        <v>437</v>
      </c>
      <c r="K210" t="s">
        <v>456</v>
      </c>
      <c r="L210" t="s">
        <v>699</v>
      </c>
      <c r="M210">
        <v>2109</v>
      </c>
      <c r="N210" t="s">
        <v>1194</v>
      </c>
      <c r="O210" t="s">
        <v>1252</v>
      </c>
      <c r="P210" t="s">
        <v>21</v>
      </c>
      <c r="Q210" t="s">
        <v>21</v>
      </c>
      <c r="R210" t="s">
        <v>1258</v>
      </c>
      <c r="S210" t="s">
        <v>1278</v>
      </c>
      <c r="T210" t="s">
        <v>1278</v>
      </c>
      <c r="U210" t="s">
        <v>1347</v>
      </c>
      <c r="V210" t="s">
        <v>1605</v>
      </c>
      <c r="W210" t="s">
        <v>1443</v>
      </c>
    </row>
    <row r="211" spans="1:23" x14ac:dyDescent="0.35">
      <c r="A211">
        <v>199</v>
      </c>
      <c r="B211">
        <v>2116</v>
      </c>
      <c r="C211">
        <v>2116</v>
      </c>
      <c r="D211" t="s">
        <v>21</v>
      </c>
      <c r="E211" t="s">
        <v>30</v>
      </c>
      <c r="F211" t="s">
        <v>245</v>
      </c>
      <c r="G211" t="s">
        <v>406</v>
      </c>
      <c r="H211" t="s">
        <v>411</v>
      </c>
      <c r="I211" t="s">
        <v>411</v>
      </c>
      <c r="J211" t="s">
        <v>437</v>
      </c>
      <c r="K211" t="s">
        <v>456</v>
      </c>
      <c r="L211" t="s">
        <v>700</v>
      </c>
      <c r="M211">
        <v>2109</v>
      </c>
      <c r="N211" t="s">
        <v>1194</v>
      </c>
      <c r="O211" t="s">
        <v>1252</v>
      </c>
      <c r="P211" t="s">
        <v>21</v>
      </c>
      <c r="Q211" t="s">
        <v>21</v>
      </c>
      <c r="R211" t="s">
        <v>1258</v>
      </c>
      <c r="S211" t="s">
        <v>1278</v>
      </c>
      <c r="T211" t="s">
        <v>1278</v>
      </c>
      <c r="U211" t="s">
        <v>1347</v>
      </c>
      <c r="V211" t="s">
        <v>1605</v>
      </c>
      <c r="W211" t="s">
        <v>1443</v>
      </c>
    </row>
    <row r="212" spans="1:23" x14ac:dyDescent="0.35">
      <c r="A212">
        <v>200</v>
      </c>
      <c r="B212">
        <v>2116</v>
      </c>
      <c r="C212">
        <v>2116</v>
      </c>
      <c r="D212" t="s">
        <v>21</v>
      </c>
      <c r="E212" t="s">
        <v>30</v>
      </c>
      <c r="F212" t="s">
        <v>245</v>
      </c>
      <c r="G212" t="s">
        <v>406</v>
      </c>
      <c r="H212" t="s">
        <v>411</v>
      </c>
      <c r="I212" t="s">
        <v>411</v>
      </c>
      <c r="J212" t="s">
        <v>437</v>
      </c>
      <c r="K212" t="s">
        <v>456</v>
      </c>
      <c r="L212" t="s">
        <v>701</v>
      </c>
      <c r="M212">
        <v>2109</v>
      </c>
      <c r="N212" t="s">
        <v>1194</v>
      </c>
      <c r="O212" t="s">
        <v>1252</v>
      </c>
      <c r="P212" t="s">
        <v>21</v>
      </c>
      <c r="Q212" t="s">
        <v>21</v>
      </c>
      <c r="R212" t="s">
        <v>1258</v>
      </c>
      <c r="S212" t="s">
        <v>1278</v>
      </c>
      <c r="T212" t="s">
        <v>1278</v>
      </c>
      <c r="U212" t="s">
        <v>1347</v>
      </c>
      <c r="V212" t="s">
        <v>1605</v>
      </c>
      <c r="W212" t="s">
        <v>1443</v>
      </c>
    </row>
    <row r="213" spans="1:23" x14ac:dyDescent="0.35">
      <c r="A213">
        <v>201</v>
      </c>
      <c r="B213">
        <v>2116</v>
      </c>
      <c r="C213">
        <v>2116</v>
      </c>
      <c r="D213" t="s">
        <v>21</v>
      </c>
      <c r="E213" t="s">
        <v>30</v>
      </c>
      <c r="F213" t="s">
        <v>245</v>
      </c>
      <c r="G213" t="s">
        <v>406</v>
      </c>
      <c r="H213" t="s">
        <v>411</v>
      </c>
      <c r="I213" t="s">
        <v>411</v>
      </c>
      <c r="J213" t="s">
        <v>437</v>
      </c>
      <c r="K213" t="s">
        <v>456</v>
      </c>
      <c r="L213" t="s">
        <v>702</v>
      </c>
      <c r="M213">
        <v>2109</v>
      </c>
      <c r="N213" t="s">
        <v>1194</v>
      </c>
      <c r="O213" t="s">
        <v>1252</v>
      </c>
      <c r="P213" t="s">
        <v>21</v>
      </c>
      <c r="Q213" t="s">
        <v>21</v>
      </c>
      <c r="R213" t="s">
        <v>1258</v>
      </c>
      <c r="S213" t="s">
        <v>1278</v>
      </c>
      <c r="T213" t="s">
        <v>1278</v>
      </c>
      <c r="U213" t="s">
        <v>1347</v>
      </c>
      <c r="V213" t="s">
        <v>1605</v>
      </c>
      <c r="W213" t="s">
        <v>1443</v>
      </c>
    </row>
    <row r="214" spans="1:23" x14ac:dyDescent="0.35">
      <c r="A214">
        <v>202</v>
      </c>
      <c r="B214">
        <v>2116</v>
      </c>
      <c r="C214">
        <v>2116</v>
      </c>
      <c r="D214" t="s">
        <v>21</v>
      </c>
      <c r="E214" t="s">
        <v>30</v>
      </c>
      <c r="F214" t="s">
        <v>245</v>
      </c>
      <c r="G214" t="s">
        <v>406</v>
      </c>
      <c r="H214" t="s">
        <v>411</v>
      </c>
      <c r="I214" t="s">
        <v>411</v>
      </c>
      <c r="J214" t="s">
        <v>437</v>
      </c>
      <c r="K214" t="s">
        <v>456</v>
      </c>
      <c r="L214" t="s">
        <v>703</v>
      </c>
      <c r="M214">
        <v>2109</v>
      </c>
      <c r="N214" t="s">
        <v>1194</v>
      </c>
      <c r="O214" t="s">
        <v>1252</v>
      </c>
      <c r="P214" t="s">
        <v>21</v>
      </c>
      <c r="Q214" t="s">
        <v>21</v>
      </c>
      <c r="R214" t="s">
        <v>1258</v>
      </c>
      <c r="S214" t="s">
        <v>1278</v>
      </c>
      <c r="T214" t="s">
        <v>1278</v>
      </c>
      <c r="U214" t="s">
        <v>1347</v>
      </c>
      <c r="V214" t="s">
        <v>1605</v>
      </c>
      <c r="W214" t="s">
        <v>1443</v>
      </c>
    </row>
    <row r="215" spans="1:23" x14ac:dyDescent="0.35">
      <c r="A215">
        <v>203</v>
      </c>
      <c r="B215">
        <v>2116</v>
      </c>
      <c r="C215">
        <v>2116</v>
      </c>
      <c r="D215" t="s">
        <v>21</v>
      </c>
      <c r="E215" t="s">
        <v>30</v>
      </c>
      <c r="F215" t="s">
        <v>245</v>
      </c>
      <c r="G215" t="s">
        <v>406</v>
      </c>
      <c r="H215" t="s">
        <v>411</v>
      </c>
      <c r="I215" t="s">
        <v>411</v>
      </c>
      <c r="J215" t="s">
        <v>437</v>
      </c>
      <c r="K215" t="s">
        <v>456</v>
      </c>
      <c r="L215" t="s">
        <v>704</v>
      </c>
      <c r="M215">
        <v>2109</v>
      </c>
      <c r="N215" t="s">
        <v>1194</v>
      </c>
      <c r="O215" t="s">
        <v>1252</v>
      </c>
      <c r="P215" t="s">
        <v>21</v>
      </c>
      <c r="Q215" t="s">
        <v>21</v>
      </c>
      <c r="R215" t="s">
        <v>1258</v>
      </c>
      <c r="S215" t="s">
        <v>1278</v>
      </c>
      <c r="T215" t="s">
        <v>1278</v>
      </c>
      <c r="U215" t="s">
        <v>1347</v>
      </c>
      <c r="V215" t="s">
        <v>1605</v>
      </c>
      <c r="W215" t="s">
        <v>1443</v>
      </c>
    </row>
    <row r="216" spans="1:23" x14ac:dyDescent="0.35">
      <c r="A216">
        <v>204</v>
      </c>
      <c r="B216">
        <v>2116</v>
      </c>
      <c r="C216">
        <v>2116</v>
      </c>
      <c r="D216" t="s">
        <v>21</v>
      </c>
      <c r="E216" t="s">
        <v>30</v>
      </c>
      <c r="F216" t="s">
        <v>245</v>
      </c>
      <c r="G216" t="s">
        <v>406</v>
      </c>
      <c r="H216" t="s">
        <v>411</v>
      </c>
      <c r="I216" t="s">
        <v>411</v>
      </c>
      <c r="J216" t="s">
        <v>437</v>
      </c>
      <c r="K216" t="s">
        <v>456</v>
      </c>
      <c r="L216" t="s">
        <v>705</v>
      </c>
      <c r="M216">
        <v>2109</v>
      </c>
      <c r="N216" t="s">
        <v>1194</v>
      </c>
      <c r="O216" t="s">
        <v>1252</v>
      </c>
      <c r="P216" t="s">
        <v>21</v>
      </c>
      <c r="Q216" t="s">
        <v>21</v>
      </c>
      <c r="R216" t="s">
        <v>1258</v>
      </c>
      <c r="S216" t="s">
        <v>1278</v>
      </c>
      <c r="T216" t="s">
        <v>1278</v>
      </c>
      <c r="U216" t="s">
        <v>1347</v>
      </c>
      <c r="V216" t="s">
        <v>1605</v>
      </c>
      <c r="W216" t="s">
        <v>1443</v>
      </c>
    </row>
    <row r="217" spans="1:23" x14ac:dyDescent="0.35">
      <c r="A217">
        <v>205</v>
      </c>
      <c r="B217">
        <v>2116</v>
      </c>
      <c r="C217">
        <v>2116</v>
      </c>
      <c r="D217" t="s">
        <v>21</v>
      </c>
      <c r="E217" t="s">
        <v>30</v>
      </c>
      <c r="F217" t="s">
        <v>245</v>
      </c>
      <c r="G217" t="s">
        <v>406</v>
      </c>
      <c r="H217" t="s">
        <v>411</v>
      </c>
      <c r="I217" t="s">
        <v>411</v>
      </c>
      <c r="J217" t="s">
        <v>437</v>
      </c>
      <c r="K217" t="s">
        <v>456</v>
      </c>
      <c r="L217" t="s">
        <v>706</v>
      </c>
      <c r="M217">
        <v>2109</v>
      </c>
      <c r="N217" t="s">
        <v>1194</v>
      </c>
      <c r="O217" t="s">
        <v>1252</v>
      </c>
      <c r="P217" t="s">
        <v>21</v>
      </c>
      <c r="Q217" t="s">
        <v>21</v>
      </c>
      <c r="R217" t="s">
        <v>1258</v>
      </c>
      <c r="S217" t="s">
        <v>1278</v>
      </c>
      <c r="T217" t="s">
        <v>1278</v>
      </c>
      <c r="U217" t="s">
        <v>1347</v>
      </c>
      <c r="V217" t="s">
        <v>1605</v>
      </c>
      <c r="W217" t="s">
        <v>1443</v>
      </c>
    </row>
    <row r="218" spans="1:23" x14ac:dyDescent="0.35">
      <c r="A218">
        <v>206</v>
      </c>
      <c r="B218">
        <v>2116</v>
      </c>
      <c r="C218">
        <v>2116</v>
      </c>
      <c r="D218" t="s">
        <v>21</v>
      </c>
      <c r="E218" t="s">
        <v>30</v>
      </c>
      <c r="F218" t="s">
        <v>245</v>
      </c>
      <c r="G218" t="s">
        <v>406</v>
      </c>
      <c r="H218" t="s">
        <v>411</v>
      </c>
      <c r="I218" t="s">
        <v>411</v>
      </c>
      <c r="J218" t="s">
        <v>437</v>
      </c>
      <c r="K218" t="s">
        <v>456</v>
      </c>
      <c r="L218" t="s">
        <v>707</v>
      </c>
      <c r="M218">
        <v>2109</v>
      </c>
      <c r="N218" t="s">
        <v>1194</v>
      </c>
      <c r="O218" t="s">
        <v>1252</v>
      </c>
      <c r="P218" t="s">
        <v>21</v>
      </c>
      <c r="Q218" t="s">
        <v>21</v>
      </c>
      <c r="R218" t="s">
        <v>1258</v>
      </c>
      <c r="S218" t="s">
        <v>1278</v>
      </c>
      <c r="T218" t="s">
        <v>1278</v>
      </c>
      <c r="U218" t="s">
        <v>1347</v>
      </c>
      <c r="V218" t="s">
        <v>1605</v>
      </c>
      <c r="W218" t="s">
        <v>1443</v>
      </c>
    </row>
    <row r="219" spans="1:23" x14ac:dyDescent="0.35">
      <c r="A219">
        <v>207</v>
      </c>
      <c r="B219">
        <v>2116</v>
      </c>
      <c r="C219">
        <v>2116</v>
      </c>
      <c r="D219" t="s">
        <v>21</v>
      </c>
      <c r="E219" t="s">
        <v>30</v>
      </c>
      <c r="F219" t="s">
        <v>245</v>
      </c>
      <c r="G219" t="s">
        <v>406</v>
      </c>
      <c r="H219" t="s">
        <v>411</v>
      </c>
      <c r="I219" t="s">
        <v>411</v>
      </c>
      <c r="J219" t="s">
        <v>437</v>
      </c>
      <c r="K219" t="s">
        <v>456</v>
      </c>
      <c r="L219" t="s">
        <v>708</v>
      </c>
      <c r="M219">
        <v>2109</v>
      </c>
      <c r="N219" t="s">
        <v>1194</v>
      </c>
      <c r="O219" t="s">
        <v>1252</v>
      </c>
      <c r="P219" t="s">
        <v>21</v>
      </c>
      <c r="Q219" t="s">
        <v>21</v>
      </c>
      <c r="R219" t="s">
        <v>1258</v>
      </c>
      <c r="S219" t="s">
        <v>1278</v>
      </c>
      <c r="T219" t="s">
        <v>1278</v>
      </c>
      <c r="U219" t="s">
        <v>1347</v>
      </c>
      <c r="V219" t="s">
        <v>1605</v>
      </c>
      <c r="W219" t="s">
        <v>1443</v>
      </c>
    </row>
    <row r="220" spans="1:23" x14ac:dyDescent="0.35">
      <c r="A220">
        <v>208</v>
      </c>
      <c r="B220">
        <v>2116</v>
      </c>
      <c r="C220">
        <v>2116</v>
      </c>
      <c r="D220" t="s">
        <v>21</v>
      </c>
      <c r="E220" t="s">
        <v>30</v>
      </c>
      <c r="F220" t="s">
        <v>245</v>
      </c>
      <c r="G220" t="s">
        <v>406</v>
      </c>
      <c r="H220" t="s">
        <v>411</v>
      </c>
      <c r="I220" t="s">
        <v>411</v>
      </c>
      <c r="J220" t="s">
        <v>437</v>
      </c>
      <c r="K220" t="s">
        <v>456</v>
      </c>
      <c r="L220" t="s">
        <v>709</v>
      </c>
      <c r="M220">
        <v>2109</v>
      </c>
      <c r="N220" t="s">
        <v>1194</v>
      </c>
      <c r="O220" t="s">
        <v>1252</v>
      </c>
      <c r="P220" t="s">
        <v>21</v>
      </c>
      <c r="Q220" t="s">
        <v>21</v>
      </c>
      <c r="R220" t="s">
        <v>1258</v>
      </c>
      <c r="S220" t="s">
        <v>1278</v>
      </c>
      <c r="T220" t="s">
        <v>1278</v>
      </c>
      <c r="U220" t="s">
        <v>1347</v>
      </c>
      <c r="V220" t="s">
        <v>1605</v>
      </c>
      <c r="W220" t="s">
        <v>1443</v>
      </c>
    </row>
    <row r="221" spans="1:23" x14ac:dyDescent="0.35">
      <c r="A221">
        <v>209</v>
      </c>
      <c r="B221">
        <v>2116</v>
      </c>
      <c r="C221">
        <v>2116</v>
      </c>
      <c r="D221" t="s">
        <v>21</v>
      </c>
      <c r="E221" t="s">
        <v>30</v>
      </c>
      <c r="F221" t="s">
        <v>245</v>
      </c>
      <c r="G221" t="s">
        <v>406</v>
      </c>
      <c r="H221" t="s">
        <v>411</v>
      </c>
      <c r="I221" t="s">
        <v>411</v>
      </c>
      <c r="J221" t="s">
        <v>437</v>
      </c>
      <c r="K221" t="s">
        <v>456</v>
      </c>
      <c r="L221" t="s">
        <v>710</v>
      </c>
      <c r="M221">
        <v>2109</v>
      </c>
      <c r="N221" t="s">
        <v>1194</v>
      </c>
      <c r="O221" t="s">
        <v>1252</v>
      </c>
      <c r="P221" t="s">
        <v>21</v>
      </c>
      <c r="Q221" t="s">
        <v>21</v>
      </c>
      <c r="R221" t="s">
        <v>1258</v>
      </c>
      <c r="S221" t="s">
        <v>1278</v>
      </c>
      <c r="T221" t="s">
        <v>1278</v>
      </c>
      <c r="U221" t="s">
        <v>1347</v>
      </c>
      <c r="V221" t="s">
        <v>1605</v>
      </c>
      <c r="W221" t="s">
        <v>1443</v>
      </c>
    </row>
    <row r="222" spans="1:23" x14ac:dyDescent="0.35">
      <c r="A222">
        <v>210</v>
      </c>
      <c r="B222">
        <v>2116</v>
      </c>
      <c r="C222">
        <v>2116</v>
      </c>
      <c r="D222" t="s">
        <v>21</v>
      </c>
      <c r="E222" t="s">
        <v>30</v>
      </c>
      <c r="F222" t="s">
        <v>245</v>
      </c>
      <c r="G222" t="s">
        <v>406</v>
      </c>
      <c r="H222" t="s">
        <v>411</v>
      </c>
      <c r="I222" t="s">
        <v>411</v>
      </c>
      <c r="J222" t="s">
        <v>437</v>
      </c>
      <c r="K222" t="s">
        <v>456</v>
      </c>
      <c r="L222" t="s">
        <v>711</v>
      </c>
      <c r="M222">
        <v>2109</v>
      </c>
      <c r="N222" t="s">
        <v>1194</v>
      </c>
      <c r="O222" t="s">
        <v>1252</v>
      </c>
      <c r="P222" t="s">
        <v>21</v>
      </c>
      <c r="Q222" t="s">
        <v>21</v>
      </c>
      <c r="R222" t="s">
        <v>1258</v>
      </c>
      <c r="S222" t="s">
        <v>1278</v>
      </c>
      <c r="T222" t="s">
        <v>1278</v>
      </c>
      <c r="U222" t="s">
        <v>1347</v>
      </c>
      <c r="V222" t="s">
        <v>1605</v>
      </c>
      <c r="W222" t="s">
        <v>1443</v>
      </c>
    </row>
    <row r="223" spans="1:23" x14ac:dyDescent="0.35">
      <c r="A223">
        <v>211</v>
      </c>
      <c r="B223">
        <v>2116</v>
      </c>
      <c r="C223">
        <v>2116</v>
      </c>
      <c r="D223" t="s">
        <v>21</v>
      </c>
      <c r="E223" t="s">
        <v>30</v>
      </c>
      <c r="F223" t="s">
        <v>245</v>
      </c>
      <c r="G223" t="s">
        <v>406</v>
      </c>
      <c r="H223" t="s">
        <v>411</v>
      </c>
      <c r="I223" t="s">
        <v>411</v>
      </c>
      <c r="J223" t="s">
        <v>437</v>
      </c>
      <c r="K223" t="s">
        <v>456</v>
      </c>
      <c r="L223" t="s">
        <v>712</v>
      </c>
      <c r="M223">
        <v>2109</v>
      </c>
      <c r="N223" t="s">
        <v>1194</v>
      </c>
      <c r="O223" t="s">
        <v>1252</v>
      </c>
      <c r="P223" t="s">
        <v>21</v>
      </c>
      <c r="Q223" t="s">
        <v>21</v>
      </c>
      <c r="R223" t="s">
        <v>1258</v>
      </c>
      <c r="S223" t="s">
        <v>1278</v>
      </c>
      <c r="T223" t="s">
        <v>1278</v>
      </c>
      <c r="U223" t="s">
        <v>1347</v>
      </c>
      <c r="V223" t="s">
        <v>1605</v>
      </c>
      <c r="W223" t="s">
        <v>1443</v>
      </c>
    </row>
    <row r="224" spans="1:23" x14ac:dyDescent="0.35">
      <c r="A224">
        <v>212</v>
      </c>
      <c r="B224">
        <v>2116</v>
      </c>
      <c r="C224">
        <v>2116</v>
      </c>
      <c r="D224" t="s">
        <v>21</v>
      </c>
      <c r="E224" t="s">
        <v>30</v>
      </c>
      <c r="F224" t="s">
        <v>245</v>
      </c>
      <c r="G224" t="s">
        <v>406</v>
      </c>
      <c r="H224" t="s">
        <v>411</v>
      </c>
      <c r="I224" t="s">
        <v>411</v>
      </c>
      <c r="J224" t="s">
        <v>437</v>
      </c>
      <c r="K224" t="s">
        <v>456</v>
      </c>
      <c r="L224" t="s">
        <v>713</v>
      </c>
      <c r="M224">
        <v>2109</v>
      </c>
      <c r="N224" t="s">
        <v>1194</v>
      </c>
      <c r="O224" t="s">
        <v>1252</v>
      </c>
      <c r="P224" t="s">
        <v>21</v>
      </c>
      <c r="Q224" t="s">
        <v>21</v>
      </c>
      <c r="R224" t="s">
        <v>1258</v>
      </c>
      <c r="S224" t="s">
        <v>1278</v>
      </c>
      <c r="T224" t="s">
        <v>1278</v>
      </c>
      <c r="U224" t="s">
        <v>1347</v>
      </c>
      <c r="V224" t="s">
        <v>1605</v>
      </c>
      <c r="W224" t="s">
        <v>1443</v>
      </c>
    </row>
    <row r="225" spans="1:23" x14ac:dyDescent="0.35">
      <c r="A225">
        <v>213</v>
      </c>
      <c r="B225">
        <v>2116</v>
      </c>
      <c r="C225">
        <v>2116</v>
      </c>
      <c r="D225" t="s">
        <v>21</v>
      </c>
      <c r="E225" t="s">
        <v>30</v>
      </c>
      <c r="F225" t="s">
        <v>245</v>
      </c>
      <c r="G225" t="s">
        <v>406</v>
      </c>
      <c r="H225" t="s">
        <v>411</v>
      </c>
      <c r="I225" t="s">
        <v>411</v>
      </c>
      <c r="J225" t="s">
        <v>437</v>
      </c>
      <c r="K225" t="s">
        <v>456</v>
      </c>
      <c r="L225" t="s">
        <v>714</v>
      </c>
      <c r="M225">
        <v>2109</v>
      </c>
      <c r="N225" t="s">
        <v>1194</v>
      </c>
      <c r="O225" t="s">
        <v>1252</v>
      </c>
      <c r="P225" t="s">
        <v>21</v>
      </c>
      <c r="Q225" t="s">
        <v>21</v>
      </c>
      <c r="R225" t="s">
        <v>1258</v>
      </c>
      <c r="S225" t="s">
        <v>1278</v>
      </c>
      <c r="T225" t="s">
        <v>1278</v>
      </c>
      <c r="U225" t="s">
        <v>1347</v>
      </c>
      <c r="V225" t="s">
        <v>1605</v>
      </c>
      <c r="W225" t="s">
        <v>1443</v>
      </c>
    </row>
    <row r="226" spans="1:23" x14ac:dyDescent="0.35">
      <c r="A226">
        <v>214</v>
      </c>
      <c r="B226">
        <v>2116</v>
      </c>
      <c r="C226">
        <v>2116</v>
      </c>
      <c r="D226" t="s">
        <v>21</v>
      </c>
      <c r="E226" t="s">
        <v>30</v>
      </c>
      <c r="F226" t="s">
        <v>245</v>
      </c>
      <c r="G226" t="s">
        <v>406</v>
      </c>
      <c r="H226" t="s">
        <v>411</v>
      </c>
      <c r="I226" t="s">
        <v>411</v>
      </c>
      <c r="J226" t="s">
        <v>437</v>
      </c>
      <c r="K226" t="s">
        <v>456</v>
      </c>
      <c r="L226" t="s">
        <v>715</v>
      </c>
      <c r="M226">
        <v>2109</v>
      </c>
      <c r="N226" t="s">
        <v>1194</v>
      </c>
      <c r="O226" t="s">
        <v>1252</v>
      </c>
      <c r="P226" t="s">
        <v>21</v>
      </c>
      <c r="Q226" t="s">
        <v>21</v>
      </c>
      <c r="R226" t="s">
        <v>1258</v>
      </c>
      <c r="S226" t="s">
        <v>1278</v>
      </c>
      <c r="T226" t="s">
        <v>1278</v>
      </c>
      <c r="U226" t="s">
        <v>1347</v>
      </c>
      <c r="V226" t="s">
        <v>1605</v>
      </c>
      <c r="W226" t="s">
        <v>1443</v>
      </c>
    </row>
    <row r="227" spans="1:23" x14ac:dyDescent="0.35">
      <c r="A227">
        <v>215</v>
      </c>
      <c r="B227">
        <v>2116</v>
      </c>
      <c r="C227">
        <v>2116</v>
      </c>
      <c r="D227" t="s">
        <v>21</v>
      </c>
      <c r="E227" t="s">
        <v>30</v>
      </c>
      <c r="F227" t="s">
        <v>245</v>
      </c>
      <c r="G227" t="s">
        <v>406</v>
      </c>
      <c r="H227" t="s">
        <v>411</v>
      </c>
      <c r="I227" t="s">
        <v>411</v>
      </c>
      <c r="J227" t="s">
        <v>437</v>
      </c>
      <c r="K227" t="s">
        <v>456</v>
      </c>
      <c r="L227" t="s">
        <v>716</v>
      </c>
      <c r="M227">
        <v>2109</v>
      </c>
      <c r="N227" t="s">
        <v>1194</v>
      </c>
      <c r="O227" t="s">
        <v>1252</v>
      </c>
      <c r="P227" t="s">
        <v>21</v>
      </c>
      <c r="Q227" t="s">
        <v>21</v>
      </c>
      <c r="R227" t="s">
        <v>1258</v>
      </c>
      <c r="S227" t="s">
        <v>1278</v>
      </c>
      <c r="T227" t="s">
        <v>1278</v>
      </c>
      <c r="U227" t="s">
        <v>1347</v>
      </c>
      <c r="V227" t="s">
        <v>1605</v>
      </c>
      <c r="W227" t="s">
        <v>1443</v>
      </c>
    </row>
    <row r="228" spans="1:23" x14ac:dyDescent="0.35">
      <c r="A228">
        <v>216</v>
      </c>
      <c r="B228">
        <v>2116</v>
      </c>
      <c r="C228">
        <v>2116</v>
      </c>
      <c r="D228" t="s">
        <v>21</v>
      </c>
      <c r="E228" t="s">
        <v>30</v>
      </c>
      <c r="F228" t="s">
        <v>245</v>
      </c>
      <c r="G228" t="s">
        <v>406</v>
      </c>
      <c r="H228" t="s">
        <v>411</v>
      </c>
      <c r="I228" t="s">
        <v>411</v>
      </c>
      <c r="J228" t="s">
        <v>437</v>
      </c>
      <c r="K228" t="s">
        <v>456</v>
      </c>
      <c r="L228" t="s">
        <v>717</v>
      </c>
      <c r="M228">
        <v>2109</v>
      </c>
      <c r="N228" t="s">
        <v>1194</v>
      </c>
      <c r="O228" t="s">
        <v>1252</v>
      </c>
      <c r="P228" t="s">
        <v>21</v>
      </c>
      <c r="Q228" t="s">
        <v>21</v>
      </c>
      <c r="R228" t="s">
        <v>1258</v>
      </c>
      <c r="S228" t="s">
        <v>1278</v>
      </c>
      <c r="T228" t="s">
        <v>1278</v>
      </c>
      <c r="U228" t="s">
        <v>1347</v>
      </c>
      <c r="V228" t="s">
        <v>1605</v>
      </c>
      <c r="W228" t="s">
        <v>1443</v>
      </c>
    </row>
    <row r="229" spans="1:23" x14ac:dyDescent="0.35">
      <c r="A229">
        <v>217</v>
      </c>
      <c r="B229">
        <v>2116</v>
      </c>
      <c r="C229">
        <v>2116</v>
      </c>
      <c r="D229" t="s">
        <v>21</v>
      </c>
      <c r="E229" t="s">
        <v>30</v>
      </c>
      <c r="F229" t="s">
        <v>245</v>
      </c>
      <c r="G229" t="s">
        <v>406</v>
      </c>
      <c r="H229" t="s">
        <v>411</v>
      </c>
      <c r="I229" t="s">
        <v>411</v>
      </c>
      <c r="J229" t="s">
        <v>437</v>
      </c>
      <c r="K229" t="s">
        <v>456</v>
      </c>
      <c r="L229" t="s">
        <v>718</v>
      </c>
      <c r="M229">
        <v>2109</v>
      </c>
      <c r="N229" t="s">
        <v>1194</v>
      </c>
      <c r="O229" t="s">
        <v>1252</v>
      </c>
      <c r="P229" t="s">
        <v>21</v>
      </c>
      <c r="Q229" t="s">
        <v>21</v>
      </c>
      <c r="R229" t="s">
        <v>1258</v>
      </c>
      <c r="S229" t="s">
        <v>1278</v>
      </c>
      <c r="T229" t="s">
        <v>1278</v>
      </c>
      <c r="U229" t="s">
        <v>1347</v>
      </c>
      <c r="V229" t="s">
        <v>1605</v>
      </c>
      <c r="W229" t="s">
        <v>1443</v>
      </c>
    </row>
    <row r="230" spans="1:23" x14ac:dyDescent="0.35">
      <c r="A230">
        <v>1</v>
      </c>
      <c r="B230">
        <v>2123</v>
      </c>
      <c r="C230">
        <v>2123</v>
      </c>
      <c r="D230" t="s">
        <v>21</v>
      </c>
      <c r="E230" t="s">
        <v>31</v>
      </c>
      <c r="F230" t="s">
        <v>246</v>
      </c>
      <c r="G230" t="s">
        <v>406</v>
      </c>
      <c r="H230" t="s">
        <v>411</v>
      </c>
      <c r="I230" t="s">
        <v>411</v>
      </c>
      <c r="J230" t="s">
        <v>438</v>
      </c>
      <c r="K230" t="s">
        <v>457</v>
      </c>
      <c r="L230" t="s">
        <v>719</v>
      </c>
      <c r="M230">
        <v>2121</v>
      </c>
      <c r="N230" t="s">
        <v>1195</v>
      </c>
      <c r="O230" t="s">
        <v>1252</v>
      </c>
      <c r="P230" t="s">
        <v>21</v>
      </c>
      <c r="Q230" t="s">
        <v>21</v>
      </c>
      <c r="R230" t="s">
        <v>1259</v>
      </c>
      <c r="S230" t="s">
        <v>1259</v>
      </c>
      <c r="T230" t="s">
        <v>1337</v>
      </c>
      <c r="U230" t="s">
        <v>1347</v>
      </c>
      <c r="V230" t="s">
        <v>1606</v>
      </c>
      <c r="W230" t="s">
        <v>1444</v>
      </c>
    </row>
    <row r="231" spans="1:23" x14ac:dyDescent="0.35">
      <c r="A231">
        <v>2</v>
      </c>
      <c r="B231">
        <v>2123</v>
      </c>
      <c r="C231">
        <v>2123</v>
      </c>
      <c r="D231" t="s">
        <v>21</v>
      </c>
      <c r="E231" t="s">
        <v>32</v>
      </c>
      <c r="F231" t="s">
        <v>247</v>
      </c>
      <c r="G231" t="s">
        <v>406</v>
      </c>
      <c r="H231" t="s">
        <v>411</v>
      </c>
      <c r="I231" t="s">
        <v>411</v>
      </c>
      <c r="J231" t="s">
        <v>438</v>
      </c>
      <c r="K231" t="s">
        <v>457</v>
      </c>
      <c r="L231" t="s">
        <v>720</v>
      </c>
      <c r="M231">
        <v>2120</v>
      </c>
      <c r="N231" t="s">
        <v>1195</v>
      </c>
      <c r="O231" t="s">
        <v>1252</v>
      </c>
      <c r="P231" t="s">
        <v>21</v>
      </c>
      <c r="Q231" t="s">
        <v>21</v>
      </c>
      <c r="R231" t="s">
        <v>1255</v>
      </c>
      <c r="S231" t="s">
        <v>1255</v>
      </c>
      <c r="T231" t="s">
        <v>1278</v>
      </c>
      <c r="U231" t="s">
        <v>1347</v>
      </c>
      <c r="V231" t="s">
        <v>1607</v>
      </c>
      <c r="W231" t="s">
        <v>1445</v>
      </c>
    </row>
    <row r="232" spans="1:23" x14ac:dyDescent="0.35">
      <c r="A232">
        <v>3</v>
      </c>
      <c r="B232">
        <v>2123</v>
      </c>
      <c r="C232">
        <v>2123</v>
      </c>
      <c r="D232" t="s">
        <v>21</v>
      </c>
      <c r="E232" t="s">
        <v>32</v>
      </c>
      <c r="F232" t="s">
        <v>247</v>
      </c>
      <c r="G232" t="s">
        <v>406</v>
      </c>
      <c r="H232" t="s">
        <v>411</v>
      </c>
      <c r="I232" t="s">
        <v>411</v>
      </c>
      <c r="J232" t="s">
        <v>438</v>
      </c>
      <c r="K232" t="s">
        <v>457</v>
      </c>
      <c r="L232" t="s">
        <v>721</v>
      </c>
      <c r="M232">
        <v>2120</v>
      </c>
      <c r="N232" t="s">
        <v>1195</v>
      </c>
      <c r="O232" t="s">
        <v>1252</v>
      </c>
      <c r="P232" t="s">
        <v>21</v>
      </c>
      <c r="Q232" t="s">
        <v>21</v>
      </c>
      <c r="R232" t="s">
        <v>1259</v>
      </c>
      <c r="S232" t="s">
        <v>1259</v>
      </c>
      <c r="T232" t="s">
        <v>1337</v>
      </c>
      <c r="U232" t="s">
        <v>1347</v>
      </c>
      <c r="V232" t="s">
        <v>1606</v>
      </c>
      <c r="W232" t="s">
        <v>1444</v>
      </c>
    </row>
    <row r="233" spans="1:23" x14ac:dyDescent="0.35">
      <c r="A233">
        <v>4</v>
      </c>
      <c r="B233">
        <v>2123</v>
      </c>
      <c r="C233">
        <v>2123</v>
      </c>
      <c r="D233" t="s">
        <v>21</v>
      </c>
      <c r="E233" t="s">
        <v>32</v>
      </c>
      <c r="F233" t="s">
        <v>247</v>
      </c>
      <c r="G233" t="s">
        <v>406</v>
      </c>
      <c r="H233" t="s">
        <v>411</v>
      </c>
      <c r="I233" t="s">
        <v>411</v>
      </c>
      <c r="J233" t="s">
        <v>438</v>
      </c>
      <c r="K233" t="s">
        <v>457</v>
      </c>
      <c r="L233" t="s">
        <v>722</v>
      </c>
      <c r="M233">
        <v>2120</v>
      </c>
      <c r="N233" t="s">
        <v>1195</v>
      </c>
      <c r="O233" t="s">
        <v>1252</v>
      </c>
      <c r="P233" t="s">
        <v>21</v>
      </c>
      <c r="Q233" t="s">
        <v>21</v>
      </c>
      <c r="R233" t="s">
        <v>1259</v>
      </c>
      <c r="S233" t="s">
        <v>1259</v>
      </c>
      <c r="T233" t="s">
        <v>1337</v>
      </c>
      <c r="U233" t="s">
        <v>1347</v>
      </c>
      <c r="V233" t="s">
        <v>1606</v>
      </c>
      <c r="W233" t="s">
        <v>1444</v>
      </c>
    </row>
    <row r="234" spans="1:23" x14ac:dyDescent="0.35">
      <c r="A234">
        <v>5</v>
      </c>
      <c r="B234">
        <v>2123</v>
      </c>
      <c r="C234">
        <v>2123</v>
      </c>
      <c r="D234" t="s">
        <v>21</v>
      </c>
      <c r="E234" t="s">
        <v>32</v>
      </c>
      <c r="F234" t="s">
        <v>247</v>
      </c>
      <c r="G234" t="s">
        <v>406</v>
      </c>
      <c r="H234" t="s">
        <v>411</v>
      </c>
      <c r="I234" t="s">
        <v>411</v>
      </c>
      <c r="J234" t="s">
        <v>438</v>
      </c>
      <c r="K234" t="s">
        <v>457</v>
      </c>
      <c r="L234" t="s">
        <v>723</v>
      </c>
      <c r="M234">
        <v>2120</v>
      </c>
      <c r="N234" t="s">
        <v>1195</v>
      </c>
      <c r="O234" t="s">
        <v>1252</v>
      </c>
      <c r="P234" t="s">
        <v>21</v>
      </c>
      <c r="Q234" t="s">
        <v>21</v>
      </c>
      <c r="R234" t="s">
        <v>1259</v>
      </c>
      <c r="S234" t="s">
        <v>1259</v>
      </c>
      <c r="T234" t="s">
        <v>1337</v>
      </c>
      <c r="U234" t="s">
        <v>1347</v>
      </c>
      <c r="V234" t="s">
        <v>1606</v>
      </c>
      <c r="W234" t="s">
        <v>1444</v>
      </c>
    </row>
    <row r="235" spans="1:23" x14ac:dyDescent="0.35">
      <c r="A235">
        <v>6</v>
      </c>
      <c r="B235">
        <v>2123</v>
      </c>
      <c r="C235">
        <v>2123</v>
      </c>
      <c r="D235" t="s">
        <v>21</v>
      </c>
      <c r="E235" t="s">
        <v>32</v>
      </c>
      <c r="F235" t="s">
        <v>247</v>
      </c>
      <c r="G235" t="s">
        <v>406</v>
      </c>
      <c r="H235" t="s">
        <v>411</v>
      </c>
      <c r="I235" t="s">
        <v>411</v>
      </c>
      <c r="J235" t="s">
        <v>438</v>
      </c>
      <c r="K235" t="s">
        <v>457</v>
      </c>
      <c r="L235" t="s">
        <v>724</v>
      </c>
      <c r="M235">
        <v>2120</v>
      </c>
      <c r="N235" t="s">
        <v>1195</v>
      </c>
      <c r="O235" t="s">
        <v>1252</v>
      </c>
      <c r="P235" t="s">
        <v>21</v>
      </c>
      <c r="Q235" t="s">
        <v>21</v>
      </c>
      <c r="R235" t="s">
        <v>1259</v>
      </c>
      <c r="S235" t="s">
        <v>1259</v>
      </c>
      <c r="T235" t="s">
        <v>1337</v>
      </c>
      <c r="U235" t="s">
        <v>1347</v>
      </c>
      <c r="V235" t="s">
        <v>1606</v>
      </c>
      <c r="W235" t="s">
        <v>1444</v>
      </c>
    </row>
    <row r="236" spans="1:23" x14ac:dyDescent="0.35">
      <c r="A236">
        <v>7</v>
      </c>
      <c r="B236">
        <v>2123</v>
      </c>
      <c r="C236">
        <v>2123</v>
      </c>
      <c r="D236" t="s">
        <v>21</v>
      </c>
      <c r="E236" t="s">
        <v>33</v>
      </c>
      <c r="F236" t="s">
        <v>248</v>
      </c>
      <c r="G236" t="s">
        <v>406</v>
      </c>
      <c r="H236" t="s">
        <v>411</v>
      </c>
      <c r="I236" t="s">
        <v>411</v>
      </c>
      <c r="J236" t="s">
        <v>438</v>
      </c>
      <c r="K236" t="s">
        <v>457</v>
      </c>
      <c r="L236" t="s">
        <v>725</v>
      </c>
      <c r="M236">
        <v>2120</v>
      </c>
      <c r="N236" t="s">
        <v>1195</v>
      </c>
      <c r="O236" t="s">
        <v>1252</v>
      </c>
      <c r="P236" t="s">
        <v>21</v>
      </c>
      <c r="Q236" t="s">
        <v>21</v>
      </c>
      <c r="R236" t="s">
        <v>1259</v>
      </c>
      <c r="S236" t="s">
        <v>1259</v>
      </c>
      <c r="T236" t="s">
        <v>1337</v>
      </c>
      <c r="U236" t="s">
        <v>1347</v>
      </c>
      <c r="V236" t="s">
        <v>1606</v>
      </c>
      <c r="W236" t="s">
        <v>1444</v>
      </c>
    </row>
    <row r="237" spans="1:23" x14ac:dyDescent="0.35">
      <c r="A237">
        <v>8</v>
      </c>
      <c r="B237">
        <v>2123</v>
      </c>
      <c r="C237">
        <v>2123</v>
      </c>
      <c r="D237" t="s">
        <v>21</v>
      </c>
      <c r="E237" t="s">
        <v>33</v>
      </c>
      <c r="F237" t="s">
        <v>248</v>
      </c>
      <c r="G237" t="s">
        <v>406</v>
      </c>
      <c r="H237" t="s">
        <v>411</v>
      </c>
      <c r="I237" t="s">
        <v>411</v>
      </c>
      <c r="J237" t="s">
        <v>438</v>
      </c>
      <c r="K237" t="s">
        <v>457</v>
      </c>
      <c r="L237" t="s">
        <v>726</v>
      </c>
      <c r="M237">
        <v>2120</v>
      </c>
      <c r="N237" t="s">
        <v>1195</v>
      </c>
      <c r="O237" t="s">
        <v>1252</v>
      </c>
      <c r="P237" t="s">
        <v>21</v>
      </c>
      <c r="Q237" t="s">
        <v>21</v>
      </c>
      <c r="R237" t="s">
        <v>1259</v>
      </c>
      <c r="S237" t="s">
        <v>1259</v>
      </c>
      <c r="T237" t="s">
        <v>1337</v>
      </c>
      <c r="U237" t="s">
        <v>1347</v>
      </c>
      <c r="V237" t="s">
        <v>1606</v>
      </c>
      <c r="W237" t="s">
        <v>1444</v>
      </c>
    </row>
    <row r="238" spans="1:23" x14ac:dyDescent="0.35">
      <c r="A238">
        <v>9</v>
      </c>
      <c r="B238">
        <v>2123</v>
      </c>
      <c r="C238">
        <v>2123</v>
      </c>
      <c r="D238" t="s">
        <v>21</v>
      </c>
      <c r="E238" t="s">
        <v>26</v>
      </c>
      <c r="F238" t="s">
        <v>241</v>
      </c>
      <c r="G238" t="s">
        <v>406</v>
      </c>
      <c r="H238" t="s">
        <v>411</v>
      </c>
      <c r="I238" t="s">
        <v>411</v>
      </c>
      <c r="J238" t="s">
        <v>438</v>
      </c>
      <c r="K238" t="s">
        <v>457</v>
      </c>
      <c r="L238" t="s">
        <v>727</v>
      </c>
      <c r="M238">
        <v>2119</v>
      </c>
      <c r="N238" t="s">
        <v>1195</v>
      </c>
      <c r="O238" t="s">
        <v>1252</v>
      </c>
      <c r="P238" t="s">
        <v>21</v>
      </c>
      <c r="Q238" t="s">
        <v>21</v>
      </c>
      <c r="R238" t="s">
        <v>1259</v>
      </c>
      <c r="S238" t="s">
        <v>1259</v>
      </c>
      <c r="T238" t="s">
        <v>1337</v>
      </c>
      <c r="U238" t="s">
        <v>1347</v>
      </c>
      <c r="V238" t="s">
        <v>1606</v>
      </c>
      <c r="W238" t="s">
        <v>1444</v>
      </c>
    </row>
    <row r="239" spans="1:23" x14ac:dyDescent="0.35">
      <c r="A239">
        <v>10</v>
      </c>
      <c r="B239">
        <v>2129</v>
      </c>
      <c r="C239">
        <v>2129</v>
      </c>
      <c r="D239" t="s">
        <v>22</v>
      </c>
      <c r="E239" t="s">
        <v>28</v>
      </c>
      <c r="F239" t="s">
        <v>249</v>
      </c>
      <c r="G239" t="s">
        <v>406</v>
      </c>
      <c r="H239" t="s">
        <v>412</v>
      </c>
      <c r="I239" t="s">
        <v>410</v>
      </c>
      <c r="J239" t="s">
        <v>438</v>
      </c>
      <c r="K239" t="s">
        <v>457</v>
      </c>
      <c r="L239" t="s">
        <v>728</v>
      </c>
      <c r="M239">
        <v>2126</v>
      </c>
      <c r="N239" t="s">
        <v>1195</v>
      </c>
      <c r="O239" t="s">
        <v>1252</v>
      </c>
      <c r="P239" t="s">
        <v>21</v>
      </c>
      <c r="Q239" t="s">
        <v>21</v>
      </c>
      <c r="R239" t="s">
        <v>1260</v>
      </c>
      <c r="S239" t="s">
        <v>1260</v>
      </c>
      <c r="T239" t="s">
        <v>1336</v>
      </c>
      <c r="U239" t="s">
        <v>1347</v>
      </c>
      <c r="V239" t="s">
        <v>1608</v>
      </c>
      <c r="W239" t="s">
        <v>1439</v>
      </c>
    </row>
    <row r="240" spans="1:23" x14ac:dyDescent="0.35">
      <c r="A240">
        <v>11</v>
      </c>
      <c r="B240">
        <v>2132</v>
      </c>
      <c r="C240">
        <v>2132</v>
      </c>
      <c r="D240" t="s">
        <v>22</v>
      </c>
      <c r="E240" t="s">
        <v>34</v>
      </c>
      <c r="F240" t="s">
        <v>250</v>
      </c>
      <c r="G240" t="s">
        <v>406</v>
      </c>
      <c r="H240" t="s">
        <v>412</v>
      </c>
      <c r="I240" t="s">
        <v>410</v>
      </c>
      <c r="J240" t="s">
        <v>438</v>
      </c>
      <c r="K240" t="s">
        <v>457</v>
      </c>
      <c r="L240" t="s">
        <v>729</v>
      </c>
      <c r="M240">
        <v>2126</v>
      </c>
      <c r="N240" t="s">
        <v>1195</v>
      </c>
      <c r="O240" t="s">
        <v>1252</v>
      </c>
      <c r="P240" t="s">
        <v>21</v>
      </c>
      <c r="Q240" t="s">
        <v>21</v>
      </c>
      <c r="R240" t="s">
        <v>1255</v>
      </c>
      <c r="S240" t="s">
        <v>1255</v>
      </c>
      <c r="T240" t="s">
        <v>1278</v>
      </c>
      <c r="U240" t="s">
        <v>1347</v>
      </c>
      <c r="V240" t="s">
        <v>1609</v>
      </c>
      <c r="W240" t="s">
        <v>1446</v>
      </c>
    </row>
    <row r="241" spans="1:23" x14ac:dyDescent="0.35">
      <c r="A241">
        <v>1</v>
      </c>
      <c r="B241">
        <v>2101</v>
      </c>
      <c r="C241">
        <v>2101</v>
      </c>
      <c r="D241" t="s">
        <v>21</v>
      </c>
      <c r="E241" t="s">
        <v>35</v>
      </c>
      <c r="F241" t="s">
        <v>251</v>
      </c>
      <c r="G241" t="s">
        <v>407</v>
      </c>
      <c r="H241">
        <v>3</v>
      </c>
      <c r="I241" t="s">
        <v>418</v>
      </c>
      <c r="J241" t="s">
        <v>439</v>
      </c>
      <c r="K241" t="s">
        <v>458</v>
      </c>
      <c r="L241" t="s">
        <v>730</v>
      </c>
      <c r="M241">
        <v>2042</v>
      </c>
      <c r="N241" t="s">
        <v>1196</v>
      </c>
      <c r="O241" t="s">
        <v>21</v>
      </c>
      <c r="P241" t="s">
        <v>21</v>
      </c>
      <c r="Q241" t="s">
        <v>21</v>
      </c>
      <c r="R241" t="s">
        <v>1261</v>
      </c>
      <c r="S241" t="s">
        <v>1261</v>
      </c>
      <c r="T241" t="s">
        <v>410</v>
      </c>
      <c r="U241" t="s">
        <v>1348</v>
      </c>
      <c r="V241" t="s">
        <v>1610</v>
      </c>
      <c r="W241" t="s">
        <v>1447</v>
      </c>
    </row>
    <row r="242" spans="1:23" x14ac:dyDescent="0.35">
      <c r="A242">
        <v>2</v>
      </c>
      <c r="B242">
        <v>2101</v>
      </c>
      <c r="C242">
        <v>2101</v>
      </c>
      <c r="D242" t="s">
        <v>21</v>
      </c>
      <c r="E242" t="s">
        <v>36</v>
      </c>
      <c r="F242" t="s">
        <v>251</v>
      </c>
      <c r="G242" t="s">
        <v>407</v>
      </c>
      <c r="H242">
        <v>11</v>
      </c>
      <c r="I242" t="s">
        <v>419</v>
      </c>
      <c r="J242" t="s">
        <v>1410</v>
      </c>
      <c r="K242" t="s">
        <v>459</v>
      </c>
      <c r="L242" t="s">
        <v>731</v>
      </c>
      <c r="M242">
        <v>2046</v>
      </c>
      <c r="N242" t="s">
        <v>1197</v>
      </c>
      <c r="O242" t="s">
        <v>21</v>
      </c>
      <c r="P242" t="s">
        <v>21</v>
      </c>
      <c r="Q242" t="s">
        <v>21</v>
      </c>
      <c r="R242" t="s">
        <v>1262</v>
      </c>
      <c r="S242" t="s">
        <v>1262</v>
      </c>
      <c r="T242" t="s">
        <v>1338</v>
      </c>
      <c r="U242" t="s">
        <v>1349</v>
      </c>
      <c r="V242" t="s">
        <v>1611</v>
      </c>
      <c r="W242" t="s">
        <v>1448</v>
      </c>
    </row>
    <row r="243" spans="1:23" x14ac:dyDescent="0.35">
      <c r="A243">
        <v>3</v>
      </c>
      <c r="B243">
        <v>2101</v>
      </c>
      <c r="C243">
        <v>2101</v>
      </c>
      <c r="D243" t="s">
        <v>21</v>
      </c>
      <c r="E243" t="s">
        <v>36</v>
      </c>
      <c r="F243" t="s">
        <v>251</v>
      </c>
      <c r="G243" t="s">
        <v>407</v>
      </c>
      <c r="H243">
        <v>6</v>
      </c>
      <c r="I243" t="s">
        <v>420</v>
      </c>
      <c r="J243" t="s">
        <v>440</v>
      </c>
      <c r="K243" t="s">
        <v>460</v>
      </c>
      <c r="L243" t="s">
        <v>732</v>
      </c>
      <c r="M243">
        <v>2045</v>
      </c>
      <c r="N243" t="s">
        <v>1198</v>
      </c>
      <c r="O243" t="s">
        <v>21</v>
      </c>
      <c r="P243" t="s">
        <v>21</v>
      </c>
      <c r="Q243" t="s">
        <v>21</v>
      </c>
      <c r="R243" t="s">
        <v>1263</v>
      </c>
      <c r="S243" t="s">
        <v>1263</v>
      </c>
      <c r="T243" t="s">
        <v>1338</v>
      </c>
      <c r="U243" t="s">
        <v>1348</v>
      </c>
      <c r="V243" t="s">
        <v>1612</v>
      </c>
      <c r="W243" t="s">
        <v>1449</v>
      </c>
    </row>
    <row r="244" spans="1:23" x14ac:dyDescent="0.35">
      <c r="A244">
        <v>4</v>
      </c>
      <c r="B244">
        <v>2102</v>
      </c>
      <c r="C244">
        <v>2102</v>
      </c>
      <c r="D244" t="s">
        <v>21</v>
      </c>
      <c r="E244" t="s">
        <v>37</v>
      </c>
      <c r="F244" t="s">
        <v>251</v>
      </c>
      <c r="G244" t="s">
        <v>407</v>
      </c>
      <c r="H244">
        <v>3</v>
      </c>
      <c r="I244" t="s">
        <v>418</v>
      </c>
      <c r="J244" t="s">
        <v>441</v>
      </c>
      <c r="K244" t="s">
        <v>461</v>
      </c>
      <c r="L244" t="s">
        <v>733</v>
      </c>
      <c r="M244">
        <v>2048</v>
      </c>
      <c r="N244" t="s">
        <v>1199</v>
      </c>
      <c r="O244" t="s">
        <v>21</v>
      </c>
      <c r="P244" t="s">
        <v>21</v>
      </c>
      <c r="Q244" t="s">
        <v>21</v>
      </c>
      <c r="R244" t="s">
        <v>1264</v>
      </c>
      <c r="S244" t="s">
        <v>1264</v>
      </c>
      <c r="T244" t="s">
        <v>410</v>
      </c>
      <c r="U244" t="s">
        <v>1348</v>
      </c>
      <c r="V244" t="s">
        <v>1613</v>
      </c>
      <c r="W244" t="s">
        <v>1447</v>
      </c>
    </row>
    <row r="245" spans="1:23" x14ac:dyDescent="0.35">
      <c r="A245">
        <v>5</v>
      </c>
      <c r="B245">
        <v>2102</v>
      </c>
      <c r="C245">
        <v>2102</v>
      </c>
      <c r="D245" t="s">
        <v>21</v>
      </c>
      <c r="E245" t="s">
        <v>38</v>
      </c>
      <c r="F245" t="s">
        <v>251</v>
      </c>
      <c r="G245" t="s">
        <v>407</v>
      </c>
      <c r="H245">
        <v>2</v>
      </c>
      <c r="I245" t="s">
        <v>418</v>
      </c>
      <c r="J245" t="s">
        <v>442</v>
      </c>
      <c r="K245" t="s">
        <v>462</v>
      </c>
      <c r="L245" t="s">
        <v>734</v>
      </c>
      <c r="M245">
        <v>2048</v>
      </c>
      <c r="N245" t="s">
        <v>1200</v>
      </c>
      <c r="O245" t="s">
        <v>21</v>
      </c>
      <c r="P245" t="s">
        <v>21</v>
      </c>
      <c r="Q245" t="s">
        <v>21</v>
      </c>
      <c r="R245" t="s">
        <v>1259</v>
      </c>
      <c r="S245" t="s">
        <v>1259</v>
      </c>
      <c r="T245" t="s">
        <v>1337</v>
      </c>
      <c r="U245" t="s">
        <v>1348</v>
      </c>
      <c r="V245" t="s">
        <v>1614</v>
      </c>
      <c r="W245" t="s">
        <v>1450</v>
      </c>
    </row>
    <row r="246" spans="1:23" x14ac:dyDescent="0.35">
      <c r="A246">
        <v>6</v>
      </c>
      <c r="B246">
        <v>2102</v>
      </c>
      <c r="C246">
        <v>2102</v>
      </c>
      <c r="D246" t="s">
        <v>21</v>
      </c>
      <c r="E246" t="s">
        <v>38</v>
      </c>
      <c r="F246" t="s">
        <v>251</v>
      </c>
      <c r="G246" t="s">
        <v>407</v>
      </c>
      <c r="H246">
        <v>15</v>
      </c>
      <c r="I246" t="s">
        <v>421</v>
      </c>
      <c r="J246" t="s">
        <v>443</v>
      </c>
      <c r="K246" t="s">
        <v>463</v>
      </c>
      <c r="L246" t="s">
        <v>735</v>
      </c>
      <c r="M246">
        <v>2046</v>
      </c>
      <c r="N246" t="s">
        <v>1201</v>
      </c>
      <c r="O246" t="s">
        <v>21</v>
      </c>
      <c r="P246" t="s">
        <v>21</v>
      </c>
      <c r="Q246" t="s">
        <v>21</v>
      </c>
      <c r="R246" t="s">
        <v>1265</v>
      </c>
      <c r="S246" t="s">
        <v>1265</v>
      </c>
      <c r="T246" t="s">
        <v>1339</v>
      </c>
      <c r="U246" t="s">
        <v>1348</v>
      </c>
      <c r="V246" t="s">
        <v>1615</v>
      </c>
      <c r="W246" t="s">
        <v>1451</v>
      </c>
    </row>
    <row r="247" spans="1:23" x14ac:dyDescent="0.35">
      <c r="A247">
        <v>7</v>
      </c>
      <c r="B247">
        <v>2102</v>
      </c>
      <c r="C247">
        <v>2102</v>
      </c>
      <c r="D247" t="s">
        <v>21</v>
      </c>
      <c r="E247" t="s">
        <v>38</v>
      </c>
      <c r="F247" t="s">
        <v>251</v>
      </c>
      <c r="G247" t="s">
        <v>407</v>
      </c>
      <c r="H247">
        <v>2</v>
      </c>
      <c r="I247" t="s">
        <v>421</v>
      </c>
      <c r="J247" t="s">
        <v>442</v>
      </c>
      <c r="K247" t="s">
        <v>462</v>
      </c>
      <c r="L247" t="s">
        <v>736</v>
      </c>
      <c r="M247">
        <v>2048</v>
      </c>
      <c r="N247" t="s">
        <v>1200</v>
      </c>
      <c r="O247" t="s">
        <v>21</v>
      </c>
      <c r="P247" t="s">
        <v>21</v>
      </c>
      <c r="Q247" t="s">
        <v>21</v>
      </c>
      <c r="R247" t="s">
        <v>1266</v>
      </c>
      <c r="S247" t="s">
        <v>1266</v>
      </c>
      <c r="T247" t="s">
        <v>1340</v>
      </c>
      <c r="U247" t="s">
        <v>1348</v>
      </c>
      <c r="V247" t="s">
        <v>1616</v>
      </c>
      <c r="W247" t="s">
        <v>1452</v>
      </c>
    </row>
    <row r="248" spans="1:23" x14ac:dyDescent="0.35">
      <c r="A248">
        <v>8</v>
      </c>
      <c r="B248">
        <v>2102</v>
      </c>
      <c r="C248">
        <v>2102</v>
      </c>
      <c r="D248" t="s">
        <v>21</v>
      </c>
      <c r="E248" t="s">
        <v>38</v>
      </c>
      <c r="F248" t="s">
        <v>251</v>
      </c>
      <c r="G248" t="s">
        <v>407</v>
      </c>
      <c r="H248">
        <v>3</v>
      </c>
      <c r="I248" t="s">
        <v>420</v>
      </c>
      <c r="J248" t="s">
        <v>444</v>
      </c>
      <c r="K248" t="s">
        <v>464</v>
      </c>
      <c r="L248" t="s">
        <v>737</v>
      </c>
      <c r="M248">
        <v>2047</v>
      </c>
      <c r="N248" t="s">
        <v>1202</v>
      </c>
      <c r="O248" t="s">
        <v>21</v>
      </c>
      <c r="P248" t="s">
        <v>21</v>
      </c>
      <c r="Q248" t="s">
        <v>21</v>
      </c>
      <c r="R248" t="s">
        <v>1267</v>
      </c>
      <c r="S248" t="s">
        <v>1267</v>
      </c>
      <c r="T248" t="s">
        <v>1295</v>
      </c>
      <c r="U248" t="s">
        <v>1348</v>
      </c>
      <c r="V248" t="s">
        <v>1617</v>
      </c>
      <c r="W248" t="s">
        <v>1453</v>
      </c>
    </row>
    <row r="249" spans="1:23" x14ac:dyDescent="0.35">
      <c r="A249">
        <v>9</v>
      </c>
      <c r="B249">
        <v>2102</v>
      </c>
      <c r="C249">
        <v>2102</v>
      </c>
      <c r="D249" t="s">
        <v>21</v>
      </c>
      <c r="E249" t="s">
        <v>38</v>
      </c>
      <c r="F249" t="s">
        <v>251</v>
      </c>
      <c r="G249" t="s">
        <v>407</v>
      </c>
      <c r="H249">
        <v>3</v>
      </c>
      <c r="I249" t="s">
        <v>418</v>
      </c>
      <c r="J249" t="s">
        <v>444</v>
      </c>
      <c r="K249" t="s">
        <v>464</v>
      </c>
      <c r="L249" t="s">
        <v>738</v>
      </c>
      <c r="M249">
        <v>2047</v>
      </c>
      <c r="N249" t="s">
        <v>1202</v>
      </c>
      <c r="O249" t="s">
        <v>21</v>
      </c>
      <c r="P249" t="s">
        <v>21</v>
      </c>
      <c r="Q249" t="s">
        <v>21</v>
      </c>
      <c r="R249" t="s">
        <v>1259</v>
      </c>
      <c r="S249" t="s">
        <v>1259</v>
      </c>
      <c r="T249" t="s">
        <v>1337</v>
      </c>
      <c r="U249" t="s">
        <v>1348</v>
      </c>
      <c r="V249" t="s">
        <v>1614</v>
      </c>
      <c r="W249" t="s">
        <v>1450</v>
      </c>
    </row>
    <row r="250" spans="1:23" x14ac:dyDescent="0.35">
      <c r="A250">
        <v>10</v>
      </c>
      <c r="B250">
        <v>2102</v>
      </c>
      <c r="C250">
        <v>2102</v>
      </c>
      <c r="D250" t="s">
        <v>21</v>
      </c>
      <c r="E250" t="s">
        <v>38</v>
      </c>
      <c r="F250" t="s">
        <v>251</v>
      </c>
      <c r="G250" t="s">
        <v>407</v>
      </c>
      <c r="H250">
        <v>2</v>
      </c>
      <c r="I250" t="s">
        <v>418</v>
      </c>
      <c r="J250" t="s">
        <v>442</v>
      </c>
      <c r="K250" t="s">
        <v>462</v>
      </c>
      <c r="L250" t="s">
        <v>739</v>
      </c>
      <c r="M250">
        <v>2048</v>
      </c>
      <c r="N250" t="s">
        <v>1200</v>
      </c>
      <c r="O250" t="s">
        <v>21</v>
      </c>
      <c r="P250" t="s">
        <v>21</v>
      </c>
      <c r="Q250" t="s">
        <v>21</v>
      </c>
      <c r="R250" t="s">
        <v>1261</v>
      </c>
      <c r="S250" t="s">
        <v>1261</v>
      </c>
      <c r="T250" t="s">
        <v>410</v>
      </c>
      <c r="U250" t="s">
        <v>1348</v>
      </c>
      <c r="V250" t="s">
        <v>1613</v>
      </c>
      <c r="W250" t="s">
        <v>1447</v>
      </c>
    </row>
    <row r="251" spans="1:23" x14ac:dyDescent="0.35">
      <c r="A251">
        <v>11</v>
      </c>
      <c r="B251">
        <v>2102</v>
      </c>
      <c r="C251">
        <v>2102</v>
      </c>
      <c r="D251" t="s">
        <v>21</v>
      </c>
      <c r="E251" t="s">
        <v>38</v>
      </c>
      <c r="F251" t="s">
        <v>251</v>
      </c>
      <c r="G251" t="s">
        <v>407</v>
      </c>
      <c r="H251">
        <v>3</v>
      </c>
      <c r="I251" t="s">
        <v>422</v>
      </c>
      <c r="J251" t="s">
        <v>444</v>
      </c>
      <c r="K251" t="s">
        <v>464</v>
      </c>
      <c r="L251" t="s">
        <v>740</v>
      </c>
      <c r="M251">
        <v>2047</v>
      </c>
      <c r="N251" t="s">
        <v>1202</v>
      </c>
      <c r="O251" t="s">
        <v>21</v>
      </c>
      <c r="P251" t="s">
        <v>21</v>
      </c>
      <c r="Q251" t="s">
        <v>21</v>
      </c>
      <c r="R251" t="s">
        <v>1261</v>
      </c>
      <c r="S251" t="s">
        <v>1261</v>
      </c>
      <c r="T251" t="s">
        <v>410</v>
      </c>
      <c r="U251" t="s">
        <v>1348</v>
      </c>
      <c r="V251" t="s">
        <v>1613</v>
      </c>
      <c r="W251" t="s">
        <v>1447</v>
      </c>
    </row>
    <row r="252" spans="1:23" x14ac:dyDescent="0.35">
      <c r="A252">
        <v>12</v>
      </c>
      <c r="B252">
        <v>2102</v>
      </c>
      <c r="C252">
        <v>2102</v>
      </c>
      <c r="D252" t="s">
        <v>21</v>
      </c>
      <c r="E252" t="s">
        <v>39</v>
      </c>
      <c r="F252" t="s">
        <v>251</v>
      </c>
      <c r="G252" t="s">
        <v>407</v>
      </c>
      <c r="H252">
        <v>15</v>
      </c>
      <c r="I252" t="s">
        <v>423</v>
      </c>
      <c r="J252" t="s">
        <v>440</v>
      </c>
      <c r="K252" t="s">
        <v>460</v>
      </c>
      <c r="L252" t="s">
        <v>741</v>
      </c>
      <c r="M252">
        <v>2047</v>
      </c>
      <c r="N252" t="s">
        <v>1198</v>
      </c>
      <c r="O252" t="s">
        <v>21</v>
      </c>
      <c r="P252" t="s">
        <v>21</v>
      </c>
      <c r="Q252" t="s">
        <v>21</v>
      </c>
      <c r="R252" t="s">
        <v>1268</v>
      </c>
      <c r="S252" t="s">
        <v>1268</v>
      </c>
      <c r="T252" t="s">
        <v>1336</v>
      </c>
      <c r="U252" t="s">
        <v>1348</v>
      </c>
      <c r="V252" t="s">
        <v>1618</v>
      </c>
      <c r="W252" t="s">
        <v>1454</v>
      </c>
    </row>
    <row r="253" spans="1:23" x14ac:dyDescent="0.35">
      <c r="A253">
        <v>13</v>
      </c>
      <c r="B253">
        <v>2102</v>
      </c>
      <c r="C253">
        <v>2102</v>
      </c>
      <c r="D253" t="s">
        <v>21</v>
      </c>
      <c r="E253" t="s">
        <v>39</v>
      </c>
      <c r="F253" t="s">
        <v>251</v>
      </c>
      <c r="G253" t="s">
        <v>407</v>
      </c>
      <c r="H253">
        <v>1</v>
      </c>
      <c r="I253" t="s">
        <v>418</v>
      </c>
      <c r="J253" t="s">
        <v>439</v>
      </c>
      <c r="K253" t="s">
        <v>458</v>
      </c>
      <c r="L253" t="s">
        <v>742</v>
      </c>
      <c r="M253">
        <v>2048</v>
      </c>
      <c r="N253" t="s">
        <v>1196</v>
      </c>
      <c r="O253" t="s">
        <v>21</v>
      </c>
      <c r="P253" t="s">
        <v>21</v>
      </c>
      <c r="Q253" t="s">
        <v>21</v>
      </c>
      <c r="R253" t="s">
        <v>1261</v>
      </c>
      <c r="S253" t="s">
        <v>1261</v>
      </c>
      <c r="T253" t="s">
        <v>410</v>
      </c>
      <c r="U253" t="s">
        <v>1348</v>
      </c>
      <c r="V253" t="s">
        <v>1613</v>
      </c>
      <c r="W253" t="s">
        <v>1447</v>
      </c>
    </row>
    <row r="254" spans="1:23" x14ac:dyDescent="0.35">
      <c r="A254">
        <v>14</v>
      </c>
      <c r="B254">
        <v>2103</v>
      </c>
      <c r="C254">
        <v>2103</v>
      </c>
      <c r="D254" t="s">
        <v>21</v>
      </c>
      <c r="E254" t="s">
        <v>40</v>
      </c>
      <c r="F254" t="s">
        <v>251</v>
      </c>
      <c r="G254" t="s">
        <v>407</v>
      </c>
      <c r="H254">
        <v>5</v>
      </c>
      <c r="I254" t="s">
        <v>424</v>
      </c>
      <c r="J254" t="s">
        <v>443</v>
      </c>
      <c r="K254" t="s">
        <v>463</v>
      </c>
      <c r="L254" t="s">
        <v>743</v>
      </c>
      <c r="M254">
        <v>2047</v>
      </c>
      <c r="N254" t="s">
        <v>1201</v>
      </c>
      <c r="O254" t="s">
        <v>21</v>
      </c>
      <c r="P254" t="s">
        <v>21</v>
      </c>
      <c r="Q254" t="s">
        <v>21</v>
      </c>
      <c r="R254" t="s">
        <v>1259</v>
      </c>
      <c r="S254" t="s">
        <v>1259</v>
      </c>
      <c r="T254" t="s">
        <v>1337</v>
      </c>
      <c r="U254" t="s">
        <v>1348</v>
      </c>
      <c r="V254" t="s">
        <v>1619</v>
      </c>
      <c r="W254" t="s">
        <v>1450</v>
      </c>
    </row>
    <row r="255" spans="1:23" x14ac:dyDescent="0.35">
      <c r="A255">
        <v>15</v>
      </c>
      <c r="B255">
        <v>2103</v>
      </c>
      <c r="C255">
        <v>2103</v>
      </c>
      <c r="D255" t="s">
        <v>21</v>
      </c>
      <c r="E255" t="s">
        <v>40</v>
      </c>
      <c r="F255" t="s">
        <v>251</v>
      </c>
      <c r="G255" t="s">
        <v>407</v>
      </c>
      <c r="H255">
        <v>5</v>
      </c>
      <c r="I255" t="s">
        <v>420</v>
      </c>
      <c r="J255" t="s">
        <v>443</v>
      </c>
      <c r="K255" t="s">
        <v>463</v>
      </c>
      <c r="L255" t="s">
        <v>744</v>
      </c>
      <c r="M255">
        <v>2046</v>
      </c>
      <c r="N255" t="s">
        <v>1201</v>
      </c>
      <c r="O255" t="s">
        <v>21</v>
      </c>
      <c r="P255" t="s">
        <v>21</v>
      </c>
      <c r="Q255" t="s">
        <v>21</v>
      </c>
      <c r="R255" t="s">
        <v>1267</v>
      </c>
      <c r="S255" t="s">
        <v>1267</v>
      </c>
      <c r="T255" t="s">
        <v>1295</v>
      </c>
      <c r="U255" t="s">
        <v>1348</v>
      </c>
      <c r="V255" t="s">
        <v>1620</v>
      </c>
      <c r="W255" t="s">
        <v>1453</v>
      </c>
    </row>
    <row r="256" spans="1:23" x14ac:dyDescent="0.35">
      <c r="A256">
        <v>16</v>
      </c>
      <c r="B256">
        <v>2103</v>
      </c>
      <c r="C256">
        <v>2103</v>
      </c>
      <c r="D256" t="s">
        <v>21</v>
      </c>
      <c r="E256" t="s">
        <v>41</v>
      </c>
      <c r="F256" t="s">
        <v>251</v>
      </c>
      <c r="G256" t="s">
        <v>407</v>
      </c>
      <c r="H256">
        <v>5</v>
      </c>
      <c r="I256" t="s">
        <v>424</v>
      </c>
      <c r="J256" t="s">
        <v>443</v>
      </c>
      <c r="K256" t="s">
        <v>463</v>
      </c>
      <c r="L256" t="s">
        <v>745</v>
      </c>
      <c r="M256">
        <v>2047</v>
      </c>
      <c r="N256" t="s">
        <v>1201</v>
      </c>
      <c r="O256" t="s">
        <v>21</v>
      </c>
      <c r="P256" t="s">
        <v>21</v>
      </c>
      <c r="Q256" t="s">
        <v>21</v>
      </c>
      <c r="R256" t="s">
        <v>1259</v>
      </c>
      <c r="S256" t="s">
        <v>1259</v>
      </c>
      <c r="T256" t="s">
        <v>1337</v>
      </c>
      <c r="U256" t="s">
        <v>1348</v>
      </c>
      <c r="V256" t="s">
        <v>1619</v>
      </c>
      <c r="W256" t="s">
        <v>1450</v>
      </c>
    </row>
    <row r="257" spans="1:23" x14ac:dyDescent="0.35">
      <c r="A257">
        <v>17</v>
      </c>
      <c r="B257">
        <v>2103</v>
      </c>
      <c r="C257">
        <v>2103</v>
      </c>
      <c r="D257" t="s">
        <v>21</v>
      </c>
      <c r="E257" t="s">
        <v>41</v>
      </c>
      <c r="F257" t="s">
        <v>251</v>
      </c>
      <c r="G257" t="s">
        <v>407</v>
      </c>
      <c r="H257">
        <v>3</v>
      </c>
      <c r="I257" t="s">
        <v>418</v>
      </c>
      <c r="J257" t="s">
        <v>439</v>
      </c>
      <c r="K257" t="s">
        <v>458</v>
      </c>
      <c r="L257" t="s">
        <v>746</v>
      </c>
      <c r="M257">
        <v>2050</v>
      </c>
      <c r="N257" t="s">
        <v>1196</v>
      </c>
      <c r="O257" t="s">
        <v>21</v>
      </c>
      <c r="P257" t="s">
        <v>21</v>
      </c>
      <c r="Q257" t="s">
        <v>21</v>
      </c>
      <c r="R257" t="s">
        <v>1269</v>
      </c>
      <c r="S257" t="s">
        <v>1269</v>
      </c>
      <c r="T257" t="s">
        <v>410</v>
      </c>
      <c r="U257" t="s">
        <v>1348</v>
      </c>
      <c r="V257" t="s">
        <v>1621</v>
      </c>
      <c r="W257" t="s">
        <v>1447</v>
      </c>
    </row>
    <row r="258" spans="1:23" x14ac:dyDescent="0.35">
      <c r="A258">
        <v>18</v>
      </c>
      <c r="B258">
        <v>2103</v>
      </c>
      <c r="C258">
        <v>2103</v>
      </c>
      <c r="D258" t="s">
        <v>21</v>
      </c>
      <c r="E258" t="s">
        <v>41</v>
      </c>
      <c r="F258" t="s">
        <v>251</v>
      </c>
      <c r="G258" t="s">
        <v>407</v>
      </c>
      <c r="H258">
        <v>2</v>
      </c>
      <c r="I258" t="s">
        <v>423</v>
      </c>
      <c r="J258" t="s">
        <v>442</v>
      </c>
      <c r="K258" t="s">
        <v>462</v>
      </c>
      <c r="L258" t="s">
        <v>747</v>
      </c>
      <c r="M258">
        <v>2048</v>
      </c>
      <c r="N258" t="s">
        <v>1200</v>
      </c>
      <c r="O258" t="s">
        <v>21</v>
      </c>
      <c r="P258" t="s">
        <v>21</v>
      </c>
      <c r="Q258" t="s">
        <v>21</v>
      </c>
      <c r="R258" t="s">
        <v>1268</v>
      </c>
      <c r="S258" t="s">
        <v>1268</v>
      </c>
      <c r="T258" t="s">
        <v>1336</v>
      </c>
      <c r="U258" t="s">
        <v>1348</v>
      </c>
      <c r="V258" t="s">
        <v>1622</v>
      </c>
      <c r="W258" t="s">
        <v>1454</v>
      </c>
    </row>
    <row r="259" spans="1:23" x14ac:dyDescent="0.35">
      <c r="A259">
        <v>19</v>
      </c>
      <c r="B259">
        <v>2103</v>
      </c>
      <c r="C259">
        <v>2103</v>
      </c>
      <c r="D259" t="s">
        <v>21</v>
      </c>
      <c r="E259" t="s">
        <v>42</v>
      </c>
      <c r="F259" t="s">
        <v>251</v>
      </c>
      <c r="G259" t="s">
        <v>407</v>
      </c>
      <c r="H259">
        <v>15</v>
      </c>
      <c r="I259" t="s">
        <v>424</v>
      </c>
      <c r="J259" t="s">
        <v>440</v>
      </c>
      <c r="K259" t="s">
        <v>460</v>
      </c>
      <c r="L259" t="s">
        <v>748</v>
      </c>
      <c r="M259">
        <v>2049</v>
      </c>
      <c r="N259" t="s">
        <v>1203</v>
      </c>
      <c r="O259" t="s">
        <v>21</v>
      </c>
      <c r="P259" t="s">
        <v>21</v>
      </c>
      <c r="Q259" t="s">
        <v>21</v>
      </c>
      <c r="R259" t="s">
        <v>1267</v>
      </c>
      <c r="S259" t="s">
        <v>1267</v>
      </c>
      <c r="T259" t="s">
        <v>1295</v>
      </c>
      <c r="U259" t="s">
        <v>1348</v>
      </c>
      <c r="V259" t="s">
        <v>1620</v>
      </c>
      <c r="W259" t="s">
        <v>1453</v>
      </c>
    </row>
    <row r="260" spans="1:23" x14ac:dyDescent="0.35">
      <c r="A260">
        <v>20</v>
      </c>
      <c r="B260">
        <v>2103</v>
      </c>
      <c r="C260">
        <v>2103</v>
      </c>
      <c r="D260" t="s">
        <v>21</v>
      </c>
      <c r="E260" t="s">
        <v>43</v>
      </c>
      <c r="F260" t="s">
        <v>251</v>
      </c>
      <c r="G260" t="s">
        <v>407</v>
      </c>
      <c r="H260">
        <v>2</v>
      </c>
      <c r="I260" t="s">
        <v>420</v>
      </c>
      <c r="J260" t="s">
        <v>444</v>
      </c>
      <c r="K260" t="s">
        <v>464</v>
      </c>
      <c r="L260" t="s">
        <v>749</v>
      </c>
      <c r="M260">
        <v>2047</v>
      </c>
      <c r="N260" t="s">
        <v>1202</v>
      </c>
      <c r="O260" t="s">
        <v>21</v>
      </c>
      <c r="P260" t="s">
        <v>21</v>
      </c>
      <c r="Q260" t="s">
        <v>21</v>
      </c>
      <c r="R260" t="s">
        <v>1267</v>
      </c>
      <c r="S260" t="s">
        <v>1267</v>
      </c>
      <c r="T260" t="s">
        <v>1295</v>
      </c>
      <c r="U260" t="s">
        <v>1348</v>
      </c>
      <c r="V260" t="s">
        <v>1620</v>
      </c>
      <c r="W260" t="s">
        <v>1453</v>
      </c>
    </row>
    <row r="261" spans="1:23" x14ac:dyDescent="0.35">
      <c r="A261">
        <v>21</v>
      </c>
      <c r="B261">
        <v>2103</v>
      </c>
      <c r="C261">
        <v>2103</v>
      </c>
      <c r="D261" t="s">
        <v>21</v>
      </c>
      <c r="E261" t="s">
        <v>44</v>
      </c>
      <c r="F261" t="s">
        <v>251</v>
      </c>
      <c r="G261" t="s">
        <v>407</v>
      </c>
      <c r="H261">
        <v>2</v>
      </c>
      <c r="I261" t="s">
        <v>425</v>
      </c>
      <c r="J261" t="s">
        <v>444</v>
      </c>
      <c r="K261" t="s">
        <v>464</v>
      </c>
      <c r="L261" t="s">
        <v>750</v>
      </c>
      <c r="M261">
        <v>2047</v>
      </c>
      <c r="N261" t="s">
        <v>1202</v>
      </c>
      <c r="O261" t="s">
        <v>21</v>
      </c>
      <c r="P261" t="s">
        <v>21</v>
      </c>
      <c r="Q261" t="s">
        <v>21</v>
      </c>
      <c r="R261" t="s">
        <v>1270</v>
      </c>
      <c r="S261" t="s">
        <v>1270</v>
      </c>
      <c r="T261" t="s">
        <v>1295</v>
      </c>
      <c r="U261" t="s">
        <v>1348</v>
      </c>
      <c r="V261" t="s">
        <v>1620</v>
      </c>
      <c r="W261" t="s">
        <v>1453</v>
      </c>
    </row>
    <row r="262" spans="1:23" x14ac:dyDescent="0.35">
      <c r="A262">
        <v>22</v>
      </c>
      <c r="B262">
        <v>2104</v>
      </c>
      <c r="C262">
        <v>2104</v>
      </c>
      <c r="D262" t="s">
        <v>21</v>
      </c>
      <c r="E262" t="s">
        <v>45</v>
      </c>
      <c r="F262" t="s">
        <v>251</v>
      </c>
      <c r="G262" t="s">
        <v>407</v>
      </c>
      <c r="H262">
        <v>3</v>
      </c>
      <c r="I262" t="s">
        <v>420</v>
      </c>
      <c r="J262" t="s">
        <v>1411</v>
      </c>
      <c r="K262" t="s">
        <v>465</v>
      </c>
      <c r="L262" t="s">
        <v>751</v>
      </c>
      <c r="M262">
        <v>2049</v>
      </c>
      <c r="N262" t="s">
        <v>1204</v>
      </c>
      <c r="O262" t="s">
        <v>21</v>
      </c>
      <c r="P262" t="s">
        <v>21</v>
      </c>
      <c r="Q262" t="s">
        <v>21</v>
      </c>
      <c r="R262" t="s">
        <v>1270</v>
      </c>
      <c r="S262" t="s">
        <v>1270</v>
      </c>
      <c r="T262" t="s">
        <v>1295</v>
      </c>
      <c r="U262" t="s">
        <v>1349</v>
      </c>
      <c r="V262" t="s">
        <v>1623</v>
      </c>
      <c r="W262" t="s">
        <v>1455</v>
      </c>
    </row>
    <row r="263" spans="1:23" x14ac:dyDescent="0.35">
      <c r="A263">
        <v>23</v>
      </c>
      <c r="B263">
        <v>2104</v>
      </c>
      <c r="C263">
        <v>2104</v>
      </c>
      <c r="D263" t="s">
        <v>21</v>
      </c>
      <c r="E263" t="s">
        <v>46</v>
      </c>
      <c r="F263" t="s">
        <v>251</v>
      </c>
      <c r="G263" t="s">
        <v>407</v>
      </c>
      <c r="H263">
        <v>16</v>
      </c>
      <c r="I263" t="s">
        <v>424</v>
      </c>
      <c r="J263" t="s">
        <v>440</v>
      </c>
      <c r="K263" t="s">
        <v>460</v>
      </c>
      <c r="L263" t="s">
        <v>752</v>
      </c>
      <c r="M263">
        <v>2049</v>
      </c>
      <c r="N263" t="s">
        <v>1203</v>
      </c>
      <c r="O263" t="s">
        <v>21</v>
      </c>
      <c r="P263" t="s">
        <v>21</v>
      </c>
      <c r="Q263" t="s">
        <v>21</v>
      </c>
      <c r="R263" t="s">
        <v>1271</v>
      </c>
      <c r="S263" t="s">
        <v>1271</v>
      </c>
      <c r="T263" t="s">
        <v>1341</v>
      </c>
      <c r="U263" t="s">
        <v>1348</v>
      </c>
      <c r="V263" t="s">
        <v>1624</v>
      </c>
      <c r="W263" t="s">
        <v>1456</v>
      </c>
    </row>
    <row r="264" spans="1:23" x14ac:dyDescent="0.35">
      <c r="A264">
        <v>24</v>
      </c>
      <c r="B264">
        <v>2104</v>
      </c>
      <c r="C264">
        <v>2104</v>
      </c>
      <c r="D264" t="s">
        <v>21</v>
      </c>
      <c r="E264" t="s">
        <v>46</v>
      </c>
      <c r="F264" t="s">
        <v>251</v>
      </c>
      <c r="G264" t="s">
        <v>407</v>
      </c>
      <c r="H264">
        <v>16</v>
      </c>
      <c r="I264" t="s">
        <v>424</v>
      </c>
      <c r="J264" t="s">
        <v>440</v>
      </c>
      <c r="K264" t="s">
        <v>460</v>
      </c>
      <c r="L264" t="s">
        <v>753</v>
      </c>
      <c r="M264">
        <v>2049</v>
      </c>
      <c r="N264" t="s">
        <v>1203</v>
      </c>
      <c r="O264" t="s">
        <v>21</v>
      </c>
      <c r="P264" t="s">
        <v>21</v>
      </c>
      <c r="Q264" t="s">
        <v>21</v>
      </c>
      <c r="R264" t="s">
        <v>1271</v>
      </c>
      <c r="S264" t="s">
        <v>1271</v>
      </c>
      <c r="T264" t="s">
        <v>1341</v>
      </c>
      <c r="U264" t="s">
        <v>1348</v>
      </c>
      <c r="V264" t="s">
        <v>1624</v>
      </c>
      <c r="W264" t="s">
        <v>1456</v>
      </c>
    </row>
    <row r="265" spans="1:23" x14ac:dyDescent="0.35">
      <c r="A265">
        <v>25</v>
      </c>
      <c r="B265">
        <v>2104</v>
      </c>
      <c r="C265">
        <v>2104</v>
      </c>
      <c r="D265" t="s">
        <v>21</v>
      </c>
      <c r="E265" t="s">
        <v>46</v>
      </c>
      <c r="F265" t="s">
        <v>251</v>
      </c>
      <c r="G265" t="s">
        <v>407</v>
      </c>
      <c r="H265">
        <v>6</v>
      </c>
      <c r="I265" t="s">
        <v>426</v>
      </c>
      <c r="J265" t="s">
        <v>440</v>
      </c>
      <c r="K265" t="s">
        <v>460</v>
      </c>
      <c r="L265" t="s">
        <v>754</v>
      </c>
      <c r="M265">
        <v>2050</v>
      </c>
      <c r="N265" t="s">
        <v>1203</v>
      </c>
      <c r="O265" t="s">
        <v>21</v>
      </c>
      <c r="P265" t="s">
        <v>21</v>
      </c>
      <c r="Q265" t="s">
        <v>21</v>
      </c>
      <c r="R265" t="s">
        <v>1271</v>
      </c>
      <c r="S265" t="s">
        <v>1271</v>
      </c>
      <c r="T265" t="s">
        <v>1341</v>
      </c>
      <c r="U265" t="s">
        <v>1348</v>
      </c>
      <c r="V265" t="s">
        <v>1624</v>
      </c>
      <c r="W265" t="s">
        <v>1456</v>
      </c>
    </row>
    <row r="266" spans="1:23" x14ac:dyDescent="0.35">
      <c r="A266">
        <v>26</v>
      </c>
      <c r="B266">
        <v>2104</v>
      </c>
      <c r="C266">
        <v>2104</v>
      </c>
      <c r="D266" t="s">
        <v>21</v>
      </c>
      <c r="E266" t="s">
        <v>47</v>
      </c>
      <c r="F266" t="s">
        <v>251</v>
      </c>
      <c r="G266" t="s">
        <v>407</v>
      </c>
      <c r="H266">
        <v>15</v>
      </c>
      <c r="I266" t="s">
        <v>421</v>
      </c>
      <c r="J266" t="s">
        <v>443</v>
      </c>
      <c r="K266" t="s">
        <v>463</v>
      </c>
      <c r="L266" t="s">
        <v>755</v>
      </c>
      <c r="M266">
        <v>2048</v>
      </c>
      <c r="N266" t="s">
        <v>1201</v>
      </c>
      <c r="O266" t="s">
        <v>21</v>
      </c>
      <c r="P266" t="s">
        <v>21</v>
      </c>
      <c r="Q266" t="s">
        <v>21</v>
      </c>
      <c r="R266" t="s">
        <v>1265</v>
      </c>
      <c r="S266" t="s">
        <v>1265</v>
      </c>
      <c r="T266" t="s">
        <v>1339</v>
      </c>
      <c r="U266" t="s">
        <v>1348</v>
      </c>
      <c r="V266" t="s">
        <v>1625</v>
      </c>
      <c r="W266" t="s">
        <v>1451</v>
      </c>
    </row>
    <row r="267" spans="1:23" x14ac:dyDescent="0.35">
      <c r="A267">
        <v>27</v>
      </c>
      <c r="B267">
        <v>2104</v>
      </c>
      <c r="C267">
        <v>2104</v>
      </c>
      <c r="D267" t="s">
        <v>21</v>
      </c>
      <c r="E267" t="s">
        <v>47</v>
      </c>
      <c r="F267" t="s">
        <v>251</v>
      </c>
      <c r="G267" t="s">
        <v>407</v>
      </c>
      <c r="H267">
        <v>11</v>
      </c>
      <c r="I267" t="s">
        <v>419</v>
      </c>
      <c r="J267" t="s">
        <v>1410</v>
      </c>
      <c r="K267" t="s">
        <v>459</v>
      </c>
      <c r="L267" t="s">
        <v>756</v>
      </c>
      <c r="M267">
        <v>2053</v>
      </c>
      <c r="N267" t="s">
        <v>1197</v>
      </c>
      <c r="O267" t="s">
        <v>21</v>
      </c>
      <c r="P267" t="s">
        <v>21</v>
      </c>
      <c r="Q267" t="s">
        <v>21</v>
      </c>
      <c r="R267" t="s">
        <v>1261</v>
      </c>
      <c r="S267" t="s">
        <v>1261</v>
      </c>
      <c r="T267" t="s">
        <v>410</v>
      </c>
      <c r="U267" t="s">
        <v>1349</v>
      </c>
      <c r="V267" t="s">
        <v>1626</v>
      </c>
      <c r="W267" t="s">
        <v>1457</v>
      </c>
    </row>
    <row r="268" spans="1:23" x14ac:dyDescent="0.35">
      <c r="A268">
        <v>28</v>
      </c>
      <c r="B268">
        <v>2104</v>
      </c>
      <c r="C268">
        <v>2104</v>
      </c>
      <c r="D268" t="s">
        <v>21</v>
      </c>
      <c r="E268" t="s">
        <v>47</v>
      </c>
      <c r="F268" t="s">
        <v>251</v>
      </c>
      <c r="G268" t="s">
        <v>407</v>
      </c>
      <c r="H268">
        <v>16</v>
      </c>
      <c r="I268" t="s">
        <v>424</v>
      </c>
      <c r="J268" t="s">
        <v>440</v>
      </c>
      <c r="K268" t="s">
        <v>460</v>
      </c>
      <c r="L268" t="s">
        <v>757</v>
      </c>
      <c r="M268">
        <v>2049</v>
      </c>
      <c r="N268" t="s">
        <v>1203</v>
      </c>
      <c r="O268" t="s">
        <v>21</v>
      </c>
      <c r="P268" t="s">
        <v>21</v>
      </c>
      <c r="Q268" t="s">
        <v>21</v>
      </c>
      <c r="R268" t="s">
        <v>1271</v>
      </c>
      <c r="S268" t="s">
        <v>1271</v>
      </c>
      <c r="T268" t="s">
        <v>1341</v>
      </c>
      <c r="U268" t="s">
        <v>1348</v>
      </c>
      <c r="V268" t="s">
        <v>1624</v>
      </c>
      <c r="W268" t="s">
        <v>1456</v>
      </c>
    </row>
    <row r="269" spans="1:23" x14ac:dyDescent="0.35">
      <c r="A269">
        <v>29</v>
      </c>
      <c r="B269">
        <v>2104</v>
      </c>
      <c r="C269">
        <v>2104</v>
      </c>
      <c r="D269" t="s">
        <v>21</v>
      </c>
      <c r="E269" t="s">
        <v>47</v>
      </c>
      <c r="F269" t="s">
        <v>251</v>
      </c>
      <c r="G269" t="s">
        <v>407</v>
      </c>
      <c r="H269">
        <v>16</v>
      </c>
      <c r="I269" t="s">
        <v>424</v>
      </c>
      <c r="J269" t="s">
        <v>440</v>
      </c>
      <c r="K269" t="s">
        <v>460</v>
      </c>
      <c r="L269" t="s">
        <v>758</v>
      </c>
      <c r="M269">
        <v>2049</v>
      </c>
      <c r="N269" t="s">
        <v>1203</v>
      </c>
      <c r="O269" t="s">
        <v>21</v>
      </c>
      <c r="P269" t="s">
        <v>21</v>
      </c>
      <c r="Q269" t="s">
        <v>21</v>
      </c>
      <c r="R269" t="s">
        <v>1271</v>
      </c>
      <c r="S269" t="s">
        <v>1271</v>
      </c>
      <c r="T269" t="s">
        <v>1341</v>
      </c>
      <c r="U269" t="s">
        <v>1348</v>
      </c>
      <c r="V269" t="s">
        <v>1624</v>
      </c>
      <c r="W269" t="s">
        <v>1456</v>
      </c>
    </row>
    <row r="270" spans="1:23" x14ac:dyDescent="0.35">
      <c r="A270">
        <v>30</v>
      </c>
      <c r="B270">
        <v>2104</v>
      </c>
      <c r="C270">
        <v>2104</v>
      </c>
      <c r="D270" t="s">
        <v>21</v>
      </c>
      <c r="E270" t="s">
        <v>47</v>
      </c>
      <c r="F270" t="s">
        <v>251</v>
      </c>
      <c r="G270" t="s">
        <v>407</v>
      </c>
      <c r="H270">
        <v>16</v>
      </c>
      <c r="I270" t="s">
        <v>424</v>
      </c>
      <c r="J270" t="s">
        <v>440</v>
      </c>
      <c r="K270" t="s">
        <v>460</v>
      </c>
      <c r="L270" t="s">
        <v>759</v>
      </c>
      <c r="M270">
        <v>2049</v>
      </c>
      <c r="N270" t="s">
        <v>1203</v>
      </c>
      <c r="O270" t="s">
        <v>21</v>
      </c>
      <c r="P270" t="s">
        <v>21</v>
      </c>
      <c r="Q270" t="s">
        <v>21</v>
      </c>
      <c r="R270" t="s">
        <v>1271</v>
      </c>
      <c r="S270" t="s">
        <v>1271</v>
      </c>
      <c r="T270" t="s">
        <v>1341</v>
      </c>
      <c r="U270" t="s">
        <v>1348</v>
      </c>
      <c r="V270" t="s">
        <v>1624</v>
      </c>
      <c r="W270" t="s">
        <v>1456</v>
      </c>
    </row>
    <row r="271" spans="1:23" x14ac:dyDescent="0.35">
      <c r="A271">
        <v>31</v>
      </c>
      <c r="B271">
        <v>2104</v>
      </c>
      <c r="C271">
        <v>2104</v>
      </c>
      <c r="D271" t="s">
        <v>21</v>
      </c>
      <c r="E271" t="s">
        <v>47</v>
      </c>
      <c r="F271" t="s">
        <v>251</v>
      </c>
      <c r="G271" t="s">
        <v>407</v>
      </c>
      <c r="H271">
        <v>16</v>
      </c>
      <c r="I271" t="s">
        <v>424</v>
      </c>
      <c r="J271" t="s">
        <v>440</v>
      </c>
      <c r="K271" t="s">
        <v>460</v>
      </c>
      <c r="L271" t="s">
        <v>760</v>
      </c>
      <c r="M271">
        <v>2049</v>
      </c>
      <c r="N271" t="s">
        <v>1203</v>
      </c>
      <c r="O271" t="s">
        <v>21</v>
      </c>
      <c r="P271" t="s">
        <v>21</v>
      </c>
      <c r="Q271" t="s">
        <v>21</v>
      </c>
      <c r="R271" t="s">
        <v>1271</v>
      </c>
      <c r="S271" t="s">
        <v>1271</v>
      </c>
      <c r="T271" t="s">
        <v>1341</v>
      </c>
      <c r="U271" t="s">
        <v>1348</v>
      </c>
      <c r="V271" t="s">
        <v>1624</v>
      </c>
      <c r="W271" t="s">
        <v>1456</v>
      </c>
    </row>
    <row r="272" spans="1:23" x14ac:dyDescent="0.35">
      <c r="A272">
        <v>32</v>
      </c>
      <c r="B272">
        <v>2104</v>
      </c>
      <c r="C272">
        <v>2104</v>
      </c>
      <c r="D272" t="s">
        <v>21</v>
      </c>
      <c r="E272" t="s">
        <v>47</v>
      </c>
      <c r="F272" t="s">
        <v>251</v>
      </c>
      <c r="G272" t="s">
        <v>407</v>
      </c>
      <c r="H272">
        <v>2</v>
      </c>
      <c r="I272" t="s">
        <v>420</v>
      </c>
      <c r="J272" t="s">
        <v>444</v>
      </c>
      <c r="K272" t="s">
        <v>464</v>
      </c>
      <c r="L272" t="s">
        <v>761</v>
      </c>
      <c r="M272">
        <v>2047</v>
      </c>
      <c r="N272" t="s">
        <v>1202</v>
      </c>
      <c r="O272" t="s">
        <v>21</v>
      </c>
      <c r="P272" t="s">
        <v>21</v>
      </c>
      <c r="Q272" t="s">
        <v>21</v>
      </c>
      <c r="R272" t="s">
        <v>1267</v>
      </c>
      <c r="S272" t="s">
        <v>1267</v>
      </c>
      <c r="T272" t="s">
        <v>1295</v>
      </c>
      <c r="U272" t="s">
        <v>1348</v>
      </c>
      <c r="V272" t="s">
        <v>1627</v>
      </c>
      <c r="W272" t="s">
        <v>1453</v>
      </c>
    </row>
    <row r="273" spans="1:23" x14ac:dyDescent="0.35">
      <c r="A273">
        <v>33</v>
      </c>
      <c r="B273">
        <v>2104</v>
      </c>
      <c r="C273">
        <v>2104</v>
      </c>
      <c r="D273" t="s">
        <v>21</v>
      </c>
      <c r="E273" t="s">
        <v>47</v>
      </c>
      <c r="F273" t="s">
        <v>251</v>
      </c>
      <c r="G273" t="s">
        <v>407</v>
      </c>
      <c r="H273">
        <v>16</v>
      </c>
      <c r="I273" t="s">
        <v>424</v>
      </c>
      <c r="J273" t="s">
        <v>440</v>
      </c>
      <c r="K273" t="s">
        <v>460</v>
      </c>
      <c r="L273" t="s">
        <v>762</v>
      </c>
      <c r="M273">
        <v>2049</v>
      </c>
      <c r="N273" t="s">
        <v>1203</v>
      </c>
      <c r="O273" t="s">
        <v>21</v>
      </c>
      <c r="P273" t="s">
        <v>21</v>
      </c>
      <c r="Q273" t="s">
        <v>21</v>
      </c>
      <c r="R273" t="s">
        <v>1271</v>
      </c>
      <c r="S273" t="s">
        <v>1271</v>
      </c>
      <c r="T273" t="s">
        <v>1341</v>
      </c>
      <c r="U273" t="s">
        <v>1348</v>
      </c>
      <c r="V273" t="s">
        <v>1624</v>
      </c>
      <c r="W273" t="s">
        <v>1456</v>
      </c>
    </row>
    <row r="274" spans="1:23" x14ac:dyDescent="0.35">
      <c r="A274">
        <v>34</v>
      </c>
      <c r="B274">
        <v>2104</v>
      </c>
      <c r="C274">
        <v>2104</v>
      </c>
      <c r="D274" t="s">
        <v>21</v>
      </c>
      <c r="E274" t="s">
        <v>47</v>
      </c>
      <c r="F274" t="s">
        <v>251</v>
      </c>
      <c r="G274" t="s">
        <v>407</v>
      </c>
      <c r="H274">
        <v>15</v>
      </c>
      <c r="I274" t="s">
        <v>420</v>
      </c>
      <c r="J274" t="s">
        <v>443</v>
      </c>
      <c r="K274" t="s">
        <v>463</v>
      </c>
      <c r="L274" t="s">
        <v>763</v>
      </c>
      <c r="M274">
        <v>2050</v>
      </c>
      <c r="N274" t="s">
        <v>1201</v>
      </c>
      <c r="O274" t="s">
        <v>21</v>
      </c>
      <c r="P274" t="s">
        <v>21</v>
      </c>
      <c r="Q274" t="s">
        <v>21</v>
      </c>
      <c r="R274" t="s">
        <v>1272</v>
      </c>
      <c r="S274" t="s">
        <v>1272</v>
      </c>
      <c r="T274" t="s">
        <v>410</v>
      </c>
      <c r="U274" t="s">
        <v>1348</v>
      </c>
      <c r="V274" t="s">
        <v>1628</v>
      </c>
      <c r="W274" t="s">
        <v>1447</v>
      </c>
    </row>
    <row r="275" spans="1:23" x14ac:dyDescent="0.35">
      <c r="A275">
        <v>35</v>
      </c>
      <c r="B275">
        <v>2105</v>
      </c>
      <c r="C275">
        <v>2105</v>
      </c>
      <c r="D275" t="s">
        <v>21</v>
      </c>
      <c r="E275" t="s">
        <v>48</v>
      </c>
      <c r="F275" t="s">
        <v>251</v>
      </c>
      <c r="G275" t="s">
        <v>407</v>
      </c>
      <c r="H275">
        <v>6</v>
      </c>
      <c r="I275" t="s">
        <v>423</v>
      </c>
      <c r="J275" t="s">
        <v>440</v>
      </c>
      <c r="K275" t="s">
        <v>460</v>
      </c>
      <c r="L275" t="s">
        <v>764</v>
      </c>
      <c r="M275">
        <v>2050</v>
      </c>
      <c r="N275" t="s">
        <v>1203</v>
      </c>
      <c r="O275" t="s">
        <v>21</v>
      </c>
      <c r="P275" t="s">
        <v>21</v>
      </c>
      <c r="Q275" t="s">
        <v>21</v>
      </c>
      <c r="R275" t="s">
        <v>1268</v>
      </c>
      <c r="S275" t="s">
        <v>1268</v>
      </c>
      <c r="T275" t="s">
        <v>1336</v>
      </c>
      <c r="U275" t="s">
        <v>1348</v>
      </c>
      <c r="V275" t="s">
        <v>1629</v>
      </c>
      <c r="W275" t="s">
        <v>1454</v>
      </c>
    </row>
    <row r="276" spans="1:23" x14ac:dyDescent="0.35">
      <c r="A276">
        <v>36</v>
      </c>
      <c r="B276">
        <v>2105</v>
      </c>
      <c r="C276">
        <v>2105</v>
      </c>
      <c r="D276" t="s">
        <v>21</v>
      </c>
      <c r="E276" t="s">
        <v>48</v>
      </c>
      <c r="F276" t="s">
        <v>251</v>
      </c>
      <c r="G276" t="s">
        <v>407</v>
      </c>
      <c r="H276">
        <v>6</v>
      </c>
      <c r="I276" t="s">
        <v>419</v>
      </c>
      <c r="J276" t="s">
        <v>440</v>
      </c>
      <c r="K276" t="s">
        <v>460</v>
      </c>
      <c r="L276" t="s">
        <v>765</v>
      </c>
      <c r="M276">
        <v>2050</v>
      </c>
      <c r="N276" t="s">
        <v>1203</v>
      </c>
      <c r="O276" t="s">
        <v>21</v>
      </c>
      <c r="P276" t="s">
        <v>21</v>
      </c>
      <c r="Q276" t="s">
        <v>21</v>
      </c>
      <c r="R276" t="s">
        <v>1259</v>
      </c>
      <c r="S276" t="s">
        <v>1259</v>
      </c>
      <c r="T276" t="s">
        <v>1337</v>
      </c>
      <c r="U276" t="s">
        <v>1348</v>
      </c>
      <c r="V276" t="s">
        <v>1630</v>
      </c>
      <c r="W276" t="s">
        <v>1450</v>
      </c>
    </row>
    <row r="277" spans="1:23" x14ac:dyDescent="0.35">
      <c r="A277">
        <v>37</v>
      </c>
      <c r="B277">
        <v>2105</v>
      </c>
      <c r="C277">
        <v>2105</v>
      </c>
      <c r="D277" t="s">
        <v>21</v>
      </c>
      <c r="E277" t="s">
        <v>49</v>
      </c>
      <c r="F277" t="s">
        <v>251</v>
      </c>
      <c r="G277" t="s">
        <v>407</v>
      </c>
      <c r="H277">
        <v>10</v>
      </c>
      <c r="I277" t="s">
        <v>427</v>
      </c>
      <c r="J277" t="s">
        <v>1410</v>
      </c>
      <c r="K277" t="s">
        <v>459</v>
      </c>
      <c r="L277" t="s">
        <v>766</v>
      </c>
      <c r="M277">
        <v>2050</v>
      </c>
      <c r="N277" t="s">
        <v>1197</v>
      </c>
      <c r="O277" t="s">
        <v>21</v>
      </c>
      <c r="P277" t="s">
        <v>21</v>
      </c>
      <c r="Q277" t="s">
        <v>21</v>
      </c>
      <c r="R277" t="s">
        <v>1273</v>
      </c>
      <c r="S277" t="s">
        <v>1273</v>
      </c>
      <c r="T277" t="s">
        <v>1342</v>
      </c>
      <c r="U277" t="s">
        <v>1349</v>
      </c>
      <c r="V277" t="s">
        <v>1631</v>
      </c>
      <c r="W277" t="s">
        <v>1458</v>
      </c>
    </row>
    <row r="278" spans="1:23" x14ac:dyDescent="0.35">
      <c r="A278">
        <v>38</v>
      </c>
      <c r="B278">
        <v>2105</v>
      </c>
      <c r="C278">
        <v>2105</v>
      </c>
      <c r="D278" t="s">
        <v>21</v>
      </c>
      <c r="E278" t="s">
        <v>49</v>
      </c>
      <c r="F278" t="s">
        <v>251</v>
      </c>
      <c r="G278" t="s">
        <v>407</v>
      </c>
      <c r="H278">
        <v>6</v>
      </c>
      <c r="I278" t="s">
        <v>423</v>
      </c>
      <c r="J278" t="s">
        <v>440</v>
      </c>
      <c r="K278" t="s">
        <v>460</v>
      </c>
      <c r="L278" t="s">
        <v>767</v>
      </c>
      <c r="M278">
        <v>2050</v>
      </c>
      <c r="N278" t="s">
        <v>1203</v>
      </c>
      <c r="O278" t="s">
        <v>21</v>
      </c>
      <c r="P278" t="s">
        <v>21</v>
      </c>
      <c r="Q278" t="s">
        <v>21</v>
      </c>
      <c r="R278" t="s">
        <v>1268</v>
      </c>
      <c r="S278" t="s">
        <v>1268</v>
      </c>
      <c r="T278" t="s">
        <v>1336</v>
      </c>
      <c r="U278" t="s">
        <v>1348</v>
      </c>
      <c r="V278" t="s">
        <v>1629</v>
      </c>
      <c r="W278" t="s">
        <v>1454</v>
      </c>
    </row>
    <row r="279" spans="1:23" x14ac:dyDescent="0.35">
      <c r="A279">
        <v>39</v>
      </c>
      <c r="B279">
        <v>2105</v>
      </c>
      <c r="C279">
        <v>2105</v>
      </c>
      <c r="D279" t="s">
        <v>21</v>
      </c>
      <c r="E279" t="s">
        <v>50</v>
      </c>
      <c r="F279" t="s">
        <v>251</v>
      </c>
      <c r="G279" t="s">
        <v>407</v>
      </c>
      <c r="H279">
        <v>3</v>
      </c>
      <c r="I279" t="s">
        <v>420</v>
      </c>
      <c r="J279" t="s">
        <v>444</v>
      </c>
      <c r="K279" t="s">
        <v>464</v>
      </c>
      <c r="L279" t="s">
        <v>768</v>
      </c>
      <c r="M279">
        <v>2051</v>
      </c>
      <c r="N279" t="s">
        <v>1202</v>
      </c>
      <c r="O279" t="s">
        <v>21</v>
      </c>
      <c r="P279" t="s">
        <v>21</v>
      </c>
      <c r="Q279" t="s">
        <v>21</v>
      </c>
      <c r="R279" t="s">
        <v>1255</v>
      </c>
      <c r="S279" t="s">
        <v>1255</v>
      </c>
      <c r="T279" t="s">
        <v>1278</v>
      </c>
      <c r="U279" t="s">
        <v>1348</v>
      </c>
      <c r="V279" t="s">
        <v>1632</v>
      </c>
      <c r="W279" t="s">
        <v>1459</v>
      </c>
    </row>
    <row r="280" spans="1:23" x14ac:dyDescent="0.35">
      <c r="A280">
        <v>40</v>
      </c>
      <c r="B280">
        <v>2105</v>
      </c>
      <c r="C280">
        <v>2105</v>
      </c>
      <c r="D280" t="s">
        <v>21</v>
      </c>
      <c r="E280" t="s">
        <v>50</v>
      </c>
      <c r="F280" t="s">
        <v>251</v>
      </c>
      <c r="G280" t="s">
        <v>407</v>
      </c>
      <c r="H280">
        <v>18</v>
      </c>
      <c r="I280" t="s">
        <v>419</v>
      </c>
      <c r="J280" t="s">
        <v>1410</v>
      </c>
      <c r="K280" t="s">
        <v>459</v>
      </c>
      <c r="L280" t="s">
        <v>769</v>
      </c>
      <c r="M280">
        <v>2101</v>
      </c>
      <c r="N280" t="s">
        <v>1205</v>
      </c>
      <c r="O280" t="s">
        <v>21</v>
      </c>
      <c r="P280" t="s">
        <v>21</v>
      </c>
      <c r="Q280" t="s">
        <v>21</v>
      </c>
      <c r="R280" t="s">
        <v>1271</v>
      </c>
      <c r="S280" t="s">
        <v>1271</v>
      </c>
      <c r="T280" t="s">
        <v>1341</v>
      </c>
      <c r="U280" t="s">
        <v>1349</v>
      </c>
      <c r="V280" t="s">
        <v>1633</v>
      </c>
      <c r="W280" t="s">
        <v>1460</v>
      </c>
    </row>
    <row r="281" spans="1:23" x14ac:dyDescent="0.35">
      <c r="A281">
        <v>41</v>
      </c>
      <c r="B281">
        <v>2105</v>
      </c>
      <c r="C281">
        <v>2105</v>
      </c>
      <c r="D281" t="s">
        <v>21</v>
      </c>
      <c r="E281" t="s">
        <v>50</v>
      </c>
      <c r="F281" t="s">
        <v>251</v>
      </c>
      <c r="G281" t="s">
        <v>407</v>
      </c>
      <c r="H281">
        <v>11</v>
      </c>
      <c r="I281" t="s">
        <v>419</v>
      </c>
      <c r="J281" t="s">
        <v>1410</v>
      </c>
      <c r="K281" t="s">
        <v>459</v>
      </c>
      <c r="L281" t="s">
        <v>770</v>
      </c>
      <c r="M281">
        <v>2053</v>
      </c>
      <c r="N281" t="s">
        <v>1205</v>
      </c>
      <c r="O281" t="s">
        <v>21</v>
      </c>
      <c r="P281" t="s">
        <v>21</v>
      </c>
      <c r="Q281" t="s">
        <v>21</v>
      </c>
      <c r="R281" t="s">
        <v>1271</v>
      </c>
      <c r="S281" t="s">
        <v>1271</v>
      </c>
      <c r="T281" t="s">
        <v>1341</v>
      </c>
      <c r="U281" t="s">
        <v>1349</v>
      </c>
      <c r="V281" t="s">
        <v>1633</v>
      </c>
      <c r="W281" t="s">
        <v>1460</v>
      </c>
    </row>
    <row r="282" spans="1:23" x14ac:dyDescent="0.35">
      <c r="A282">
        <v>42</v>
      </c>
      <c r="B282">
        <v>2105</v>
      </c>
      <c r="C282">
        <v>2105</v>
      </c>
      <c r="D282" t="s">
        <v>21</v>
      </c>
      <c r="E282" t="s">
        <v>51</v>
      </c>
      <c r="F282" t="s">
        <v>251</v>
      </c>
      <c r="G282" t="s">
        <v>407</v>
      </c>
      <c r="H282">
        <v>2</v>
      </c>
      <c r="I282" t="s">
        <v>418</v>
      </c>
      <c r="J282" t="s">
        <v>441</v>
      </c>
      <c r="K282" t="s">
        <v>461</v>
      </c>
      <c r="L282" t="s">
        <v>771</v>
      </c>
      <c r="M282">
        <v>2101</v>
      </c>
      <c r="N282" t="s">
        <v>1199</v>
      </c>
      <c r="O282" t="s">
        <v>21</v>
      </c>
      <c r="P282" t="s">
        <v>21</v>
      </c>
      <c r="Q282" t="s">
        <v>21</v>
      </c>
      <c r="R282" t="s">
        <v>1259</v>
      </c>
      <c r="S282" t="s">
        <v>1259</v>
      </c>
      <c r="T282" t="s">
        <v>1337</v>
      </c>
      <c r="U282" t="s">
        <v>1348</v>
      </c>
      <c r="V282" t="s">
        <v>1630</v>
      </c>
      <c r="W282" t="s">
        <v>1450</v>
      </c>
    </row>
    <row r="283" spans="1:23" x14ac:dyDescent="0.35">
      <c r="A283">
        <v>43</v>
      </c>
      <c r="B283">
        <v>2105</v>
      </c>
      <c r="C283">
        <v>2105</v>
      </c>
      <c r="D283" t="s">
        <v>21</v>
      </c>
      <c r="E283" t="s">
        <v>51</v>
      </c>
      <c r="F283" t="s">
        <v>251</v>
      </c>
      <c r="G283" t="s">
        <v>407</v>
      </c>
      <c r="H283">
        <v>3</v>
      </c>
      <c r="I283" t="s">
        <v>423</v>
      </c>
      <c r="J283" t="s">
        <v>444</v>
      </c>
      <c r="K283" t="s">
        <v>464</v>
      </c>
      <c r="L283" t="s">
        <v>772</v>
      </c>
      <c r="M283">
        <v>2051</v>
      </c>
      <c r="N283" t="s">
        <v>1202</v>
      </c>
      <c r="O283" t="s">
        <v>21</v>
      </c>
      <c r="P283" t="s">
        <v>21</v>
      </c>
      <c r="Q283" t="s">
        <v>21</v>
      </c>
      <c r="R283" t="s">
        <v>1268</v>
      </c>
      <c r="S283" t="s">
        <v>1268</v>
      </c>
      <c r="T283" t="s">
        <v>1336</v>
      </c>
      <c r="U283" t="s">
        <v>1348</v>
      </c>
      <c r="V283" t="s">
        <v>1629</v>
      </c>
      <c r="W283" t="s">
        <v>1454</v>
      </c>
    </row>
    <row r="284" spans="1:23" x14ac:dyDescent="0.35">
      <c r="A284">
        <v>44</v>
      </c>
      <c r="B284">
        <v>2105</v>
      </c>
      <c r="C284">
        <v>2105</v>
      </c>
      <c r="D284" t="s">
        <v>21</v>
      </c>
      <c r="E284" t="s">
        <v>52</v>
      </c>
      <c r="F284" t="s">
        <v>251</v>
      </c>
      <c r="G284" t="s">
        <v>407</v>
      </c>
      <c r="H284">
        <v>3</v>
      </c>
      <c r="I284" t="s">
        <v>418</v>
      </c>
      <c r="J284" t="s">
        <v>444</v>
      </c>
      <c r="K284" t="s">
        <v>466</v>
      </c>
      <c r="L284" t="s">
        <v>773</v>
      </c>
      <c r="M284">
        <v>2051</v>
      </c>
      <c r="N284" t="s">
        <v>1206</v>
      </c>
      <c r="O284" t="s">
        <v>21</v>
      </c>
      <c r="P284" t="s">
        <v>21</v>
      </c>
      <c r="Q284" t="s">
        <v>21</v>
      </c>
      <c r="R284" t="s">
        <v>1261</v>
      </c>
      <c r="S284" t="s">
        <v>1261</v>
      </c>
      <c r="T284" t="s">
        <v>410</v>
      </c>
      <c r="U284" t="s">
        <v>1348</v>
      </c>
      <c r="V284" t="s">
        <v>1634</v>
      </c>
      <c r="W284" t="s">
        <v>1447</v>
      </c>
    </row>
    <row r="285" spans="1:23" x14ac:dyDescent="0.35">
      <c r="A285">
        <v>45</v>
      </c>
      <c r="B285">
        <v>2105</v>
      </c>
      <c r="C285">
        <v>2105</v>
      </c>
      <c r="D285" t="s">
        <v>21</v>
      </c>
      <c r="E285" t="s">
        <v>52</v>
      </c>
      <c r="F285" t="s">
        <v>251</v>
      </c>
      <c r="G285" t="s">
        <v>407</v>
      </c>
      <c r="H285">
        <v>1</v>
      </c>
      <c r="I285" t="s">
        <v>418</v>
      </c>
      <c r="J285" t="s">
        <v>1411</v>
      </c>
      <c r="K285" t="s">
        <v>465</v>
      </c>
      <c r="L285" t="s">
        <v>774</v>
      </c>
      <c r="M285">
        <v>2102</v>
      </c>
      <c r="N285" t="s">
        <v>1204</v>
      </c>
      <c r="O285" t="s">
        <v>21</v>
      </c>
      <c r="P285" t="s">
        <v>21</v>
      </c>
      <c r="Q285" t="s">
        <v>21</v>
      </c>
      <c r="R285" t="s">
        <v>1259</v>
      </c>
      <c r="S285" t="s">
        <v>1259</v>
      </c>
      <c r="T285" t="s">
        <v>1337</v>
      </c>
      <c r="U285" t="s">
        <v>1349</v>
      </c>
      <c r="V285" t="s">
        <v>1635</v>
      </c>
      <c r="W285" t="s">
        <v>1461</v>
      </c>
    </row>
    <row r="286" spans="1:23" x14ac:dyDescent="0.35">
      <c r="A286">
        <v>46</v>
      </c>
      <c r="B286">
        <v>2106</v>
      </c>
      <c r="C286">
        <v>2106</v>
      </c>
      <c r="D286" t="s">
        <v>21</v>
      </c>
      <c r="E286" t="s">
        <v>53</v>
      </c>
      <c r="F286" t="s">
        <v>251</v>
      </c>
      <c r="G286" t="s">
        <v>407</v>
      </c>
      <c r="H286">
        <v>6</v>
      </c>
      <c r="I286" t="s">
        <v>420</v>
      </c>
      <c r="J286" t="s">
        <v>440</v>
      </c>
      <c r="K286" t="s">
        <v>460</v>
      </c>
      <c r="L286" t="s">
        <v>775</v>
      </c>
      <c r="M286">
        <v>2046</v>
      </c>
      <c r="N286" t="s">
        <v>1198</v>
      </c>
      <c r="O286" t="s">
        <v>21</v>
      </c>
      <c r="P286" t="s">
        <v>21</v>
      </c>
      <c r="Q286" t="s">
        <v>21</v>
      </c>
      <c r="R286" t="s">
        <v>1270</v>
      </c>
      <c r="S286" t="s">
        <v>1270</v>
      </c>
      <c r="T286" t="s">
        <v>1295</v>
      </c>
      <c r="U286" t="s">
        <v>1348</v>
      </c>
      <c r="V286" t="s">
        <v>1636</v>
      </c>
      <c r="W286" t="s">
        <v>1462</v>
      </c>
    </row>
    <row r="287" spans="1:23" x14ac:dyDescent="0.35">
      <c r="A287">
        <v>47</v>
      </c>
      <c r="B287">
        <v>2106</v>
      </c>
      <c r="C287">
        <v>2106</v>
      </c>
      <c r="D287" t="s">
        <v>21</v>
      </c>
      <c r="E287" t="s">
        <v>53</v>
      </c>
      <c r="F287" t="s">
        <v>251</v>
      </c>
      <c r="G287" t="s">
        <v>407</v>
      </c>
      <c r="H287">
        <v>15</v>
      </c>
      <c r="I287" t="s">
        <v>424</v>
      </c>
      <c r="J287" t="s">
        <v>443</v>
      </c>
      <c r="K287" t="s">
        <v>463</v>
      </c>
      <c r="L287" t="s">
        <v>776</v>
      </c>
      <c r="M287">
        <v>2051</v>
      </c>
      <c r="N287" t="s">
        <v>1207</v>
      </c>
      <c r="O287" t="s">
        <v>21</v>
      </c>
      <c r="P287" t="s">
        <v>21</v>
      </c>
      <c r="Q287" t="s">
        <v>21</v>
      </c>
      <c r="R287" t="s">
        <v>1261</v>
      </c>
      <c r="S287" t="s">
        <v>1261</v>
      </c>
      <c r="T287" t="s">
        <v>410</v>
      </c>
      <c r="U287" t="s">
        <v>1348</v>
      </c>
      <c r="V287" t="s">
        <v>1637</v>
      </c>
      <c r="W287" t="s">
        <v>1463</v>
      </c>
    </row>
    <row r="288" spans="1:23" x14ac:dyDescent="0.35">
      <c r="A288">
        <v>48</v>
      </c>
      <c r="B288">
        <v>2106</v>
      </c>
      <c r="C288">
        <v>2106</v>
      </c>
      <c r="D288" t="s">
        <v>21</v>
      </c>
      <c r="E288" t="s">
        <v>53</v>
      </c>
      <c r="F288" t="s">
        <v>251</v>
      </c>
      <c r="G288" t="s">
        <v>407</v>
      </c>
      <c r="H288">
        <v>6</v>
      </c>
      <c r="I288" t="s">
        <v>423</v>
      </c>
      <c r="J288" t="s">
        <v>440</v>
      </c>
      <c r="K288" t="s">
        <v>460</v>
      </c>
      <c r="L288" t="s">
        <v>777</v>
      </c>
      <c r="M288">
        <v>2051</v>
      </c>
      <c r="N288" t="s">
        <v>1203</v>
      </c>
      <c r="O288" t="s">
        <v>21</v>
      </c>
      <c r="P288" t="s">
        <v>21</v>
      </c>
      <c r="Q288" t="s">
        <v>21</v>
      </c>
      <c r="R288" t="s">
        <v>1274</v>
      </c>
      <c r="S288" t="s">
        <v>1274</v>
      </c>
      <c r="T288" t="s">
        <v>1336</v>
      </c>
      <c r="U288" t="s">
        <v>1348</v>
      </c>
      <c r="V288" t="s">
        <v>1638</v>
      </c>
      <c r="W288" t="s">
        <v>1464</v>
      </c>
    </row>
    <row r="289" spans="1:23" x14ac:dyDescent="0.35">
      <c r="A289">
        <v>49</v>
      </c>
      <c r="B289">
        <v>2107</v>
      </c>
      <c r="C289">
        <v>2107</v>
      </c>
      <c r="D289" t="s">
        <v>21</v>
      </c>
      <c r="E289" t="s">
        <v>54</v>
      </c>
      <c r="F289" t="s">
        <v>251</v>
      </c>
      <c r="G289" t="s">
        <v>407</v>
      </c>
      <c r="H289">
        <v>15</v>
      </c>
      <c r="I289" t="s">
        <v>421</v>
      </c>
      <c r="J289" t="s">
        <v>443</v>
      </c>
      <c r="K289" t="s">
        <v>463</v>
      </c>
      <c r="L289" t="s">
        <v>778</v>
      </c>
      <c r="M289">
        <v>2052</v>
      </c>
      <c r="N289" t="s">
        <v>1201</v>
      </c>
      <c r="O289" t="s">
        <v>21</v>
      </c>
      <c r="P289" t="s">
        <v>21</v>
      </c>
      <c r="Q289" t="s">
        <v>21</v>
      </c>
      <c r="R289" t="s">
        <v>1275</v>
      </c>
      <c r="S289" t="s">
        <v>1275</v>
      </c>
      <c r="T289" t="s">
        <v>1339</v>
      </c>
      <c r="U289" t="s">
        <v>1348</v>
      </c>
      <c r="V289" t="s">
        <v>1639</v>
      </c>
      <c r="W289" t="s">
        <v>1465</v>
      </c>
    </row>
    <row r="290" spans="1:23" x14ac:dyDescent="0.35">
      <c r="A290">
        <v>50</v>
      </c>
      <c r="B290">
        <v>2107</v>
      </c>
      <c r="C290">
        <v>2107</v>
      </c>
      <c r="D290" t="s">
        <v>21</v>
      </c>
      <c r="E290" t="s">
        <v>54</v>
      </c>
      <c r="F290" t="s">
        <v>251</v>
      </c>
      <c r="G290" t="s">
        <v>407</v>
      </c>
      <c r="H290">
        <v>11</v>
      </c>
      <c r="I290" t="s">
        <v>425</v>
      </c>
      <c r="J290" t="s">
        <v>1410</v>
      </c>
      <c r="K290" t="s">
        <v>459</v>
      </c>
      <c r="L290" t="s">
        <v>779</v>
      </c>
      <c r="M290">
        <v>2052</v>
      </c>
      <c r="N290" t="s">
        <v>1197</v>
      </c>
      <c r="O290" t="s">
        <v>21</v>
      </c>
      <c r="P290" t="s">
        <v>21</v>
      </c>
      <c r="Q290" t="s">
        <v>21</v>
      </c>
      <c r="R290" t="s">
        <v>1267</v>
      </c>
      <c r="S290" t="s">
        <v>1267</v>
      </c>
      <c r="T290" t="s">
        <v>1295</v>
      </c>
      <c r="U290" t="s">
        <v>1349</v>
      </c>
      <c r="V290" t="s">
        <v>1640</v>
      </c>
      <c r="W290" t="s">
        <v>1466</v>
      </c>
    </row>
    <row r="291" spans="1:23" x14ac:dyDescent="0.35">
      <c r="A291">
        <v>51</v>
      </c>
      <c r="B291">
        <v>2107</v>
      </c>
      <c r="C291">
        <v>2107</v>
      </c>
      <c r="D291" t="s">
        <v>21</v>
      </c>
      <c r="E291" t="s">
        <v>55</v>
      </c>
      <c r="F291" t="s">
        <v>251</v>
      </c>
      <c r="G291" t="s">
        <v>407</v>
      </c>
      <c r="H291">
        <v>2</v>
      </c>
      <c r="I291" t="s">
        <v>420</v>
      </c>
      <c r="J291" t="s">
        <v>444</v>
      </c>
      <c r="K291" t="s">
        <v>464</v>
      </c>
      <c r="L291" t="s">
        <v>780</v>
      </c>
      <c r="M291">
        <v>2052</v>
      </c>
      <c r="N291" t="s">
        <v>1202</v>
      </c>
      <c r="O291" t="s">
        <v>21</v>
      </c>
      <c r="P291" t="s">
        <v>21</v>
      </c>
      <c r="Q291" t="s">
        <v>21</v>
      </c>
      <c r="R291" t="s">
        <v>1270</v>
      </c>
      <c r="S291" t="s">
        <v>1270</v>
      </c>
      <c r="T291" t="s">
        <v>1295</v>
      </c>
      <c r="U291" t="s">
        <v>1348</v>
      </c>
      <c r="V291" t="s">
        <v>1641</v>
      </c>
      <c r="W291" t="s">
        <v>1462</v>
      </c>
    </row>
    <row r="292" spans="1:23" x14ac:dyDescent="0.35">
      <c r="A292">
        <v>52</v>
      </c>
      <c r="B292">
        <v>2107</v>
      </c>
      <c r="C292">
        <v>2107</v>
      </c>
      <c r="D292" t="s">
        <v>21</v>
      </c>
      <c r="E292" t="s">
        <v>55</v>
      </c>
      <c r="F292" t="s">
        <v>251</v>
      </c>
      <c r="G292" t="s">
        <v>407</v>
      </c>
      <c r="H292">
        <v>2</v>
      </c>
      <c r="I292" t="s">
        <v>422</v>
      </c>
      <c r="J292" t="s">
        <v>444</v>
      </c>
      <c r="K292" t="s">
        <v>464</v>
      </c>
      <c r="L292" t="s">
        <v>781</v>
      </c>
      <c r="M292">
        <v>2052</v>
      </c>
      <c r="N292" t="s">
        <v>1202</v>
      </c>
      <c r="O292" t="s">
        <v>21</v>
      </c>
      <c r="P292" t="s">
        <v>21</v>
      </c>
      <c r="Q292" t="s">
        <v>21</v>
      </c>
      <c r="R292" t="s">
        <v>1272</v>
      </c>
      <c r="S292" t="s">
        <v>1272</v>
      </c>
      <c r="T292" t="s">
        <v>410</v>
      </c>
      <c r="U292" t="s">
        <v>1348</v>
      </c>
      <c r="V292" t="s">
        <v>1642</v>
      </c>
      <c r="W292" t="s">
        <v>1463</v>
      </c>
    </row>
    <row r="293" spans="1:23" x14ac:dyDescent="0.35">
      <c r="A293">
        <v>53</v>
      </c>
      <c r="B293">
        <v>2107</v>
      </c>
      <c r="C293">
        <v>2107</v>
      </c>
      <c r="D293" t="s">
        <v>21</v>
      </c>
      <c r="E293" t="s">
        <v>55</v>
      </c>
      <c r="F293" t="s">
        <v>251</v>
      </c>
      <c r="G293" t="s">
        <v>407</v>
      </c>
      <c r="H293">
        <v>15</v>
      </c>
      <c r="I293" t="s">
        <v>423</v>
      </c>
      <c r="J293" t="s">
        <v>443</v>
      </c>
      <c r="K293" t="s">
        <v>463</v>
      </c>
      <c r="L293" t="s">
        <v>782</v>
      </c>
      <c r="M293">
        <v>2052</v>
      </c>
      <c r="N293" t="s">
        <v>1207</v>
      </c>
      <c r="O293" t="s">
        <v>21</v>
      </c>
      <c r="P293" t="s">
        <v>21</v>
      </c>
      <c r="Q293" t="s">
        <v>21</v>
      </c>
      <c r="R293" t="s">
        <v>1267</v>
      </c>
      <c r="S293" t="s">
        <v>1267</v>
      </c>
      <c r="T293" t="s">
        <v>1295</v>
      </c>
      <c r="U293" t="s">
        <v>1348</v>
      </c>
      <c r="V293" t="s">
        <v>1641</v>
      </c>
      <c r="W293" t="s">
        <v>1462</v>
      </c>
    </row>
    <row r="294" spans="1:23" x14ac:dyDescent="0.35">
      <c r="A294">
        <v>54</v>
      </c>
      <c r="B294">
        <v>2107</v>
      </c>
      <c r="C294">
        <v>2107</v>
      </c>
      <c r="D294" t="s">
        <v>21</v>
      </c>
      <c r="E294" t="s">
        <v>55</v>
      </c>
      <c r="F294" t="s">
        <v>251</v>
      </c>
      <c r="G294" t="s">
        <v>407</v>
      </c>
      <c r="H294">
        <v>2</v>
      </c>
      <c r="I294" t="s">
        <v>418</v>
      </c>
      <c r="J294" t="s">
        <v>442</v>
      </c>
      <c r="K294" t="s">
        <v>462</v>
      </c>
      <c r="L294" t="s">
        <v>783</v>
      </c>
      <c r="M294">
        <v>2052</v>
      </c>
      <c r="N294" t="s">
        <v>1200</v>
      </c>
      <c r="O294" t="s">
        <v>21</v>
      </c>
      <c r="P294" t="s">
        <v>21</v>
      </c>
      <c r="Q294" t="s">
        <v>21</v>
      </c>
      <c r="R294" t="s">
        <v>1263</v>
      </c>
      <c r="S294" t="s">
        <v>1263</v>
      </c>
      <c r="T294" t="s">
        <v>1338</v>
      </c>
      <c r="U294" t="s">
        <v>1348</v>
      </c>
      <c r="V294" t="s">
        <v>1643</v>
      </c>
      <c r="W294" t="s">
        <v>1467</v>
      </c>
    </row>
    <row r="295" spans="1:23" x14ac:dyDescent="0.35">
      <c r="A295">
        <v>55</v>
      </c>
      <c r="B295">
        <v>2107</v>
      </c>
      <c r="C295">
        <v>2107</v>
      </c>
      <c r="D295" t="s">
        <v>21</v>
      </c>
      <c r="E295" t="s">
        <v>55</v>
      </c>
      <c r="F295" t="s">
        <v>251</v>
      </c>
      <c r="G295" t="s">
        <v>407</v>
      </c>
      <c r="H295">
        <v>6</v>
      </c>
      <c r="I295" t="s">
        <v>423</v>
      </c>
      <c r="J295" t="s">
        <v>440</v>
      </c>
      <c r="K295" t="s">
        <v>460</v>
      </c>
      <c r="L295" t="s">
        <v>784</v>
      </c>
      <c r="M295">
        <v>2052</v>
      </c>
      <c r="N295" t="s">
        <v>1203</v>
      </c>
      <c r="O295" t="s">
        <v>21</v>
      </c>
      <c r="P295" t="s">
        <v>21</v>
      </c>
      <c r="Q295" t="s">
        <v>21</v>
      </c>
      <c r="R295" t="s">
        <v>1267</v>
      </c>
      <c r="S295" t="s">
        <v>1267</v>
      </c>
      <c r="T295" t="s">
        <v>1295</v>
      </c>
      <c r="U295" t="s">
        <v>1348</v>
      </c>
      <c r="V295" t="s">
        <v>1641</v>
      </c>
      <c r="W295" t="s">
        <v>1462</v>
      </c>
    </row>
    <row r="296" spans="1:23" x14ac:dyDescent="0.35">
      <c r="A296">
        <v>56</v>
      </c>
      <c r="B296">
        <v>2107</v>
      </c>
      <c r="C296">
        <v>2107</v>
      </c>
      <c r="D296" t="s">
        <v>21</v>
      </c>
      <c r="E296" t="s">
        <v>56</v>
      </c>
      <c r="F296" t="s">
        <v>251</v>
      </c>
      <c r="G296" t="s">
        <v>407</v>
      </c>
      <c r="H296">
        <v>8</v>
      </c>
      <c r="I296" t="s">
        <v>424</v>
      </c>
      <c r="J296" t="s">
        <v>443</v>
      </c>
      <c r="K296" t="s">
        <v>463</v>
      </c>
      <c r="L296" t="s">
        <v>785</v>
      </c>
      <c r="M296">
        <v>2052</v>
      </c>
      <c r="N296" t="s">
        <v>1201</v>
      </c>
      <c r="O296" t="s">
        <v>21</v>
      </c>
      <c r="P296" t="s">
        <v>21</v>
      </c>
      <c r="Q296" t="s">
        <v>21</v>
      </c>
      <c r="R296" t="s">
        <v>1276</v>
      </c>
      <c r="S296" t="s">
        <v>1276</v>
      </c>
      <c r="T296" t="s">
        <v>410</v>
      </c>
      <c r="U296" t="s">
        <v>1348</v>
      </c>
      <c r="V296" t="s">
        <v>1642</v>
      </c>
      <c r="W296" t="s">
        <v>1463</v>
      </c>
    </row>
    <row r="297" spans="1:23" x14ac:dyDescent="0.35">
      <c r="A297">
        <v>57</v>
      </c>
      <c r="B297">
        <v>2107</v>
      </c>
      <c r="C297">
        <v>2107</v>
      </c>
      <c r="D297" t="s">
        <v>21</v>
      </c>
      <c r="E297" t="s">
        <v>57</v>
      </c>
      <c r="F297" t="s">
        <v>251</v>
      </c>
      <c r="G297" t="s">
        <v>407</v>
      </c>
      <c r="H297">
        <v>6</v>
      </c>
      <c r="I297" t="s">
        <v>423</v>
      </c>
      <c r="J297" t="s">
        <v>440</v>
      </c>
      <c r="K297" t="s">
        <v>460</v>
      </c>
      <c r="L297" t="s">
        <v>786</v>
      </c>
      <c r="M297">
        <v>2053</v>
      </c>
      <c r="N297" t="s">
        <v>1203</v>
      </c>
      <c r="O297" t="s">
        <v>21</v>
      </c>
      <c r="P297" t="s">
        <v>21</v>
      </c>
      <c r="Q297" t="s">
        <v>21</v>
      </c>
      <c r="R297" t="s">
        <v>1277</v>
      </c>
      <c r="S297" t="s">
        <v>1277</v>
      </c>
      <c r="T297" t="s">
        <v>1295</v>
      </c>
      <c r="U297" t="s">
        <v>1348</v>
      </c>
      <c r="V297" t="s">
        <v>1641</v>
      </c>
      <c r="W297" t="s">
        <v>1462</v>
      </c>
    </row>
    <row r="298" spans="1:23" x14ac:dyDescent="0.35">
      <c r="A298">
        <v>58</v>
      </c>
      <c r="B298">
        <v>2107</v>
      </c>
      <c r="C298">
        <v>2107</v>
      </c>
      <c r="D298" t="s">
        <v>21</v>
      </c>
      <c r="E298" t="s">
        <v>57</v>
      </c>
      <c r="F298" t="s">
        <v>251</v>
      </c>
      <c r="G298" t="s">
        <v>407</v>
      </c>
      <c r="H298">
        <v>6</v>
      </c>
      <c r="I298" t="s">
        <v>420</v>
      </c>
      <c r="J298" t="s">
        <v>440</v>
      </c>
      <c r="K298" t="s">
        <v>460</v>
      </c>
      <c r="L298" t="s">
        <v>787</v>
      </c>
      <c r="M298">
        <v>2053</v>
      </c>
      <c r="N298" t="s">
        <v>1203</v>
      </c>
      <c r="O298" t="s">
        <v>21</v>
      </c>
      <c r="P298" t="s">
        <v>21</v>
      </c>
      <c r="Q298" t="s">
        <v>21</v>
      </c>
      <c r="R298" t="s">
        <v>1278</v>
      </c>
      <c r="S298" t="s">
        <v>1278</v>
      </c>
      <c r="T298" t="s">
        <v>1278</v>
      </c>
      <c r="U298" t="s">
        <v>1348</v>
      </c>
      <c r="V298" t="s">
        <v>1644</v>
      </c>
      <c r="W298" t="s">
        <v>1468</v>
      </c>
    </row>
    <row r="299" spans="1:23" x14ac:dyDescent="0.35">
      <c r="A299">
        <v>59</v>
      </c>
      <c r="B299">
        <v>2108</v>
      </c>
      <c r="C299">
        <v>2108</v>
      </c>
      <c r="D299" t="s">
        <v>21</v>
      </c>
      <c r="E299" t="s">
        <v>58</v>
      </c>
      <c r="F299" t="s">
        <v>251</v>
      </c>
      <c r="G299" t="s">
        <v>407</v>
      </c>
      <c r="H299">
        <v>6</v>
      </c>
      <c r="I299" t="s">
        <v>420</v>
      </c>
      <c r="J299" t="s">
        <v>443</v>
      </c>
      <c r="K299" t="s">
        <v>463</v>
      </c>
      <c r="L299" t="s">
        <v>788</v>
      </c>
      <c r="M299">
        <v>2052</v>
      </c>
      <c r="N299" t="s">
        <v>1201</v>
      </c>
      <c r="O299" t="s">
        <v>21</v>
      </c>
      <c r="P299" t="s">
        <v>21</v>
      </c>
      <c r="Q299" t="s">
        <v>21</v>
      </c>
      <c r="R299" t="s">
        <v>1279</v>
      </c>
      <c r="S299" t="s">
        <v>1279</v>
      </c>
      <c r="T299" t="s">
        <v>1295</v>
      </c>
      <c r="U299" t="s">
        <v>1348</v>
      </c>
      <c r="V299" t="s">
        <v>1645</v>
      </c>
      <c r="W299" t="s">
        <v>1462</v>
      </c>
    </row>
    <row r="300" spans="1:23" x14ac:dyDescent="0.35">
      <c r="A300">
        <v>60</v>
      </c>
      <c r="B300">
        <v>2108</v>
      </c>
      <c r="C300">
        <v>2108</v>
      </c>
      <c r="D300" t="s">
        <v>21</v>
      </c>
      <c r="E300" t="s">
        <v>59</v>
      </c>
      <c r="F300" t="s">
        <v>251</v>
      </c>
      <c r="G300" t="s">
        <v>407</v>
      </c>
      <c r="H300">
        <v>6</v>
      </c>
      <c r="I300" t="s">
        <v>420</v>
      </c>
      <c r="J300" t="s">
        <v>443</v>
      </c>
      <c r="K300" t="s">
        <v>463</v>
      </c>
      <c r="L300" t="s">
        <v>789</v>
      </c>
      <c r="M300">
        <v>2053</v>
      </c>
      <c r="N300" t="s">
        <v>1207</v>
      </c>
      <c r="O300" t="s">
        <v>21</v>
      </c>
      <c r="P300" t="s">
        <v>21</v>
      </c>
      <c r="Q300" t="s">
        <v>21</v>
      </c>
      <c r="R300" t="s">
        <v>1280</v>
      </c>
      <c r="S300" t="s">
        <v>1280</v>
      </c>
      <c r="T300" t="s">
        <v>1295</v>
      </c>
      <c r="U300" t="s">
        <v>1348</v>
      </c>
      <c r="V300" t="s">
        <v>1645</v>
      </c>
      <c r="W300" t="s">
        <v>1462</v>
      </c>
    </row>
    <row r="301" spans="1:23" x14ac:dyDescent="0.35">
      <c r="A301">
        <v>61</v>
      </c>
      <c r="B301">
        <v>2109</v>
      </c>
      <c r="C301">
        <v>2109</v>
      </c>
      <c r="D301" t="s">
        <v>21</v>
      </c>
      <c r="E301" t="s">
        <v>60</v>
      </c>
      <c r="F301" t="s">
        <v>251</v>
      </c>
      <c r="G301" t="s">
        <v>407</v>
      </c>
      <c r="H301">
        <v>1</v>
      </c>
      <c r="I301" t="s">
        <v>423</v>
      </c>
      <c r="J301" t="s">
        <v>445</v>
      </c>
      <c r="K301" t="s">
        <v>467</v>
      </c>
      <c r="L301" t="s">
        <v>790</v>
      </c>
      <c r="M301">
        <v>2101</v>
      </c>
      <c r="N301" t="s">
        <v>1208</v>
      </c>
      <c r="O301" t="s">
        <v>21</v>
      </c>
      <c r="P301" t="s">
        <v>21</v>
      </c>
      <c r="Q301" t="s">
        <v>21</v>
      </c>
      <c r="R301" t="s">
        <v>1268</v>
      </c>
      <c r="S301" t="s">
        <v>1268</v>
      </c>
      <c r="T301" t="s">
        <v>1336</v>
      </c>
      <c r="U301" t="s">
        <v>1348</v>
      </c>
      <c r="V301" t="s">
        <v>1646</v>
      </c>
      <c r="W301" t="s">
        <v>1464</v>
      </c>
    </row>
    <row r="302" spans="1:23" x14ac:dyDescent="0.35">
      <c r="A302">
        <v>62</v>
      </c>
      <c r="B302">
        <v>2109</v>
      </c>
      <c r="C302">
        <v>2109</v>
      </c>
      <c r="D302" t="s">
        <v>21</v>
      </c>
      <c r="E302" t="s">
        <v>61</v>
      </c>
      <c r="F302" t="s">
        <v>251</v>
      </c>
      <c r="G302" t="s">
        <v>407</v>
      </c>
      <c r="H302">
        <v>3</v>
      </c>
      <c r="I302" t="s">
        <v>418</v>
      </c>
      <c r="J302" t="s">
        <v>442</v>
      </c>
      <c r="K302" t="s">
        <v>462</v>
      </c>
      <c r="L302" t="s">
        <v>791</v>
      </c>
      <c r="M302">
        <v>2101</v>
      </c>
      <c r="N302" t="s">
        <v>1200</v>
      </c>
      <c r="O302" t="s">
        <v>21</v>
      </c>
      <c r="P302" t="s">
        <v>21</v>
      </c>
      <c r="Q302" t="s">
        <v>21</v>
      </c>
      <c r="R302" t="s">
        <v>1277</v>
      </c>
      <c r="S302" t="s">
        <v>1277</v>
      </c>
      <c r="T302" t="s">
        <v>1295</v>
      </c>
      <c r="U302" t="s">
        <v>1348</v>
      </c>
      <c r="V302" t="s">
        <v>1647</v>
      </c>
      <c r="W302" t="s">
        <v>1462</v>
      </c>
    </row>
    <row r="303" spans="1:23" x14ac:dyDescent="0.35">
      <c r="A303">
        <v>63</v>
      </c>
      <c r="B303">
        <v>2110</v>
      </c>
      <c r="C303">
        <v>2110</v>
      </c>
      <c r="D303" t="s">
        <v>21</v>
      </c>
      <c r="E303" t="s">
        <v>62</v>
      </c>
      <c r="F303" t="s">
        <v>251</v>
      </c>
      <c r="G303" t="s">
        <v>407</v>
      </c>
      <c r="H303">
        <v>2</v>
      </c>
      <c r="I303" t="s">
        <v>420</v>
      </c>
      <c r="J303" t="s">
        <v>442</v>
      </c>
      <c r="K303" t="s">
        <v>462</v>
      </c>
      <c r="L303" t="s">
        <v>792</v>
      </c>
      <c r="M303">
        <v>2101</v>
      </c>
      <c r="N303" t="s">
        <v>1200</v>
      </c>
      <c r="O303" t="s">
        <v>21</v>
      </c>
      <c r="P303" t="s">
        <v>21</v>
      </c>
      <c r="Q303" t="s">
        <v>21</v>
      </c>
      <c r="R303" t="s">
        <v>1270</v>
      </c>
      <c r="S303" t="s">
        <v>1270</v>
      </c>
      <c r="T303" t="s">
        <v>1295</v>
      </c>
      <c r="U303" t="s">
        <v>1348</v>
      </c>
      <c r="V303" t="s">
        <v>1648</v>
      </c>
      <c r="W303" t="s">
        <v>1469</v>
      </c>
    </row>
    <row r="304" spans="1:23" x14ac:dyDescent="0.35">
      <c r="A304">
        <v>64</v>
      </c>
      <c r="B304">
        <v>2110</v>
      </c>
      <c r="C304">
        <v>2110</v>
      </c>
      <c r="D304" t="s">
        <v>21</v>
      </c>
      <c r="E304" t="s">
        <v>62</v>
      </c>
      <c r="F304" t="s">
        <v>251</v>
      </c>
      <c r="G304" t="s">
        <v>407</v>
      </c>
      <c r="H304">
        <v>1</v>
      </c>
      <c r="I304" t="s">
        <v>422</v>
      </c>
      <c r="J304" t="s">
        <v>446</v>
      </c>
      <c r="K304" t="s">
        <v>468</v>
      </c>
      <c r="L304" t="s">
        <v>793</v>
      </c>
      <c r="M304">
        <v>2102</v>
      </c>
      <c r="N304" t="s">
        <v>1209</v>
      </c>
      <c r="O304" t="s">
        <v>21</v>
      </c>
      <c r="P304" t="s">
        <v>21</v>
      </c>
      <c r="Q304" t="s">
        <v>21</v>
      </c>
      <c r="R304" t="s">
        <v>1261</v>
      </c>
      <c r="S304" t="s">
        <v>1261</v>
      </c>
      <c r="T304" t="s">
        <v>410</v>
      </c>
      <c r="U304" t="s">
        <v>1348</v>
      </c>
      <c r="V304" t="s">
        <v>1649</v>
      </c>
      <c r="W304" t="s">
        <v>1470</v>
      </c>
    </row>
    <row r="305" spans="1:23" x14ac:dyDescent="0.35">
      <c r="A305">
        <v>65</v>
      </c>
      <c r="B305">
        <v>2110</v>
      </c>
      <c r="C305">
        <v>2110</v>
      </c>
      <c r="D305" t="s">
        <v>21</v>
      </c>
      <c r="E305" t="s">
        <v>63</v>
      </c>
      <c r="F305" t="s">
        <v>251</v>
      </c>
      <c r="G305" t="s">
        <v>407</v>
      </c>
      <c r="H305">
        <v>2</v>
      </c>
      <c r="I305" t="s">
        <v>420</v>
      </c>
      <c r="J305" t="s">
        <v>444</v>
      </c>
      <c r="K305" t="s">
        <v>464</v>
      </c>
      <c r="L305" t="s">
        <v>794</v>
      </c>
      <c r="M305">
        <v>2103</v>
      </c>
      <c r="N305" t="s">
        <v>1202</v>
      </c>
      <c r="O305" t="s">
        <v>21</v>
      </c>
      <c r="P305" t="s">
        <v>21</v>
      </c>
      <c r="Q305" t="s">
        <v>21</v>
      </c>
      <c r="R305" t="s">
        <v>1270</v>
      </c>
      <c r="S305" t="s">
        <v>1270</v>
      </c>
      <c r="T305" t="s">
        <v>1295</v>
      </c>
      <c r="U305" t="s">
        <v>1348</v>
      </c>
      <c r="V305" t="s">
        <v>1648</v>
      </c>
      <c r="W305" t="s">
        <v>1469</v>
      </c>
    </row>
    <row r="306" spans="1:23" x14ac:dyDescent="0.35">
      <c r="A306">
        <v>66</v>
      </c>
      <c r="B306">
        <v>2110</v>
      </c>
      <c r="C306">
        <v>2110</v>
      </c>
      <c r="D306" t="s">
        <v>21</v>
      </c>
      <c r="E306" t="s">
        <v>64</v>
      </c>
      <c r="F306" t="s">
        <v>251</v>
      </c>
      <c r="G306" t="s">
        <v>407</v>
      </c>
      <c r="H306">
        <v>1</v>
      </c>
      <c r="I306" t="s">
        <v>420</v>
      </c>
      <c r="J306" t="s">
        <v>444</v>
      </c>
      <c r="K306" t="s">
        <v>464</v>
      </c>
      <c r="L306" t="s">
        <v>795</v>
      </c>
      <c r="M306">
        <v>2103</v>
      </c>
      <c r="N306" t="s">
        <v>1202</v>
      </c>
      <c r="O306" t="s">
        <v>21</v>
      </c>
      <c r="P306" t="s">
        <v>21</v>
      </c>
      <c r="Q306" t="s">
        <v>21</v>
      </c>
      <c r="R306" t="s">
        <v>1270</v>
      </c>
      <c r="S306" t="s">
        <v>1270</v>
      </c>
      <c r="T306" t="s">
        <v>1295</v>
      </c>
      <c r="U306" t="s">
        <v>1348</v>
      </c>
      <c r="V306" t="s">
        <v>1648</v>
      </c>
      <c r="W306" t="s">
        <v>1469</v>
      </c>
    </row>
    <row r="307" spans="1:23" x14ac:dyDescent="0.35">
      <c r="A307">
        <v>67</v>
      </c>
      <c r="B307">
        <v>2111</v>
      </c>
      <c r="C307">
        <v>2111</v>
      </c>
      <c r="D307" t="s">
        <v>21</v>
      </c>
      <c r="E307" t="s">
        <v>65</v>
      </c>
      <c r="F307" t="s">
        <v>251</v>
      </c>
      <c r="G307" t="s">
        <v>407</v>
      </c>
      <c r="H307">
        <v>1</v>
      </c>
      <c r="I307" t="s">
        <v>418</v>
      </c>
      <c r="J307" t="s">
        <v>439</v>
      </c>
      <c r="K307" t="s">
        <v>458</v>
      </c>
      <c r="L307" t="s">
        <v>796</v>
      </c>
      <c r="M307">
        <v>2048</v>
      </c>
      <c r="N307" t="s">
        <v>1196</v>
      </c>
      <c r="O307" t="s">
        <v>21</v>
      </c>
      <c r="P307" t="s">
        <v>21</v>
      </c>
      <c r="Q307" t="s">
        <v>21</v>
      </c>
      <c r="R307" t="s">
        <v>1261</v>
      </c>
      <c r="S307" t="s">
        <v>1261</v>
      </c>
      <c r="T307" t="s">
        <v>410</v>
      </c>
      <c r="U307" t="s">
        <v>1348</v>
      </c>
      <c r="V307" t="s">
        <v>1650</v>
      </c>
      <c r="W307" t="s">
        <v>1470</v>
      </c>
    </row>
    <row r="308" spans="1:23" x14ac:dyDescent="0.35">
      <c r="A308">
        <v>68</v>
      </c>
      <c r="B308">
        <v>2111</v>
      </c>
      <c r="C308">
        <v>2111</v>
      </c>
      <c r="D308" t="s">
        <v>21</v>
      </c>
      <c r="E308" t="s">
        <v>66</v>
      </c>
      <c r="F308" t="s">
        <v>251</v>
      </c>
      <c r="G308" t="s">
        <v>407</v>
      </c>
      <c r="H308">
        <v>2</v>
      </c>
      <c r="I308" t="s">
        <v>418</v>
      </c>
      <c r="J308" t="s">
        <v>442</v>
      </c>
      <c r="K308" t="s">
        <v>462</v>
      </c>
      <c r="L308" t="s">
        <v>797</v>
      </c>
      <c r="M308">
        <v>2102</v>
      </c>
      <c r="N308" t="s">
        <v>1200</v>
      </c>
      <c r="O308" t="s">
        <v>21</v>
      </c>
      <c r="P308" t="s">
        <v>21</v>
      </c>
      <c r="Q308" t="s">
        <v>21</v>
      </c>
      <c r="R308" t="s">
        <v>1272</v>
      </c>
      <c r="S308" t="s">
        <v>1272</v>
      </c>
      <c r="T308" t="s">
        <v>410</v>
      </c>
      <c r="U308" t="s">
        <v>1348</v>
      </c>
      <c r="V308" t="s">
        <v>1650</v>
      </c>
      <c r="W308" t="s">
        <v>1470</v>
      </c>
    </row>
    <row r="309" spans="1:23" x14ac:dyDescent="0.35">
      <c r="A309">
        <v>69</v>
      </c>
      <c r="B309">
        <v>2111</v>
      </c>
      <c r="C309">
        <v>2111</v>
      </c>
      <c r="D309" t="s">
        <v>21</v>
      </c>
      <c r="E309" t="s">
        <v>66</v>
      </c>
      <c r="F309" t="s">
        <v>251</v>
      </c>
      <c r="G309" t="s">
        <v>407</v>
      </c>
      <c r="H309">
        <v>3</v>
      </c>
      <c r="I309" t="s">
        <v>419</v>
      </c>
      <c r="J309" t="s">
        <v>444</v>
      </c>
      <c r="K309" t="s">
        <v>464</v>
      </c>
      <c r="L309" t="s">
        <v>798</v>
      </c>
      <c r="M309">
        <v>2103</v>
      </c>
      <c r="N309" t="s">
        <v>1202</v>
      </c>
      <c r="O309" t="s">
        <v>21</v>
      </c>
      <c r="P309" t="s">
        <v>21</v>
      </c>
      <c r="Q309" t="s">
        <v>21</v>
      </c>
      <c r="R309" t="s">
        <v>1259</v>
      </c>
      <c r="S309" t="s">
        <v>1259</v>
      </c>
      <c r="T309" t="s">
        <v>1337</v>
      </c>
      <c r="U309" t="s">
        <v>1348</v>
      </c>
      <c r="V309" t="s">
        <v>1651</v>
      </c>
      <c r="W309" t="s">
        <v>1471</v>
      </c>
    </row>
    <row r="310" spans="1:23" x14ac:dyDescent="0.35">
      <c r="A310">
        <v>70</v>
      </c>
      <c r="B310">
        <v>2112</v>
      </c>
      <c r="C310">
        <v>2112</v>
      </c>
      <c r="D310" t="s">
        <v>21</v>
      </c>
      <c r="E310" t="s">
        <v>67</v>
      </c>
      <c r="F310" t="s">
        <v>251</v>
      </c>
      <c r="G310" t="s">
        <v>407</v>
      </c>
      <c r="H310">
        <v>1</v>
      </c>
      <c r="I310" t="s">
        <v>420</v>
      </c>
      <c r="J310" t="s">
        <v>439</v>
      </c>
      <c r="K310" t="s">
        <v>458</v>
      </c>
      <c r="L310" t="s">
        <v>799</v>
      </c>
      <c r="M310">
        <v>2104</v>
      </c>
      <c r="N310" t="s">
        <v>1196</v>
      </c>
      <c r="O310" t="s">
        <v>21</v>
      </c>
      <c r="P310" t="s">
        <v>21</v>
      </c>
      <c r="Q310" t="s">
        <v>21</v>
      </c>
      <c r="R310" t="s">
        <v>1267</v>
      </c>
      <c r="S310" t="s">
        <v>1267</v>
      </c>
      <c r="T310" t="s">
        <v>1295</v>
      </c>
      <c r="U310" t="s">
        <v>1348</v>
      </c>
      <c r="V310" t="s">
        <v>1652</v>
      </c>
      <c r="W310" t="s">
        <v>1469</v>
      </c>
    </row>
    <row r="311" spans="1:23" x14ac:dyDescent="0.35">
      <c r="A311">
        <v>71</v>
      </c>
      <c r="B311">
        <v>2112</v>
      </c>
      <c r="C311">
        <v>2112</v>
      </c>
      <c r="D311" t="s">
        <v>21</v>
      </c>
      <c r="E311" t="s">
        <v>67</v>
      </c>
      <c r="F311" t="s">
        <v>251</v>
      </c>
      <c r="G311" t="s">
        <v>407</v>
      </c>
      <c r="H311">
        <v>2</v>
      </c>
      <c r="I311" t="s">
        <v>413</v>
      </c>
      <c r="J311" t="s">
        <v>447</v>
      </c>
      <c r="K311" t="s">
        <v>469</v>
      </c>
      <c r="L311" t="s">
        <v>800</v>
      </c>
      <c r="M311">
        <v>2053</v>
      </c>
      <c r="N311" t="s">
        <v>1210</v>
      </c>
      <c r="O311" t="s">
        <v>21</v>
      </c>
      <c r="P311" t="s">
        <v>21</v>
      </c>
      <c r="Q311" t="s">
        <v>21</v>
      </c>
      <c r="R311" t="s">
        <v>1281</v>
      </c>
      <c r="S311" t="s">
        <v>1281</v>
      </c>
      <c r="T311" t="s">
        <v>1340</v>
      </c>
      <c r="U311" t="s">
        <v>1348</v>
      </c>
      <c r="V311" t="s">
        <v>1653</v>
      </c>
      <c r="W311" t="s">
        <v>1472</v>
      </c>
    </row>
    <row r="312" spans="1:23" x14ac:dyDescent="0.35">
      <c r="A312">
        <v>72</v>
      </c>
      <c r="B312">
        <v>2112</v>
      </c>
      <c r="C312">
        <v>2112</v>
      </c>
      <c r="D312" t="s">
        <v>21</v>
      </c>
      <c r="E312" t="s">
        <v>67</v>
      </c>
      <c r="F312" t="s">
        <v>251</v>
      </c>
      <c r="G312" t="s">
        <v>407</v>
      </c>
      <c r="H312">
        <v>1</v>
      </c>
      <c r="I312" t="s">
        <v>422</v>
      </c>
      <c r="J312" t="s">
        <v>446</v>
      </c>
      <c r="K312" t="s">
        <v>468</v>
      </c>
      <c r="L312" t="s">
        <v>801</v>
      </c>
      <c r="M312">
        <v>2103</v>
      </c>
      <c r="N312" t="s">
        <v>1209</v>
      </c>
      <c r="O312" t="s">
        <v>21</v>
      </c>
      <c r="P312" t="s">
        <v>21</v>
      </c>
      <c r="Q312" t="s">
        <v>21</v>
      </c>
      <c r="R312" t="s">
        <v>1277</v>
      </c>
      <c r="S312" t="s">
        <v>1277</v>
      </c>
      <c r="T312" t="s">
        <v>1295</v>
      </c>
      <c r="U312" t="s">
        <v>1348</v>
      </c>
      <c r="V312" t="s">
        <v>1652</v>
      </c>
      <c r="W312" t="s">
        <v>1469</v>
      </c>
    </row>
    <row r="313" spans="1:23" x14ac:dyDescent="0.35">
      <c r="A313">
        <v>73</v>
      </c>
      <c r="B313">
        <v>2112</v>
      </c>
      <c r="C313">
        <v>2112</v>
      </c>
      <c r="D313" t="s">
        <v>21</v>
      </c>
      <c r="E313" t="s">
        <v>68</v>
      </c>
      <c r="F313" t="s">
        <v>251</v>
      </c>
      <c r="G313" t="s">
        <v>407</v>
      </c>
      <c r="H313">
        <v>2</v>
      </c>
      <c r="I313" t="s">
        <v>428</v>
      </c>
      <c r="J313" t="s">
        <v>434</v>
      </c>
      <c r="K313" t="s">
        <v>470</v>
      </c>
      <c r="L313" t="s">
        <v>802</v>
      </c>
      <c r="M313">
        <v>2105</v>
      </c>
      <c r="N313" t="s">
        <v>1211</v>
      </c>
      <c r="O313" t="s">
        <v>21</v>
      </c>
      <c r="P313" t="s">
        <v>21</v>
      </c>
      <c r="Q313" t="s">
        <v>21</v>
      </c>
      <c r="R313" t="s">
        <v>1273</v>
      </c>
      <c r="S313" t="s">
        <v>1273</v>
      </c>
      <c r="T313" t="s">
        <v>1342</v>
      </c>
      <c r="U313" t="s">
        <v>1347</v>
      </c>
      <c r="V313" t="s">
        <v>1654</v>
      </c>
      <c r="W313" t="s">
        <v>1473</v>
      </c>
    </row>
    <row r="314" spans="1:23" x14ac:dyDescent="0.35">
      <c r="A314">
        <v>74</v>
      </c>
      <c r="B314">
        <v>2112</v>
      </c>
      <c r="C314">
        <v>2112</v>
      </c>
      <c r="D314" t="s">
        <v>21</v>
      </c>
      <c r="E314" t="s">
        <v>69</v>
      </c>
      <c r="F314" t="s">
        <v>251</v>
      </c>
      <c r="G314" t="s">
        <v>407</v>
      </c>
      <c r="H314">
        <v>2</v>
      </c>
      <c r="I314" t="s">
        <v>420</v>
      </c>
      <c r="J314" t="s">
        <v>434</v>
      </c>
      <c r="K314" t="s">
        <v>470</v>
      </c>
      <c r="L314" t="s">
        <v>803</v>
      </c>
      <c r="M314">
        <v>2105</v>
      </c>
      <c r="N314" t="s">
        <v>1211</v>
      </c>
      <c r="O314" t="s">
        <v>21</v>
      </c>
      <c r="P314" t="s">
        <v>21</v>
      </c>
      <c r="Q314" t="s">
        <v>21</v>
      </c>
      <c r="R314" t="s">
        <v>1267</v>
      </c>
      <c r="S314" t="s">
        <v>1267</v>
      </c>
      <c r="T314" t="s">
        <v>1295</v>
      </c>
      <c r="U314" t="s">
        <v>1347</v>
      </c>
      <c r="V314" t="s">
        <v>1655</v>
      </c>
      <c r="W314" t="s">
        <v>1474</v>
      </c>
    </row>
    <row r="315" spans="1:23" x14ac:dyDescent="0.35">
      <c r="A315">
        <v>75</v>
      </c>
      <c r="B315">
        <v>2113</v>
      </c>
      <c r="C315">
        <v>2113</v>
      </c>
      <c r="D315" t="s">
        <v>21</v>
      </c>
      <c r="E315" t="s">
        <v>70</v>
      </c>
      <c r="F315" t="s">
        <v>251</v>
      </c>
      <c r="G315" t="s">
        <v>407</v>
      </c>
      <c r="H315">
        <v>3</v>
      </c>
      <c r="I315" t="s">
        <v>425</v>
      </c>
      <c r="J315" t="s">
        <v>444</v>
      </c>
      <c r="K315" t="s">
        <v>464</v>
      </c>
      <c r="L315" t="s">
        <v>804</v>
      </c>
      <c r="M315">
        <v>2104</v>
      </c>
      <c r="N315" t="s">
        <v>1202</v>
      </c>
      <c r="O315" t="s">
        <v>21</v>
      </c>
      <c r="P315" t="s">
        <v>21</v>
      </c>
      <c r="Q315" t="s">
        <v>21</v>
      </c>
      <c r="R315" t="s">
        <v>1267</v>
      </c>
      <c r="S315" t="s">
        <v>1267</v>
      </c>
      <c r="T315" t="s">
        <v>1295</v>
      </c>
      <c r="U315" t="s">
        <v>1348</v>
      </c>
      <c r="V315" t="s">
        <v>1656</v>
      </c>
      <c r="W315" t="s">
        <v>1469</v>
      </c>
    </row>
    <row r="316" spans="1:23" x14ac:dyDescent="0.35">
      <c r="A316">
        <v>76</v>
      </c>
      <c r="B316">
        <v>2116</v>
      </c>
      <c r="C316">
        <v>2116</v>
      </c>
      <c r="D316" t="s">
        <v>21</v>
      </c>
      <c r="E316" t="s">
        <v>30</v>
      </c>
      <c r="F316" t="s">
        <v>251</v>
      </c>
      <c r="G316" t="s">
        <v>407</v>
      </c>
      <c r="H316">
        <v>3</v>
      </c>
      <c r="I316" t="s">
        <v>420</v>
      </c>
      <c r="J316" t="s">
        <v>444</v>
      </c>
      <c r="K316" t="s">
        <v>464</v>
      </c>
      <c r="L316" t="s">
        <v>805</v>
      </c>
      <c r="M316">
        <v>2109</v>
      </c>
      <c r="N316" t="s">
        <v>1202</v>
      </c>
      <c r="O316" t="s">
        <v>21</v>
      </c>
      <c r="P316" t="s">
        <v>21</v>
      </c>
      <c r="Q316" t="s">
        <v>21</v>
      </c>
      <c r="R316" t="s">
        <v>1270</v>
      </c>
      <c r="S316" t="s">
        <v>1270</v>
      </c>
      <c r="T316" t="s">
        <v>1295</v>
      </c>
      <c r="U316" t="s">
        <v>1348</v>
      </c>
      <c r="V316" t="s">
        <v>1657</v>
      </c>
      <c r="W316" t="s">
        <v>1475</v>
      </c>
    </row>
    <row r="317" spans="1:23" x14ac:dyDescent="0.35">
      <c r="A317">
        <v>77</v>
      </c>
      <c r="B317">
        <v>2116</v>
      </c>
      <c r="C317">
        <v>2116</v>
      </c>
      <c r="D317" t="s">
        <v>21</v>
      </c>
      <c r="E317" t="s">
        <v>30</v>
      </c>
      <c r="F317" t="s">
        <v>251</v>
      </c>
      <c r="G317" t="s">
        <v>407</v>
      </c>
      <c r="H317">
        <v>3</v>
      </c>
      <c r="I317" t="s">
        <v>420</v>
      </c>
      <c r="J317" t="s">
        <v>444</v>
      </c>
      <c r="K317" t="s">
        <v>464</v>
      </c>
      <c r="L317" t="s">
        <v>806</v>
      </c>
      <c r="M317">
        <v>2109</v>
      </c>
      <c r="N317" t="s">
        <v>1202</v>
      </c>
      <c r="O317" t="s">
        <v>21</v>
      </c>
      <c r="P317" t="s">
        <v>21</v>
      </c>
      <c r="Q317" t="s">
        <v>21</v>
      </c>
      <c r="R317" t="s">
        <v>1270</v>
      </c>
      <c r="S317" t="s">
        <v>1270</v>
      </c>
      <c r="T317" t="s">
        <v>1295</v>
      </c>
      <c r="U317" t="s">
        <v>1348</v>
      </c>
      <c r="V317" t="s">
        <v>1657</v>
      </c>
      <c r="W317" t="s">
        <v>1475</v>
      </c>
    </row>
    <row r="318" spans="1:23" x14ac:dyDescent="0.35">
      <c r="A318">
        <v>78</v>
      </c>
      <c r="B318">
        <v>2116</v>
      </c>
      <c r="C318">
        <v>2116</v>
      </c>
      <c r="D318" t="s">
        <v>21</v>
      </c>
      <c r="E318" t="s">
        <v>30</v>
      </c>
      <c r="F318" t="s">
        <v>251</v>
      </c>
      <c r="G318" t="s">
        <v>407</v>
      </c>
      <c r="H318">
        <v>3</v>
      </c>
      <c r="I318" t="s">
        <v>420</v>
      </c>
      <c r="J318" t="s">
        <v>444</v>
      </c>
      <c r="K318" t="s">
        <v>464</v>
      </c>
      <c r="L318" t="s">
        <v>807</v>
      </c>
      <c r="M318">
        <v>2109</v>
      </c>
      <c r="N318" t="s">
        <v>1202</v>
      </c>
      <c r="O318" t="s">
        <v>21</v>
      </c>
      <c r="P318" t="s">
        <v>21</v>
      </c>
      <c r="Q318" t="s">
        <v>21</v>
      </c>
      <c r="R318" t="s">
        <v>1270</v>
      </c>
      <c r="S318" t="s">
        <v>1270</v>
      </c>
      <c r="T318" t="s">
        <v>1295</v>
      </c>
      <c r="U318" t="s">
        <v>1348</v>
      </c>
      <c r="V318" t="s">
        <v>1657</v>
      </c>
      <c r="W318" t="s">
        <v>1475</v>
      </c>
    </row>
    <row r="319" spans="1:23" x14ac:dyDescent="0.35">
      <c r="A319">
        <v>79</v>
      </c>
      <c r="B319">
        <v>2116</v>
      </c>
      <c r="C319">
        <v>2116</v>
      </c>
      <c r="D319" t="s">
        <v>21</v>
      </c>
      <c r="E319" t="s">
        <v>71</v>
      </c>
      <c r="F319" t="s">
        <v>251</v>
      </c>
      <c r="G319" t="s">
        <v>407</v>
      </c>
      <c r="H319">
        <v>2</v>
      </c>
      <c r="I319" t="s">
        <v>420</v>
      </c>
      <c r="J319" t="s">
        <v>444</v>
      </c>
      <c r="K319" t="s">
        <v>464</v>
      </c>
      <c r="L319" t="s">
        <v>808</v>
      </c>
      <c r="M319">
        <v>2109</v>
      </c>
      <c r="N319" t="s">
        <v>1202</v>
      </c>
      <c r="O319" t="s">
        <v>21</v>
      </c>
      <c r="P319" t="s">
        <v>21</v>
      </c>
      <c r="Q319" t="s">
        <v>21</v>
      </c>
      <c r="R319" t="s">
        <v>1270</v>
      </c>
      <c r="S319" t="s">
        <v>1270</v>
      </c>
      <c r="T319" t="s">
        <v>1295</v>
      </c>
      <c r="U319" t="s">
        <v>1348</v>
      </c>
      <c r="V319" t="s">
        <v>1657</v>
      </c>
      <c r="W319" t="s">
        <v>1475</v>
      </c>
    </row>
    <row r="320" spans="1:23" x14ac:dyDescent="0.35">
      <c r="A320">
        <v>80</v>
      </c>
      <c r="B320">
        <v>2116</v>
      </c>
      <c r="C320">
        <v>2116</v>
      </c>
      <c r="D320" t="s">
        <v>21</v>
      </c>
      <c r="E320" t="s">
        <v>71</v>
      </c>
      <c r="F320" t="s">
        <v>251</v>
      </c>
      <c r="G320" t="s">
        <v>407</v>
      </c>
      <c r="H320">
        <v>3</v>
      </c>
      <c r="I320" t="s">
        <v>420</v>
      </c>
      <c r="J320" t="s">
        <v>444</v>
      </c>
      <c r="K320" t="s">
        <v>464</v>
      </c>
      <c r="L320" t="s">
        <v>809</v>
      </c>
      <c r="M320">
        <v>2106</v>
      </c>
      <c r="N320" t="s">
        <v>1202</v>
      </c>
      <c r="O320" t="s">
        <v>21</v>
      </c>
      <c r="P320" t="s">
        <v>21</v>
      </c>
      <c r="Q320" t="s">
        <v>21</v>
      </c>
      <c r="R320" t="s">
        <v>1270</v>
      </c>
      <c r="S320" t="s">
        <v>1270</v>
      </c>
      <c r="T320" t="s">
        <v>1295</v>
      </c>
      <c r="U320" t="s">
        <v>1348</v>
      </c>
      <c r="V320" t="s">
        <v>1657</v>
      </c>
      <c r="W320" t="s">
        <v>1475</v>
      </c>
    </row>
    <row r="321" spans="1:23" x14ac:dyDescent="0.35">
      <c r="A321">
        <v>81</v>
      </c>
      <c r="B321">
        <v>2116</v>
      </c>
      <c r="C321">
        <v>2116</v>
      </c>
      <c r="D321" t="s">
        <v>21</v>
      </c>
      <c r="E321" t="s">
        <v>71</v>
      </c>
      <c r="F321" t="s">
        <v>251</v>
      </c>
      <c r="G321" t="s">
        <v>407</v>
      </c>
      <c r="H321">
        <v>4</v>
      </c>
      <c r="I321" t="s">
        <v>424</v>
      </c>
      <c r="J321" t="s">
        <v>444</v>
      </c>
      <c r="K321" t="s">
        <v>464</v>
      </c>
      <c r="L321" t="s">
        <v>810</v>
      </c>
      <c r="M321">
        <v>2109</v>
      </c>
      <c r="N321" t="s">
        <v>1202</v>
      </c>
      <c r="O321" t="s">
        <v>21</v>
      </c>
      <c r="P321" t="s">
        <v>21</v>
      </c>
      <c r="Q321" t="s">
        <v>21</v>
      </c>
      <c r="R321" t="s">
        <v>1264</v>
      </c>
      <c r="S321" t="s">
        <v>1264</v>
      </c>
      <c r="T321" t="s">
        <v>410</v>
      </c>
      <c r="U321" t="s">
        <v>1348</v>
      </c>
      <c r="V321" t="s">
        <v>1658</v>
      </c>
      <c r="W321" t="s">
        <v>1476</v>
      </c>
    </row>
    <row r="322" spans="1:23" x14ac:dyDescent="0.35">
      <c r="A322">
        <v>82</v>
      </c>
      <c r="B322">
        <v>2116</v>
      </c>
      <c r="C322">
        <v>2116</v>
      </c>
      <c r="D322" t="s">
        <v>21</v>
      </c>
      <c r="E322" t="s">
        <v>71</v>
      </c>
      <c r="F322" t="s">
        <v>251</v>
      </c>
      <c r="G322" t="s">
        <v>407</v>
      </c>
      <c r="H322">
        <v>2</v>
      </c>
      <c r="I322" t="s">
        <v>420</v>
      </c>
      <c r="J322" t="s">
        <v>444</v>
      </c>
      <c r="K322" t="s">
        <v>464</v>
      </c>
      <c r="L322" t="s">
        <v>811</v>
      </c>
      <c r="M322">
        <v>2105</v>
      </c>
      <c r="N322" t="s">
        <v>1202</v>
      </c>
      <c r="O322" t="s">
        <v>21</v>
      </c>
      <c r="P322" t="s">
        <v>21</v>
      </c>
      <c r="Q322" t="s">
        <v>21</v>
      </c>
      <c r="R322" t="s">
        <v>1270</v>
      </c>
      <c r="S322" t="s">
        <v>1270</v>
      </c>
      <c r="T322" t="s">
        <v>1295</v>
      </c>
      <c r="U322" t="s">
        <v>1348</v>
      </c>
      <c r="V322" t="s">
        <v>1657</v>
      </c>
      <c r="W322" t="s">
        <v>1475</v>
      </c>
    </row>
    <row r="323" spans="1:23" x14ac:dyDescent="0.35">
      <c r="A323">
        <v>83</v>
      </c>
      <c r="B323">
        <v>2116</v>
      </c>
      <c r="C323">
        <v>2116</v>
      </c>
      <c r="D323" t="s">
        <v>21</v>
      </c>
      <c r="E323" t="s">
        <v>71</v>
      </c>
      <c r="F323" t="s">
        <v>251</v>
      </c>
      <c r="G323" t="s">
        <v>407</v>
      </c>
      <c r="H323">
        <v>2</v>
      </c>
      <c r="I323" t="s">
        <v>420</v>
      </c>
      <c r="J323" t="s">
        <v>444</v>
      </c>
      <c r="K323" t="s">
        <v>464</v>
      </c>
      <c r="L323" t="s">
        <v>812</v>
      </c>
      <c r="M323">
        <v>2105</v>
      </c>
      <c r="N323" t="s">
        <v>1202</v>
      </c>
      <c r="O323" t="s">
        <v>21</v>
      </c>
      <c r="P323" t="s">
        <v>21</v>
      </c>
      <c r="Q323" t="s">
        <v>21</v>
      </c>
      <c r="R323" t="s">
        <v>1270</v>
      </c>
      <c r="S323" t="s">
        <v>1270</v>
      </c>
      <c r="T323" t="s">
        <v>1295</v>
      </c>
      <c r="U323" t="s">
        <v>1348</v>
      </c>
      <c r="V323" t="s">
        <v>1657</v>
      </c>
      <c r="W323" t="s">
        <v>1475</v>
      </c>
    </row>
    <row r="324" spans="1:23" x14ac:dyDescent="0.35">
      <c r="A324">
        <v>84</v>
      </c>
      <c r="B324">
        <v>2116</v>
      </c>
      <c r="C324">
        <v>2116</v>
      </c>
      <c r="D324" t="s">
        <v>21</v>
      </c>
      <c r="E324" t="s">
        <v>71</v>
      </c>
      <c r="F324" t="s">
        <v>251</v>
      </c>
      <c r="G324" t="s">
        <v>407</v>
      </c>
      <c r="H324">
        <v>2</v>
      </c>
      <c r="I324" t="s">
        <v>420</v>
      </c>
      <c r="J324" t="s">
        <v>444</v>
      </c>
      <c r="K324" t="s">
        <v>464</v>
      </c>
      <c r="L324" t="s">
        <v>813</v>
      </c>
      <c r="M324">
        <v>2105</v>
      </c>
      <c r="N324" t="s">
        <v>1202</v>
      </c>
      <c r="O324" t="s">
        <v>21</v>
      </c>
      <c r="P324" t="s">
        <v>21</v>
      </c>
      <c r="Q324" t="s">
        <v>21</v>
      </c>
      <c r="R324" t="s">
        <v>1270</v>
      </c>
      <c r="S324" t="s">
        <v>1270</v>
      </c>
      <c r="T324" t="s">
        <v>1295</v>
      </c>
      <c r="U324" t="s">
        <v>1348</v>
      </c>
      <c r="V324" t="s">
        <v>1657</v>
      </c>
      <c r="W324" t="s">
        <v>1475</v>
      </c>
    </row>
    <row r="325" spans="1:23" x14ac:dyDescent="0.35">
      <c r="A325">
        <v>85</v>
      </c>
      <c r="B325">
        <v>2116</v>
      </c>
      <c r="C325">
        <v>2116</v>
      </c>
      <c r="D325" t="s">
        <v>21</v>
      </c>
      <c r="E325" t="s">
        <v>72</v>
      </c>
      <c r="F325" t="s">
        <v>251</v>
      </c>
      <c r="G325" t="s">
        <v>407</v>
      </c>
      <c r="H325">
        <v>2</v>
      </c>
      <c r="I325" t="s">
        <v>418</v>
      </c>
      <c r="J325" t="s">
        <v>444</v>
      </c>
      <c r="K325" t="s">
        <v>464</v>
      </c>
      <c r="L325" t="s">
        <v>814</v>
      </c>
      <c r="M325">
        <v>2105</v>
      </c>
      <c r="N325" t="s">
        <v>1202</v>
      </c>
      <c r="O325" t="s">
        <v>21</v>
      </c>
      <c r="P325" t="s">
        <v>21</v>
      </c>
      <c r="Q325" t="s">
        <v>21</v>
      </c>
      <c r="R325" t="s">
        <v>1264</v>
      </c>
      <c r="S325" t="s">
        <v>1264</v>
      </c>
      <c r="T325" t="s">
        <v>410</v>
      </c>
      <c r="U325" t="s">
        <v>1348</v>
      </c>
      <c r="V325" t="s">
        <v>1658</v>
      </c>
      <c r="W325" t="s">
        <v>1476</v>
      </c>
    </row>
    <row r="326" spans="1:23" x14ac:dyDescent="0.35">
      <c r="A326">
        <v>86</v>
      </c>
      <c r="B326">
        <v>2116</v>
      </c>
      <c r="C326">
        <v>2116</v>
      </c>
      <c r="D326" t="s">
        <v>21</v>
      </c>
      <c r="E326" t="s">
        <v>72</v>
      </c>
      <c r="F326" t="s">
        <v>251</v>
      </c>
      <c r="G326" t="s">
        <v>407</v>
      </c>
      <c r="H326">
        <v>2</v>
      </c>
      <c r="I326" t="s">
        <v>423</v>
      </c>
      <c r="J326" t="s">
        <v>444</v>
      </c>
      <c r="K326" t="s">
        <v>464</v>
      </c>
      <c r="L326" t="s">
        <v>815</v>
      </c>
      <c r="M326">
        <v>2106</v>
      </c>
      <c r="N326" t="s">
        <v>1202</v>
      </c>
      <c r="O326" t="s">
        <v>21</v>
      </c>
      <c r="P326" t="s">
        <v>21</v>
      </c>
      <c r="Q326" t="s">
        <v>21</v>
      </c>
      <c r="R326" t="s">
        <v>1261</v>
      </c>
      <c r="S326" t="s">
        <v>1261</v>
      </c>
      <c r="T326" t="s">
        <v>410</v>
      </c>
      <c r="U326" t="s">
        <v>1348</v>
      </c>
      <c r="V326" t="s">
        <v>1658</v>
      </c>
      <c r="W326" t="s">
        <v>1476</v>
      </c>
    </row>
    <row r="327" spans="1:23" x14ac:dyDescent="0.35">
      <c r="A327">
        <v>87</v>
      </c>
      <c r="B327">
        <v>2117</v>
      </c>
      <c r="C327">
        <v>2117</v>
      </c>
      <c r="D327" t="s">
        <v>21</v>
      </c>
      <c r="E327" t="s">
        <v>73</v>
      </c>
      <c r="F327" t="s">
        <v>251</v>
      </c>
      <c r="G327" t="s">
        <v>407</v>
      </c>
      <c r="H327">
        <v>1</v>
      </c>
      <c r="I327" t="s">
        <v>420</v>
      </c>
      <c r="J327" t="s">
        <v>446</v>
      </c>
      <c r="K327" t="s">
        <v>468</v>
      </c>
      <c r="L327" t="s">
        <v>816</v>
      </c>
      <c r="M327">
        <v>2108</v>
      </c>
      <c r="N327" t="s">
        <v>1209</v>
      </c>
      <c r="O327" t="s">
        <v>21</v>
      </c>
      <c r="P327" t="s">
        <v>21</v>
      </c>
      <c r="Q327" t="s">
        <v>21</v>
      </c>
      <c r="R327" t="s">
        <v>1270</v>
      </c>
      <c r="S327" t="s">
        <v>1270</v>
      </c>
      <c r="T327" t="s">
        <v>1295</v>
      </c>
      <c r="U327" t="s">
        <v>1348</v>
      </c>
      <c r="V327" t="s">
        <v>1659</v>
      </c>
      <c r="W327" t="s">
        <v>1475</v>
      </c>
    </row>
    <row r="328" spans="1:23" x14ac:dyDescent="0.35">
      <c r="A328">
        <v>88</v>
      </c>
      <c r="B328">
        <v>2118</v>
      </c>
      <c r="C328">
        <v>2118</v>
      </c>
      <c r="D328" t="s">
        <v>21</v>
      </c>
      <c r="E328" t="s">
        <v>74</v>
      </c>
      <c r="F328" t="s">
        <v>251</v>
      </c>
      <c r="G328" t="s">
        <v>407</v>
      </c>
      <c r="H328">
        <v>3</v>
      </c>
      <c r="I328" t="s">
        <v>418</v>
      </c>
      <c r="J328" t="s">
        <v>444</v>
      </c>
      <c r="K328" t="s">
        <v>464</v>
      </c>
      <c r="L328" t="s">
        <v>817</v>
      </c>
      <c r="M328">
        <v>2110</v>
      </c>
      <c r="N328" t="s">
        <v>1202</v>
      </c>
      <c r="O328" t="s">
        <v>21</v>
      </c>
      <c r="P328" t="s">
        <v>21</v>
      </c>
      <c r="Q328" t="s">
        <v>21</v>
      </c>
      <c r="R328" t="s">
        <v>1271</v>
      </c>
      <c r="S328" t="s">
        <v>1271</v>
      </c>
      <c r="T328" t="s">
        <v>1341</v>
      </c>
      <c r="U328" t="s">
        <v>1348</v>
      </c>
      <c r="V328" t="s">
        <v>1660</v>
      </c>
      <c r="W328" t="s">
        <v>1477</v>
      </c>
    </row>
    <row r="329" spans="1:23" x14ac:dyDescent="0.35">
      <c r="A329">
        <v>89</v>
      </c>
      <c r="B329">
        <v>2118</v>
      </c>
      <c r="C329">
        <v>2118</v>
      </c>
      <c r="D329" t="s">
        <v>21</v>
      </c>
      <c r="E329" t="s">
        <v>75</v>
      </c>
      <c r="F329" t="s">
        <v>251</v>
      </c>
      <c r="G329" t="s">
        <v>407</v>
      </c>
      <c r="H329">
        <v>2</v>
      </c>
      <c r="I329" t="s">
        <v>418</v>
      </c>
      <c r="J329" t="s">
        <v>434</v>
      </c>
      <c r="K329" t="s">
        <v>470</v>
      </c>
      <c r="L329" t="s">
        <v>818</v>
      </c>
      <c r="M329">
        <v>2110</v>
      </c>
      <c r="N329" t="s">
        <v>1211</v>
      </c>
      <c r="O329" t="s">
        <v>21</v>
      </c>
      <c r="P329" t="s">
        <v>21</v>
      </c>
      <c r="Q329" t="s">
        <v>21</v>
      </c>
      <c r="R329" t="s">
        <v>1264</v>
      </c>
      <c r="S329" t="s">
        <v>1264</v>
      </c>
      <c r="T329" t="s">
        <v>410</v>
      </c>
      <c r="U329" t="s">
        <v>1347</v>
      </c>
      <c r="V329" t="s">
        <v>1661</v>
      </c>
      <c r="W329" t="s">
        <v>1478</v>
      </c>
    </row>
    <row r="330" spans="1:23" x14ac:dyDescent="0.35">
      <c r="A330">
        <v>90</v>
      </c>
      <c r="B330">
        <v>2118</v>
      </c>
      <c r="C330">
        <v>2118</v>
      </c>
      <c r="D330" t="s">
        <v>21</v>
      </c>
      <c r="E330" t="s">
        <v>24</v>
      </c>
      <c r="F330" t="s">
        <v>251</v>
      </c>
      <c r="G330" t="s">
        <v>407</v>
      </c>
      <c r="H330">
        <v>2</v>
      </c>
      <c r="I330" t="s">
        <v>418</v>
      </c>
      <c r="J330" t="s">
        <v>446</v>
      </c>
      <c r="K330" t="s">
        <v>468</v>
      </c>
      <c r="L330" t="s">
        <v>819</v>
      </c>
      <c r="M330">
        <v>2109</v>
      </c>
      <c r="N330" t="s">
        <v>1209</v>
      </c>
      <c r="O330" t="s">
        <v>21</v>
      </c>
      <c r="P330" t="s">
        <v>21</v>
      </c>
      <c r="Q330" t="s">
        <v>21</v>
      </c>
      <c r="R330" t="s">
        <v>1282</v>
      </c>
      <c r="S330" t="s">
        <v>1282</v>
      </c>
      <c r="T330" t="s">
        <v>1341</v>
      </c>
      <c r="U330" t="s">
        <v>1348</v>
      </c>
      <c r="V330" t="s">
        <v>1660</v>
      </c>
      <c r="W330" t="s">
        <v>1477</v>
      </c>
    </row>
    <row r="331" spans="1:23" x14ac:dyDescent="0.35">
      <c r="A331">
        <v>91</v>
      </c>
      <c r="B331">
        <v>2119</v>
      </c>
      <c r="C331">
        <v>2119</v>
      </c>
      <c r="D331" t="s">
        <v>21</v>
      </c>
      <c r="E331" t="s">
        <v>76</v>
      </c>
      <c r="F331" t="s">
        <v>251</v>
      </c>
      <c r="G331" t="s">
        <v>407</v>
      </c>
      <c r="H331">
        <v>3</v>
      </c>
      <c r="I331" t="s">
        <v>418</v>
      </c>
      <c r="J331" t="s">
        <v>442</v>
      </c>
      <c r="K331" t="s">
        <v>471</v>
      </c>
      <c r="L331" t="s">
        <v>820</v>
      </c>
      <c r="M331">
        <v>2110</v>
      </c>
      <c r="N331" t="s">
        <v>1212</v>
      </c>
      <c r="O331" t="s">
        <v>21</v>
      </c>
      <c r="P331" t="s">
        <v>21</v>
      </c>
      <c r="Q331" t="s">
        <v>21</v>
      </c>
      <c r="R331" t="s">
        <v>1269</v>
      </c>
      <c r="S331" t="s">
        <v>1269</v>
      </c>
      <c r="T331" t="s">
        <v>410</v>
      </c>
      <c r="U331" t="s">
        <v>1348</v>
      </c>
      <c r="V331" t="s">
        <v>1662</v>
      </c>
      <c r="W331" t="s">
        <v>1479</v>
      </c>
    </row>
    <row r="332" spans="1:23" x14ac:dyDescent="0.35">
      <c r="A332">
        <v>92</v>
      </c>
      <c r="B332">
        <v>2120</v>
      </c>
      <c r="C332">
        <v>2120</v>
      </c>
      <c r="D332" t="s">
        <v>21</v>
      </c>
      <c r="E332" t="s">
        <v>77</v>
      </c>
      <c r="F332" t="s">
        <v>251</v>
      </c>
      <c r="G332" t="s">
        <v>407</v>
      </c>
      <c r="H332">
        <v>2</v>
      </c>
      <c r="I332" t="s">
        <v>429</v>
      </c>
      <c r="J332" t="s">
        <v>435</v>
      </c>
      <c r="K332" t="s">
        <v>472</v>
      </c>
      <c r="L332" t="s">
        <v>821</v>
      </c>
      <c r="M332">
        <v>2112</v>
      </c>
      <c r="N332" t="s">
        <v>1213</v>
      </c>
      <c r="O332" t="s">
        <v>21</v>
      </c>
      <c r="P332" t="s">
        <v>21</v>
      </c>
      <c r="Q332" t="s">
        <v>21</v>
      </c>
      <c r="R332" t="s">
        <v>1259</v>
      </c>
      <c r="S332" t="s">
        <v>1259</v>
      </c>
      <c r="T332" t="s">
        <v>1337</v>
      </c>
      <c r="U332" t="s">
        <v>1347</v>
      </c>
      <c r="V332" t="s">
        <v>1663</v>
      </c>
      <c r="W332" t="s">
        <v>1480</v>
      </c>
    </row>
    <row r="333" spans="1:23" x14ac:dyDescent="0.35">
      <c r="A333">
        <v>93</v>
      </c>
      <c r="B333">
        <v>2120</v>
      </c>
      <c r="C333">
        <v>2120</v>
      </c>
      <c r="D333" t="s">
        <v>21</v>
      </c>
      <c r="E333" t="s">
        <v>78</v>
      </c>
      <c r="F333" t="s">
        <v>251</v>
      </c>
      <c r="G333" t="s">
        <v>407</v>
      </c>
      <c r="H333">
        <v>2</v>
      </c>
      <c r="I333" t="s">
        <v>420</v>
      </c>
      <c r="J333" t="s">
        <v>446</v>
      </c>
      <c r="K333" t="s">
        <v>468</v>
      </c>
      <c r="L333" t="s">
        <v>822</v>
      </c>
      <c r="M333">
        <v>2113</v>
      </c>
      <c r="N333" t="s">
        <v>1209</v>
      </c>
      <c r="O333" t="s">
        <v>21</v>
      </c>
      <c r="P333" t="s">
        <v>21</v>
      </c>
      <c r="Q333" t="s">
        <v>21</v>
      </c>
      <c r="R333" t="s">
        <v>1270</v>
      </c>
      <c r="S333" t="s">
        <v>1270</v>
      </c>
      <c r="T333" t="s">
        <v>1295</v>
      </c>
      <c r="U333" t="s">
        <v>1348</v>
      </c>
      <c r="V333" t="s">
        <v>1664</v>
      </c>
      <c r="W333" t="s">
        <v>1481</v>
      </c>
    </row>
    <row r="334" spans="1:23" x14ac:dyDescent="0.35">
      <c r="A334">
        <v>94</v>
      </c>
      <c r="B334">
        <v>2120</v>
      </c>
      <c r="C334">
        <v>2120</v>
      </c>
      <c r="D334" t="s">
        <v>21</v>
      </c>
      <c r="E334" t="s">
        <v>79</v>
      </c>
      <c r="F334" t="s">
        <v>251</v>
      </c>
      <c r="G334" t="s">
        <v>407</v>
      </c>
      <c r="H334">
        <v>2</v>
      </c>
      <c r="I334" t="s">
        <v>420</v>
      </c>
      <c r="J334" t="s">
        <v>444</v>
      </c>
      <c r="K334" t="s">
        <v>464</v>
      </c>
      <c r="L334" t="s">
        <v>823</v>
      </c>
      <c r="M334">
        <v>2112</v>
      </c>
      <c r="N334" t="s">
        <v>1202</v>
      </c>
      <c r="O334" t="s">
        <v>21</v>
      </c>
      <c r="P334" t="s">
        <v>21</v>
      </c>
      <c r="Q334" t="s">
        <v>21</v>
      </c>
      <c r="R334" t="s">
        <v>1270</v>
      </c>
      <c r="S334" t="s">
        <v>1270</v>
      </c>
      <c r="T334" t="s">
        <v>1295</v>
      </c>
      <c r="U334" t="s">
        <v>1348</v>
      </c>
      <c r="V334" t="s">
        <v>1664</v>
      </c>
      <c r="W334" t="s">
        <v>1481</v>
      </c>
    </row>
    <row r="335" spans="1:23" x14ac:dyDescent="0.35">
      <c r="A335">
        <v>95</v>
      </c>
      <c r="B335">
        <v>2121</v>
      </c>
      <c r="C335">
        <v>2121</v>
      </c>
      <c r="D335" t="s">
        <v>21</v>
      </c>
      <c r="E335" t="s">
        <v>80</v>
      </c>
      <c r="F335" t="s">
        <v>251</v>
      </c>
      <c r="G335" t="s">
        <v>407</v>
      </c>
      <c r="H335">
        <v>3</v>
      </c>
      <c r="I335" t="s">
        <v>420</v>
      </c>
      <c r="J335" t="s">
        <v>448</v>
      </c>
      <c r="K335" t="s">
        <v>473</v>
      </c>
      <c r="L335" t="s">
        <v>824</v>
      </c>
      <c r="M335">
        <v>2112</v>
      </c>
      <c r="N335" t="s">
        <v>1214</v>
      </c>
      <c r="O335" t="s">
        <v>21</v>
      </c>
      <c r="P335" t="s">
        <v>21</v>
      </c>
      <c r="Q335" t="s">
        <v>21</v>
      </c>
      <c r="R335" t="s">
        <v>1270</v>
      </c>
      <c r="S335" t="s">
        <v>1270</v>
      </c>
      <c r="T335" t="s">
        <v>1295</v>
      </c>
      <c r="U335" t="s">
        <v>1347</v>
      </c>
      <c r="V335" t="s">
        <v>1665</v>
      </c>
      <c r="W335" t="s">
        <v>1482</v>
      </c>
    </row>
    <row r="336" spans="1:23" x14ac:dyDescent="0.35">
      <c r="A336">
        <v>96</v>
      </c>
      <c r="B336">
        <v>2121</v>
      </c>
      <c r="C336">
        <v>2121</v>
      </c>
      <c r="D336" t="s">
        <v>21</v>
      </c>
      <c r="E336" t="s">
        <v>81</v>
      </c>
      <c r="F336" t="s">
        <v>251</v>
      </c>
      <c r="G336" t="s">
        <v>407</v>
      </c>
      <c r="H336">
        <v>3</v>
      </c>
      <c r="I336" t="s">
        <v>418</v>
      </c>
      <c r="J336" t="s">
        <v>448</v>
      </c>
      <c r="K336" t="s">
        <v>474</v>
      </c>
      <c r="L336" t="s">
        <v>825</v>
      </c>
      <c r="M336">
        <v>2113</v>
      </c>
      <c r="N336" t="s">
        <v>1215</v>
      </c>
      <c r="O336" t="s">
        <v>21</v>
      </c>
      <c r="P336" t="s">
        <v>21</v>
      </c>
      <c r="Q336" t="s">
        <v>21</v>
      </c>
      <c r="R336" t="s">
        <v>1271</v>
      </c>
      <c r="S336" t="s">
        <v>1271</v>
      </c>
      <c r="T336" t="s">
        <v>1341</v>
      </c>
      <c r="U336" t="s">
        <v>1347</v>
      </c>
      <c r="V336" t="s">
        <v>1666</v>
      </c>
      <c r="W336" t="s">
        <v>1483</v>
      </c>
    </row>
    <row r="337" spans="1:23" x14ac:dyDescent="0.35">
      <c r="A337">
        <v>97</v>
      </c>
      <c r="B337">
        <v>2121</v>
      </c>
      <c r="C337">
        <v>2121</v>
      </c>
      <c r="D337" t="s">
        <v>21</v>
      </c>
      <c r="E337" t="s">
        <v>81</v>
      </c>
      <c r="F337" t="s">
        <v>251</v>
      </c>
      <c r="G337" t="s">
        <v>407</v>
      </c>
      <c r="H337">
        <v>3</v>
      </c>
      <c r="I337" t="s">
        <v>418</v>
      </c>
      <c r="J337" t="s">
        <v>448</v>
      </c>
      <c r="K337" t="s">
        <v>474</v>
      </c>
      <c r="L337" t="s">
        <v>826</v>
      </c>
      <c r="M337">
        <v>2113</v>
      </c>
      <c r="N337" t="s">
        <v>1215</v>
      </c>
      <c r="O337" t="s">
        <v>21</v>
      </c>
      <c r="P337" t="s">
        <v>21</v>
      </c>
      <c r="Q337" t="s">
        <v>21</v>
      </c>
      <c r="R337" t="s">
        <v>1271</v>
      </c>
      <c r="S337" t="s">
        <v>1271</v>
      </c>
      <c r="T337" t="s">
        <v>1341</v>
      </c>
      <c r="U337" t="s">
        <v>1347</v>
      </c>
      <c r="V337" t="s">
        <v>1666</v>
      </c>
      <c r="W337" t="s">
        <v>1483</v>
      </c>
    </row>
    <row r="338" spans="1:23" x14ac:dyDescent="0.35">
      <c r="A338">
        <v>98</v>
      </c>
      <c r="B338">
        <v>2121</v>
      </c>
      <c r="C338">
        <v>2121</v>
      </c>
      <c r="D338" t="s">
        <v>21</v>
      </c>
      <c r="E338" t="s">
        <v>81</v>
      </c>
      <c r="F338" t="s">
        <v>251</v>
      </c>
      <c r="G338" t="s">
        <v>407</v>
      </c>
      <c r="H338">
        <v>3</v>
      </c>
      <c r="I338" t="s">
        <v>418</v>
      </c>
      <c r="J338" t="s">
        <v>448</v>
      </c>
      <c r="K338" t="s">
        <v>474</v>
      </c>
      <c r="L338" t="s">
        <v>827</v>
      </c>
      <c r="M338">
        <v>2113</v>
      </c>
      <c r="N338" t="s">
        <v>1215</v>
      </c>
      <c r="O338" t="s">
        <v>21</v>
      </c>
      <c r="P338" t="s">
        <v>21</v>
      </c>
      <c r="Q338" t="s">
        <v>21</v>
      </c>
      <c r="R338" t="s">
        <v>1271</v>
      </c>
      <c r="S338" t="s">
        <v>1271</v>
      </c>
      <c r="T338" t="s">
        <v>1341</v>
      </c>
      <c r="U338" t="s">
        <v>1347</v>
      </c>
      <c r="V338" t="s">
        <v>1666</v>
      </c>
      <c r="W338" t="s">
        <v>1483</v>
      </c>
    </row>
    <row r="339" spans="1:23" x14ac:dyDescent="0.35">
      <c r="A339">
        <v>99</v>
      </c>
      <c r="B339">
        <v>2121</v>
      </c>
      <c r="C339">
        <v>2121</v>
      </c>
      <c r="D339" t="s">
        <v>21</v>
      </c>
      <c r="E339" t="s">
        <v>81</v>
      </c>
      <c r="F339" t="s">
        <v>251</v>
      </c>
      <c r="G339" t="s">
        <v>407</v>
      </c>
      <c r="H339">
        <v>2</v>
      </c>
      <c r="I339" t="s">
        <v>430</v>
      </c>
      <c r="J339" t="s">
        <v>442</v>
      </c>
      <c r="K339" t="s">
        <v>471</v>
      </c>
      <c r="L339" t="s">
        <v>828</v>
      </c>
      <c r="M339">
        <v>2115</v>
      </c>
      <c r="N339" t="s">
        <v>1212</v>
      </c>
      <c r="O339" t="s">
        <v>21</v>
      </c>
      <c r="P339" t="s">
        <v>21</v>
      </c>
      <c r="Q339" t="s">
        <v>21</v>
      </c>
      <c r="R339" t="s">
        <v>1283</v>
      </c>
      <c r="S339" t="s">
        <v>1283</v>
      </c>
      <c r="T339" t="s">
        <v>1295</v>
      </c>
      <c r="U339" t="s">
        <v>1348</v>
      </c>
      <c r="V339" t="s">
        <v>1667</v>
      </c>
      <c r="W339" t="s">
        <v>1481</v>
      </c>
    </row>
    <row r="340" spans="1:23" x14ac:dyDescent="0.35">
      <c r="A340">
        <v>100</v>
      </c>
      <c r="B340">
        <v>2121</v>
      </c>
      <c r="C340">
        <v>2121</v>
      </c>
      <c r="D340" t="s">
        <v>21</v>
      </c>
      <c r="E340" t="s">
        <v>82</v>
      </c>
      <c r="F340" t="s">
        <v>251</v>
      </c>
      <c r="G340" t="s">
        <v>407</v>
      </c>
      <c r="H340">
        <v>2</v>
      </c>
      <c r="I340" t="s">
        <v>430</v>
      </c>
      <c r="J340" t="s">
        <v>442</v>
      </c>
      <c r="K340" t="s">
        <v>471</v>
      </c>
      <c r="L340" t="s">
        <v>829</v>
      </c>
      <c r="M340">
        <v>2113</v>
      </c>
      <c r="N340" t="s">
        <v>1212</v>
      </c>
      <c r="O340" t="s">
        <v>21</v>
      </c>
      <c r="P340" t="s">
        <v>21</v>
      </c>
      <c r="Q340" t="s">
        <v>21</v>
      </c>
      <c r="R340" t="s">
        <v>1283</v>
      </c>
      <c r="S340" t="s">
        <v>1283</v>
      </c>
      <c r="T340" t="s">
        <v>1295</v>
      </c>
      <c r="U340" t="s">
        <v>1348</v>
      </c>
      <c r="V340" t="s">
        <v>1667</v>
      </c>
      <c r="W340" t="s">
        <v>1481</v>
      </c>
    </row>
    <row r="341" spans="1:23" x14ac:dyDescent="0.35">
      <c r="A341">
        <v>101</v>
      </c>
      <c r="B341">
        <v>2121</v>
      </c>
      <c r="C341">
        <v>2121</v>
      </c>
      <c r="D341" t="s">
        <v>21</v>
      </c>
      <c r="E341" t="s">
        <v>82</v>
      </c>
      <c r="F341" t="s">
        <v>251</v>
      </c>
      <c r="G341" t="s">
        <v>407</v>
      </c>
      <c r="H341">
        <v>2</v>
      </c>
      <c r="I341" t="s">
        <v>418</v>
      </c>
      <c r="J341" t="s">
        <v>442</v>
      </c>
      <c r="K341" t="s">
        <v>471</v>
      </c>
      <c r="L341" t="s">
        <v>830</v>
      </c>
      <c r="M341">
        <v>2113</v>
      </c>
      <c r="N341" t="s">
        <v>1212</v>
      </c>
      <c r="O341" t="s">
        <v>21</v>
      </c>
      <c r="P341" t="s">
        <v>21</v>
      </c>
      <c r="Q341" t="s">
        <v>21</v>
      </c>
      <c r="R341" t="s">
        <v>1267</v>
      </c>
      <c r="S341" t="s">
        <v>1267</v>
      </c>
      <c r="T341" t="s">
        <v>1295</v>
      </c>
      <c r="U341" t="s">
        <v>1348</v>
      </c>
      <c r="V341" t="s">
        <v>1667</v>
      </c>
      <c r="W341" t="s">
        <v>1481</v>
      </c>
    </row>
    <row r="342" spans="1:23" x14ac:dyDescent="0.35">
      <c r="A342">
        <v>102</v>
      </c>
      <c r="B342">
        <v>2121</v>
      </c>
      <c r="C342">
        <v>2121</v>
      </c>
      <c r="D342" t="s">
        <v>21</v>
      </c>
      <c r="E342" t="s">
        <v>83</v>
      </c>
      <c r="F342" t="s">
        <v>251</v>
      </c>
      <c r="G342" t="s">
        <v>407</v>
      </c>
      <c r="H342">
        <v>1</v>
      </c>
      <c r="I342" t="s">
        <v>418</v>
      </c>
      <c r="J342" t="s">
        <v>446</v>
      </c>
      <c r="K342" t="s">
        <v>468</v>
      </c>
      <c r="L342" t="s">
        <v>831</v>
      </c>
      <c r="M342">
        <v>2113</v>
      </c>
      <c r="N342" t="s">
        <v>1209</v>
      </c>
      <c r="O342" t="s">
        <v>21</v>
      </c>
      <c r="P342" t="s">
        <v>21</v>
      </c>
      <c r="Q342" t="s">
        <v>21</v>
      </c>
      <c r="R342" t="s">
        <v>1278</v>
      </c>
      <c r="S342" t="s">
        <v>1278</v>
      </c>
      <c r="T342" t="s">
        <v>1278</v>
      </c>
      <c r="U342" t="s">
        <v>1348</v>
      </c>
      <c r="V342" t="s">
        <v>1668</v>
      </c>
      <c r="W342" t="s">
        <v>1484</v>
      </c>
    </row>
    <row r="343" spans="1:23" x14ac:dyDescent="0.35">
      <c r="A343">
        <v>103</v>
      </c>
      <c r="B343">
        <v>2121</v>
      </c>
      <c r="C343">
        <v>2121</v>
      </c>
      <c r="D343" t="s">
        <v>21</v>
      </c>
      <c r="E343" t="s">
        <v>83</v>
      </c>
      <c r="F343" t="s">
        <v>251</v>
      </c>
      <c r="G343" t="s">
        <v>407</v>
      </c>
      <c r="H343">
        <v>1</v>
      </c>
      <c r="I343" t="s">
        <v>418</v>
      </c>
      <c r="J343" t="s">
        <v>446</v>
      </c>
      <c r="K343" t="s">
        <v>468</v>
      </c>
      <c r="L343" t="s">
        <v>832</v>
      </c>
      <c r="M343">
        <v>2113</v>
      </c>
      <c r="N343" t="s">
        <v>1209</v>
      </c>
      <c r="O343" t="s">
        <v>21</v>
      </c>
      <c r="P343" t="s">
        <v>21</v>
      </c>
      <c r="Q343" t="s">
        <v>21</v>
      </c>
      <c r="R343" t="s">
        <v>1259</v>
      </c>
      <c r="S343" t="s">
        <v>1259</v>
      </c>
      <c r="T343" t="s">
        <v>1337</v>
      </c>
      <c r="U343" t="s">
        <v>1348</v>
      </c>
      <c r="V343" t="s">
        <v>1669</v>
      </c>
      <c r="W343" t="s">
        <v>1485</v>
      </c>
    </row>
    <row r="344" spans="1:23" x14ac:dyDescent="0.35">
      <c r="A344">
        <v>104</v>
      </c>
      <c r="B344">
        <v>2122</v>
      </c>
      <c r="C344">
        <v>2122</v>
      </c>
      <c r="D344" t="s">
        <v>21</v>
      </c>
      <c r="E344" t="s">
        <v>84</v>
      </c>
      <c r="F344" t="s">
        <v>251</v>
      </c>
      <c r="G344" t="s">
        <v>407</v>
      </c>
      <c r="H344">
        <v>3</v>
      </c>
      <c r="I344" t="s">
        <v>418</v>
      </c>
      <c r="J344" t="s">
        <v>449</v>
      </c>
      <c r="K344" t="s">
        <v>475</v>
      </c>
      <c r="L344" t="s">
        <v>833</v>
      </c>
      <c r="M344">
        <v>2119</v>
      </c>
      <c r="N344" t="s">
        <v>1216</v>
      </c>
      <c r="O344" t="s">
        <v>21</v>
      </c>
      <c r="P344" t="s">
        <v>21</v>
      </c>
      <c r="Q344" t="s">
        <v>21</v>
      </c>
      <c r="R344" t="s">
        <v>1259</v>
      </c>
      <c r="S344" t="s">
        <v>1259</v>
      </c>
      <c r="T344" t="s">
        <v>1337</v>
      </c>
      <c r="U344" t="s">
        <v>1347</v>
      </c>
      <c r="V344" t="s">
        <v>1670</v>
      </c>
      <c r="W344" t="s">
        <v>1480</v>
      </c>
    </row>
    <row r="345" spans="1:23" x14ac:dyDescent="0.35">
      <c r="A345">
        <v>105</v>
      </c>
      <c r="B345">
        <v>2122</v>
      </c>
      <c r="C345">
        <v>2122</v>
      </c>
      <c r="D345" t="s">
        <v>21</v>
      </c>
      <c r="E345" t="s">
        <v>85</v>
      </c>
      <c r="F345" t="s">
        <v>251</v>
      </c>
      <c r="G345" t="s">
        <v>407</v>
      </c>
      <c r="H345">
        <v>3</v>
      </c>
      <c r="I345" t="s">
        <v>423</v>
      </c>
      <c r="J345" t="s">
        <v>450</v>
      </c>
      <c r="K345" t="s">
        <v>476</v>
      </c>
      <c r="L345" t="s">
        <v>834</v>
      </c>
      <c r="M345">
        <v>2114</v>
      </c>
      <c r="N345" t="s">
        <v>1217</v>
      </c>
      <c r="O345" t="s">
        <v>21</v>
      </c>
      <c r="P345" t="s">
        <v>21</v>
      </c>
      <c r="Q345" t="s">
        <v>21</v>
      </c>
      <c r="R345" t="s">
        <v>1268</v>
      </c>
      <c r="S345" t="s">
        <v>1268</v>
      </c>
      <c r="T345" t="s">
        <v>1336</v>
      </c>
      <c r="U345" t="s">
        <v>1347</v>
      </c>
      <c r="V345" t="s">
        <v>1671</v>
      </c>
      <c r="W345" t="s">
        <v>1486</v>
      </c>
    </row>
    <row r="346" spans="1:23" x14ac:dyDescent="0.35">
      <c r="A346">
        <v>106</v>
      </c>
      <c r="B346">
        <v>2122</v>
      </c>
      <c r="C346">
        <v>2122</v>
      </c>
      <c r="D346" t="s">
        <v>21</v>
      </c>
      <c r="E346" t="s">
        <v>85</v>
      </c>
      <c r="F346" t="s">
        <v>251</v>
      </c>
      <c r="G346" t="s">
        <v>407</v>
      </c>
      <c r="H346">
        <v>2</v>
      </c>
      <c r="I346" t="s">
        <v>421</v>
      </c>
      <c r="J346" t="s">
        <v>444</v>
      </c>
      <c r="K346" t="s">
        <v>464</v>
      </c>
      <c r="L346" t="s">
        <v>835</v>
      </c>
      <c r="M346">
        <v>2114</v>
      </c>
      <c r="N346" t="s">
        <v>1202</v>
      </c>
      <c r="O346" t="s">
        <v>21</v>
      </c>
      <c r="P346" t="s">
        <v>21</v>
      </c>
      <c r="Q346" t="s">
        <v>21</v>
      </c>
      <c r="R346" t="s">
        <v>1284</v>
      </c>
      <c r="S346" t="s">
        <v>1284</v>
      </c>
      <c r="T346" t="s">
        <v>1342</v>
      </c>
      <c r="U346" t="s">
        <v>1348</v>
      </c>
      <c r="V346" t="s">
        <v>1672</v>
      </c>
      <c r="W346" t="s">
        <v>1487</v>
      </c>
    </row>
    <row r="347" spans="1:23" x14ac:dyDescent="0.35">
      <c r="A347">
        <v>107</v>
      </c>
      <c r="B347">
        <v>2122</v>
      </c>
      <c r="C347">
        <v>2122</v>
      </c>
      <c r="D347" t="s">
        <v>21</v>
      </c>
      <c r="E347" t="s">
        <v>85</v>
      </c>
      <c r="F347" t="s">
        <v>251</v>
      </c>
      <c r="G347" t="s">
        <v>407</v>
      </c>
      <c r="H347">
        <v>2</v>
      </c>
      <c r="I347" t="s">
        <v>420</v>
      </c>
      <c r="J347" t="s">
        <v>444</v>
      </c>
      <c r="K347" t="s">
        <v>464</v>
      </c>
      <c r="L347" t="s">
        <v>836</v>
      </c>
      <c r="M347">
        <v>2112</v>
      </c>
      <c r="N347" t="s">
        <v>1202</v>
      </c>
      <c r="O347" t="s">
        <v>21</v>
      </c>
      <c r="P347" t="s">
        <v>21</v>
      </c>
      <c r="Q347" t="s">
        <v>21</v>
      </c>
      <c r="R347" t="s">
        <v>1267</v>
      </c>
      <c r="S347" t="s">
        <v>1267</v>
      </c>
      <c r="T347" t="s">
        <v>1295</v>
      </c>
      <c r="U347" t="s">
        <v>1348</v>
      </c>
      <c r="V347" t="s">
        <v>1673</v>
      </c>
      <c r="W347" t="s">
        <v>1481</v>
      </c>
    </row>
    <row r="348" spans="1:23" x14ac:dyDescent="0.35">
      <c r="A348">
        <v>108</v>
      </c>
      <c r="B348">
        <v>2123</v>
      </c>
      <c r="C348">
        <v>2123</v>
      </c>
      <c r="D348" t="s">
        <v>21</v>
      </c>
      <c r="E348" t="s">
        <v>31</v>
      </c>
      <c r="F348" t="s">
        <v>251</v>
      </c>
      <c r="G348" t="s">
        <v>407</v>
      </c>
      <c r="H348">
        <v>2</v>
      </c>
      <c r="I348" t="s">
        <v>420</v>
      </c>
      <c r="J348" t="s">
        <v>444</v>
      </c>
      <c r="K348" t="s">
        <v>464</v>
      </c>
      <c r="L348" t="s">
        <v>837</v>
      </c>
      <c r="M348">
        <v>2114</v>
      </c>
      <c r="N348" t="s">
        <v>1202</v>
      </c>
      <c r="O348" t="s">
        <v>21</v>
      </c>
      <c r="P348" t="s">
        <v>21</v>
      </c>
      <c r="Q348" t="s">
        <v>21</v>
      </c>
      <c r="R348" t="s">
        <v>1267</v>
      </c>
      <c r="S348" t="s">
        <v>1267</v>
      </c>
      <c r="T348" t="s">
        <v>1295</v>
      </c>
      <c r="U348" t="s">
        <v>1348</v>
      </c>
      <c r="V348" t="s">
        <v>1674</v>
      </c>
      <c r="W348" t="s">
        <v>1488</v>
      </c>
    </row>
    <row r="349" spans="1:23" x14ac:dyDescent="0.35">
      <c r="A349">
        <v>109</v>
      </c>
      <c r="B349">
        <v>2123</v>
      </c>
      <c r="C349">
        <v>2123</v>
      </c>
      <c r="D349" t="s">
        <v>21</v>
      </c>
      <c r="E349" t="s">
        <v>31</v>
      </c>
      <c r="F349" t="s">
        <v>251</v>
      </c>
      <c r="G349" t="s">
        <v>407</v>
      </c>
      <c r="H349">
        <v>2</v>
      </c>
      <c r="I349" t="s">
        <v>421</v>
      </c>
      <c r="J349" t="s">
        <v>434</v>
      </c>
      <c r="K349" t="s">
        <v>470</v>
      </c>
      <c r="L349" t="s">
        <v>838</v>
      </c>
      <c r="M349">
        <v>2115</v>
      </c>
      <c r="N349" t="s">
        <v>1211</v>
      </c>
      <c r="O349" t="s">
        <v>21</v>
      </c>
      <c r="P349" t="s">
        <v>21</v>
      </c>
      <c r="Q349" t="s">
        <v>21</v>
      </c>
      <c r="R349" t="s">
        <v>1285</v>
      </c>
      <c r="S349" t="s">
        <v>1285</v>
      </c>
      <c r="T349" t="s">
        <v>1342</v>
      </c>
      <c r="U349" t="s">
        <v>1347</v>
      </c>
      <c r="V349" t="s">
        <v>1675</v>
      </c>
      <c r="W349" t="s">
        <v>1489</v>
      </c>
    </row>
    <row r="350" spans="1:23" x14ac:dyDescent="0.35">
      <c r="A350">
        <v>110</v>
      </c>
      <c r="B350">
        <v>2123</v>
      </c>
      <c r="C350">
        <v>2123</v>
      </c>
      <c r="D350" t="s">
        <v>21</v>
      </c>
      <c r="E350" t="s">
        <v>31</v>
      </c>
      <c r="F350" t="s">
        <v>251</v>
      </c>
      <c r="G350" t="s">
        <v>407</v>
      </c>
      <c r="H350">
        <v>2</v>
      </c>
      <c r="I350" t="s">
        <v>421</v>
      </c>
      <c r="J350" t="s">
        <v>434</v>
      </c>
      <c r="K350" t="s">
        <v>470</v>
      </c>
      <c r="L350" t="s">
        <v>839</v>
      </c>
      <c r="M350">
        <v>2115</v>
      </c>
      <c r="N350" t="s">
        <v>1211</v>
      </c>
      <c r="O350" t="s">
        <v>21</v>
      </c>
      <c r="P350" t="s">
        <v>21</v>
      </c>
      <c r="Q350" t="s">
        <v>21</v>
      </c>
      <c r="R350" t="s">
        <v>1285</v>
      </c>
      <c r="S350" t="s">
        <v>1285</v>
      </c>
      <c r="T350" t="s">
        <v>1342</v>
      </c>
      <c r="U350" t="s">
        <v>1347</v>
      </c>
      <c r="V350" t="s">
        <v>1675</v>
      </c>
      <c r="W350" t="s">
        <v>1489</v>
      </c>
    </row>
    <row r="351" spans="1:23" x14ac:dyDescent="0.35">
      <c r="A351">
        <v>111</v>
      </c>
      <c r="B351">
        <v>2123</v>
      </c>
      <c r="C351">
        <v>2123</v>
      </c>
      <c r="D351" t="s">
        <v>21</v>
      </c>
      <c r="E351" t="s">
        <v>33</v>
      </c>
      <c r="F351" t="s">
        <v>251</v>
      </c>
      <c r="G351" t="s">
        <v>407</v>
      </c>
      <c r="H351">
        <v>1</v>
      </c>
      <c r="I351" t="s">
        <v>420</v>
      </c>
      <c r="J351" t="s">
        <v>446</v>
      </c>
      <c r="K351" t="s">
        <v>468</v>
      </c>
      <c r="L351" t="s">
        <v>840</v>
      </c>
      <c r="M351">
        <v>2115</v>
      </c>
      <c r="N351" t="s">
        <v>1218</v>
      </c>
      <c r="O351" t="s">
        <v>21</v>
      </c>
      <c r="P351" t="s">
        <v>21</v>
      </c>
      <c r="Q351" t="s">
        <v>21</v>
      </c>
      <c r="R351" t="s">
        <v>1270</v>
      </c>
      <c r="S351" t="s">
        <v>1270</v>
      </c>
      <c r="T351" t="s">
        <v>1295</v>
      </c>
      <c r="U351" t="s">
        <v>1348</v>
      </c>
      <c r="V351" t="s">
        <v>1674</v>
      </c>
      <c r="W351" t="s">
        <v>1488</v>
      </c>
    </row>
    <row r="352" spans="1:23" x14ac:dyDescent="0.35">
      <c r="A352">
        <v>112</v>
      </c>
      <c r="B352">
        <v>2123</v>
      </c>
      <c r="C352">
        <v>2123</v>
      </c>
      <c r="D352" t="s">
        <v>21</v>
      </c>
      <c r="E352" t="s">
        <v>33</v>
      </c>
      <c r="F352" t="s">
        <v>251</v>
      </c>
      <c r="G352" t="s">
        <v>407</v>
      </c>
      <c r="H352">
        <v>2</v>
      </c>
      <c r="I352" t="s">
        <v>431</v>
      </c>
      <c r="J352" t="s">
        <v>434</v>
      </c>
      <c r="K352" t="s">
        <v>470</v>
      </c>
      <c r="L352" t="s">
        <v>841</v>
      </c>
      <c r="M352">
        <v>2115</v>
      </c>
      <c r="N352" t="s">
        <v>1211</v>
      </c>
      <c r="O352" t="s">
        <v>21</v>
      </c>
      <c r="P352" t="s">
        <v>21</v>
      </c>
      <c r="Q352" t="s">
        <v>21</v>
      </c>
      <c r="R352" t="s">
        <v>1285</v>
      </c>
      <c r="S352" t="s">
        <v>1285</v>
      </c>
      <c r="T352" t="s">
        <v>1342</v>
      </c>
      <c r="U352" t="s">
        <v>1347</v>
      </c>
      <c r="V352" t="s">
        <v>1675</v>
      </c>
      <c r="W352" t="s">
        <v>1489</v>
      </c>
    </row>
    <row r="353" spans="1:23" x14ac:dyDescent="0.35">
      <c r="A353">
        <v>113</v>
      </c>
      <c r="B353">
        <v>2123</v>
      </c>
      <c r="C353">
        <v>2123</v>
      </c>
      <c r="D353" t="s">
        <v>21</v>
      </c>
      <c r="E353" t="s">
        <v>86</v>
      </c>
      <c r="F353" t="s">
        <v>251</v>
      </c>
      <c r="G353" t="s">
        <v>407</v>
      </c>
      <c r="H353">
        <v>1</v>
      </c>
      <c r="I353" t="s">
        <v>420</v>
      </c>
      <c r="J353" t="s">
        <v>446</v>
      </c>
      <c r="K353" t="s">
        <v>468</v>
      </c>
      <c r="L353" t="s">
        <v>842</v>
      </c>
      <c r="M353">
        <v>2110</v>
      </c>
      <c r="N353" t="s">
        <v>1209</v>
      </c>
      <c r="O353" t="s">
        <v>21</v>
      </c>
      <c r="P353" t="s">
        <v>21</v>
      </c>
      <c r="Q353" t="s">
        <v>21</v>
      </c>
      <c r="R353" t="s">
        <v>1270</v>
      </c>
      <c r="S353" t="s">
        <v>1270</v>
      </c>
      <c r="T353" t="s">
        <v>1295</v>
      </c>
      <c r="U353" t="s">
        <v>1348</v>
      </c>
      <c r="V353" t="s">
        <v>1674</v>
      </c>
      <c r="W353" t="s">
        <v>1488</v>
      </c>
    </row>
    <row r="354" spans="1:23" x14ac:dyDescent="0.35">
      <c r="A354">
        <v>114</v>
      </c>
      <c r="B354">
        <v>2123</v>
      </c>
      <c r="C354">
        <v>2123</v>
      </c>
      <c r="D354" t="s">
        <v>21</v>
      </c>
      <c r="E354" t="s">
        <v>26</v>
      </c>
      <c r="F354" t="s">
        <v>251</v>
      </c>
      <c r="G354" t="s">
        <v>407</v>
      </c>
      <c r="H354">
        <v>1</v>
      </c>
      <c r="I354" t="s">
        <v>423</v>
      </c>
      <c r="J354" t="s">
        <v>442</v>
      </c>
      <c r="K354" t="s">
        <v>471</v>
      </c>
      <c r="L354" t="s">
        <v>843</v>
      </c>
      <c r="M354">
        <v>2115</v>
      </c>
      <c r="N354" t="s">
        <v>1212</v>
      </c>
      <c r="O354" t="s">
        <v>21</v>
      </c>
      <c r="P354" t="s">
        <v>21</v>
      </c>
      <c r="Q354" t="s">
        <v>21</v>
      </c>
      <c r="R354" t="s">
        <v>1268</v>
      </c>
      <c r="S354" t="s">
        <v>1268</v>
      </c>
      <c r="T354" t="s">
        <v>1336</v>
      </c>
      <c r="U354" t="s">
        <v>1348</v>
      </c>
      <c r="V354" t="s">
        <v>1676</v>
      </c>
      <c r="W354" t="s">
        <v>1490</v>
      </c>
    </row>
    <row r="355" spans="1:23" x14ac:dyDescent="0.35">
      <c r="A355">
        <v>115</v>
      </c>
      <c r="B355">
        <v>2123</v>
      </c>
      <c r="C355">
        <v>2123</v>
      </c>
      <c r="D355" t="s">
        <v>21</v>
      </c>
      <c r="E355" t="s">
        <v>26</v>
      </c>
      <c r="F355" t="s">
        <v>251</v>
      </c>
      <c r="G355" t="s">
        <v>407</v>
      </c>
      <c r="H355">
        <v>2</v>
      </c>
      <c r="I355" t="s">
        <v>422</v>
      </c>
      <c r="J355" t="s">
        <v>435</v>
      </c>
      <c r="K355" t="s">
        <v>477</v>
      </c>
      <c r="L355" t="s">
        <v>844</v>
      </c>
      <c r="M355">
        <v>2116</v>
      </c>
      <c r="N355" t="s">
        <v>1219</v>
      </c>
      <c r="O355" t="s">
        <v>21</v>
      </c>
      <c r="P355" t="s">
        <v>21</v>
      </c>
      <c r="Q355" t="s">
        <v>21</v>
      </c>
      <c r="R355" t="s">
        <v>1268</v>
      </c>
      <c r="S355" t="s">
        <v>1268</v>
      </c>
      <c r="T355" t="s">
        <v>1336</v>
      </c>
      <c r="U355" t="s">
        <v>1347</v>
      </c>
      <c r="V355" t="s">
        <v>1677</v>
      </c>
      <c r="W355" t="s">
        <v>1491</v>
      </c>
    </row>
    <row r="356" spans="1:23" x14ac:dyDescent="0.35">
      <c r="A356">
        <v>116</v>
      </c>
      <c r="B356">
        <v>2124</v>
      </c>
      <c r="C356">
        <v>2124</v>
      </c>
      <c r="D356" t="s">
        <v>21</v>
      </c>
      <c r="E356" t="s">
        <v>87</v>
      </c>
      <c r="F356" t="s">
        <v>251</v>
      </c>
      <c r="G356" t="s">
        <v>407</v>
      </c>
      <c r="H356">
        <v>3</v>
      </c>
      <c r="I356" t="s">
        <v>420</v>
      </c>
      <c r="J356" t="s">
        <v>434</v>
      </c>
      <c r="K356" t="s">
        <v>470</v>
      </c>
      <c r="L356" t="s">
        <v>845</v>
      </c>
      <c r="M356">
        <v>2115</v>
      </c>
      <c r="N356" t="s">
        <v>1211</v>
      </c>
      <c r="O356" t="s">
        <v>21</v>
      </c>
      <c r="P356" t="s">
        <v>21</v>
      </c>
      <c r="Q356" t="s">
        <v>21</v>
      </c>
      <c r="R356" t="s">
        <v>1267</v>
      </c>
      <c r="S356" t="s">
        <v>1267</v>
      </c>
      <c r="T356" t="s">
        <v>1295</v>
      </c>
      <c r="U356" t="s">
        <v>1347</v>
      </c>
      <c r="V356" t="s">
        <v>1678</v>
      </c>
      <c r="W356" t="s">
        <v>1492</v>
      </c>
    </row>
    <row r="357" spans="1:23" x14ac:dyDescent="0.35">
      <c r="A357">
        <v>117</v>
      </c>
      <c r="B357">
        <v>2124</v>
      </c>
      <c r="C357">
        <v>2124</v>
      </c>
      <c r="D357" t="s">
        <v>21</v>
      </c>
      <c r="E357" t="s">
        <v>87</v>
      </c>
      <c r="F357" t="s">
        <v>251</v>
      </c>
      <c r="G357" t="s">
        <v>407</v>
      </c>
      <c r="H357">
        <v>2</v>
      </c>
      <c r="I357" t="s">
        <v>422</v>
      </c>
      <c r="J357" t="s">
        <v>438</v>
      </c>
      <c r="K357" t="s">
        <v>478</v>
      </c>
      <c r="L357" t="s">
        <v>846</v>
      </c>
      <c r="M357">
        <v>2121</v>
      </c>
      <c r="N357" t="s">
        <v>1220</v>
      </c>
      <c r="O357" t="s">
        <v>21</v>
      </c>
      <c r="P357" t="s">
        <v>21</v>
      </c>
      <c r="Q357" t="s">
        <v>21</v>
      </c>
      <c r="R357" t="s">
        <v>1286</v>
      </c>
      <c r="S357" t="s">
        <v>1286</v>
      </c>
      <c r="T357" t="s">
        <v>1343</v>
      </c>
      <c r="U357" t="s">
        <v>1347</v>
      </c>
      <c r="V357" t="s">
        <v>1679</v>
      </c>
      <c r="W357" t="s">
        <v>1493</v>
      </c>
    </row>
    <row r="358" spans="1:23" x14ac:dyDescent="0.35">
      <c r="A358">
        <v>118</v>
      </c>
      <c r="B358">
        <v>2125</v>
      </c>
      <c r="C358">
        <v>2125</v>
      </c>
      <c r="D358" t="s">
        <v>21</v>
      </c>
      <c r="E358" t="s">
        <v>88</v>
      </c>
      <c r="F358" t="s">
        <v>251</v>
      </c>
      <c r="G358" t="s">
        <v>407</v>
      </c>
      <c r="H358">
        <v>4</v>
      </c>
      <c r="I358" t="s">
        <v>420</v>
      </c>
      <c r="J358" t="s">
        <v>435</v>
      </c>
      <c r="K358" t="s">
        <v>472</v>
      </c>
      <c r="L358" t="s">
        <v>847</v>
      </c>
      <c r="M358">
        <v>2118</v>
      </c>
      <c r="N358" t="s">
        <v>1221</v>
      </c>
      <c r="O358" t="s">
        <v>21</v>
      </c>
      <c r="P358" t="s">
        <v>21</v>
      </c>
      <c r="Q358" t="s">
        <v>21</v>
      </c>
      <c r="R358" t="s">
        <v>1267</v>
      </c>
      <c r="S358" t="s">
        <v>1267</v>
      </c>
      <c r="T358" t="s">
        <v>1295</v>
      </c>
      <c r="U358" t="s">
        <v>1347</v>
      </c>
      <c r="V358" t="s">
        <v>1680</v>
      </c>
      <c r="W358" t="s">
        <v>1492</v>
      </c>
    </row>
    <row r="359" spans="1:23" x14ac:dyDescent="0.35">
      <c r="A359">
        <v>119</v>
      </c>
      <c r="B359">
        <v>2126</v>
      </c>
      <c r="C359">
        <v>2126</v>
      </c>
      <c r="D359" t="s">
        <v>21</v>
      </c>
      <c r="E359" t="s">
        <v>89</v>
      </c>
      <c r="F359" t="s">
        <v>251</v>
      </c>
      <c r="G359" t="s">
        <v>407</v>
      </c>
      <c r="H359">
        <v>1</v>
      </c>
      <c r="I359" t="s">
        <v>418</v>
      </c>
      <c r="J359" t="s">
        <v>437</v>
      </c>
      <c r="K359" t="s">
        <v>479</v>
      </c>
      <c r="L359" t="s">
        <v>848</v>
      </c>
      <c r="M359">
        <v>2123</v>
      </c>
      <c r="N359" t="s">
        <v>1222</v>
      </c>
      <c r="O359" t="s">
        <v>21</v>
      </c>
      <c r="P359" t="s">
        <v>21</v>
      </c>
      <c r="Q359" t="s">
        <v>21</v>
      </c>
      <c r="R359" t="s">
        <v>1261</v>
      </c>
      <c r="S359" t="s">
        <v>1261</v>
      </c>
      <c r="T359" t="s">
        <v>410</v>
      </c>
      <c r="U359" t="s">
        <v>1347</v>
      </c>
      <c r="V359" t="s">
        <v>1681</v>
      </c>
      <c r="W359" t="s">
        <v>1438</v>
      </c>
    </row>
    <row r="360" spans="1:23" x14ac:dyDescent="0.35">
      <c r="A360">
        <v>120</v>
      </c>
      <c r="B360">
        <v>2126</v>
      </c>
      <c r="C360">
        <v>2126</v>
      </c>
      <c r="D360" t="s">
        <v>21</v>
      </c>
      <c r="E360" t="s">
        <v>89</v>
      </c>
      <c r="F360" t="s">
        <v>251</v>
      </c>
      <c r="G360" t="s">
        <v>407</v>
      </c>
      <c r="H360">
        <v>2</v>
      </c>
      <c r="I360" t="s">
        <v>430</v>
      </c>
      <c r="J360" t="s">
        <v>442</v>
      </c>
      <c r="K360" t="s">
        <v>471</v>
      </c>
      <c r="L360" t="s">
        <v>849</v>
      </c>
      <c r="M360">
        <v>2117</v>
      </c>
      <c r="N360" t="s">
        <v>1212</v>
      </c>
      <c r="O360" t="s">
        <v>21</v>
      </c>
      <c r="P360" t="s">
        <v>21</v>
      </c>
      <c r="Q360" t="s">
        <v>21</v>
      </c>
      <c r="R360" t="s">
        <v>1287</v>
      </c>
      <c r="S360" t="s">
        <v>1287</v>
      </c>
      <c r="T360" t="s">
        <v>1342</v>
      </c>
      <c r="U360" t="s">
        <v>1348</v>
      </c>
      <c r="V360" t="s">
        <v>1682</v>
      </c>
      <c r="W360" t="s">
        <v>1494</v>
      </c>
    </row>
    <row r="361" spans="1:23" x14ac:dyDescent="0.35">
      <c r="A361">
        <v>121</v>
      </c>
      <c r="B361">
        <v>2126</v>
      </c>
      <c r="C361">
        <v>2126</v>
      </c>
      <c r="D361" t="s">
        <v>21</v>
      </c>
      <c r="E361" t="s">
        <v>90</v>
      </c>
      <c r="F361" t="s">
        <v>251</v>
      </c>
      <c r="G361" t="s">
        <v>407</v>
      </c>
      <c r="H361">
        <v>2</v>
      </c>
      <c r="I361" t="s">
        <v>422</v>
      </c>
      <c r="J361" t="s">
        <v>434</v>
      </c>
      <c r="K361" t="s">
        <v>470</v>
      </c>
      <c r="L361" t="s">
        <v>850</v>
      </c>
      <c r="M361">
        <v>2119</v>
      </c>
      <c r="N361" t="s">
        <v>1211</v>
      </c>
      <c r="O361" t="s">
        <v>21</v>
      </c>
      <c r="P361" t="s">
        <v>21</v>
      </c>
      <c r="Q361" t="s">
        <v>21</v>
      </c>
      <c r="R361" t="s">
        <v>1268</v>
      </c>
      <c r="S361" t="s">
        <v>1268</v>
      </c>
      <c r="T361" t="s">
        <v>1336</v>
      </c>
      <c r="U361" t="s">
        <v>1347</v>
      </c>
      <c r="V361" t="s">
        <v>1683</v>
      </c>
      <c r="W361" t="s">
        <v>1491</v>
      </c>
    </row>
    <row r="362" spans="1:23" x14ac:dyDescent="0.35">
      <c r="A362">
        <v>122</v>
      </c>
      <c r="B362">
        <v>2126</v>
      </c>
      <c r="C362">
        <v>2126</v>
      </c>
      <c r="D362" t="s">
        <v>21</v>
      </c>
      <c r="E362" t="s">
        <v>90</v>
      </c>
      <c r="F362" t="s">
        <v>251</v>
      </c>
      <c r="G362" t="s">
        <v>407</v>
      </c>
      <c r="H362">
        <v>3</v>
      </c>
      <c r="I362" t="s">
        <v>432</v>
      </c>
      <c r="J362" t="s">
        <v>450</v>
      </c>
      <c r="K362" t="s">
        <v>476</v>
      </c>
      <c r="L362" t="s">
        <v>851</v>
      </c>
      <c r="M362">
        <v>2117</v>
      </c>
      <c r="N362" t="s">
        <v>1217</v>
      </c>
      <c r="O362" t="s">
        <v>21</v>
      </c>
      <c r="P362" t="s">
        <v>21</v>
      </c>
      <c r="Q362" t="s">
        <v>21</v>
      </c>
      <c r="R362" t="s">
        <v>1288</v>
      </c>
      <c r="S362" t="s">
        <v>1288</v>
      </c>
      <c r="T362" t="s">
        <v>1344</v>
      </c>
      <c r="U362" t="s">
        <v>1347</v>
      </c>
      <c r="V362" t="s">
        <v>1684</v>
      </c>
      <c r="W362" t="s">
        <v>1495</v>
      </c>
    </row>
    <row r="363" spans="1:23" x14ac:dyDescent="0.35">
      <c r="A363">
        <v>123</v>
      </c>
      <c r="B363">
        <v>2126</v>
      </c>
      <c r="C363">
        <v>2126</v>
      </c>
      <c r="D363" t="s">
        <v>21</v>
      </c>
      <c r="E363" t="s">
        <v>90</v>
      </c>
      <c r="F363" t="s">
        <v>251</v>
      </c>
      <c r="G363" t="s">
        <v>407</v>
      </c>
      <c r="H363">
        <v>3</v>
      </c>
      <c r="I363" t="s">
        <v>418</v>
      </c>
      <c r="J363" t="s">
        <v>448</v>
      </c>
      <c r="K363" t="s">
        <v>474</v>
      </c>
      <c r="L363" t="s">
        <v>852</v>
      </c>
      <c r="M363">
        <v>2118</v>
      </c>
      <c r="N363" t="s">
        <v>1215</v>
      </c>
      <c r="O363" t="s">
        <v>21</v>
      </c>
      <c r="P363" t="s">
        <v>21</v>
      </c>
      <c r="Q363" t="s">
        <v>21</v>
      </c>
      <c r="R363" t="s">
        <v>1259</v>
      </c>
      <c r="S363" t="s">
        <v>1259</v>
      </c>
      <c r="T363" t="s">
        <v>1337</v>
      </c>
      <c r="U363" t="s">
        <v>1347</v>
      </c>
      <c r="V363" t="s">
        <v>1685</v>
      </c>
      <c r="W363" t="s">
        <v>1496</v>
      </c>
    </row>
    <row r="364" spans="1:23" x14ac:dyDescent="0.35">
      <c r="A364">
        <v>124</v>
      </c>
      <c r="B364">
        <v>2126</v>
      </c>
      <c r="C364">
        <v>2126</v>
      </c>
      <c r="D364" t="s">
        <v>21</v>
      </c>
      <c r="E364" t="s">
        <v>90</v>
      </c>
      <c r="F364" t="s">
        <v>251</v>
      </c>
      <c r="G364" t="s">
        <v>407</v>
      </c>
      <c r="H364">
        <v>3</v>
      </c>
      <c r="I364" t="s">
        <v>430</v>
      </c>
      <c r="J364" t="s">
        <v>448</v>
      </c>
      <c r="K364" t="s">
        <v>474</v>
      </c>
      <c r="L364" t="s">
        <v>853</v>
      </c>
      <c r="M364">
        <v>2118</v>
      </c>
      <c r="N364" t="s">
        <v>1215</v>
      </c>
      <c r="O364" t="s">
        <v>21</v>
      </c>
      <c r="P364" t="s">
        <v>21</v>
      </c>
      <c r="Q364" t="s">
        <v>21</v>
      </c>
      <c r="R364" t="s">
        <v>1283</v>
      </c>
      <c r="S364" t="s">
        <v>1283</v>
      </c>
      <c r="T364" t="s">
        <v>1295</v>
      </c>
      <c r="U364" t="s">
        <v>1347</v>
      </c>
      <c r="V364" t="s">
        <v>1686</v>
      </c>
      <c r="W364" t="s">
        <v>1492</v>
      </c>
    </row>
    <row r="365" spans="1:23" x14ac:dyDescent="0.35">
      <c r="A365">
        <v>125</v>
      </c>
      <c r="B365">
        <v>2126</v>
      </c>
      <c r="C365">
        <v>2126</v>
      </c>
      <c r="D365" t="s">
        <v>21</v>
      </c>
      <c r="E365" t="s">
        <v>91</v>
      </c>
      <c r="F365" t="s">
        <v>251</v>
      </c>
      <c r="G365" t="s">
        <v>407</v>
      </c>
      <c r="H365">
        <v>2</v>
      </c>
      <c r="I365" t="s">
        <v>423</v>
      </c>
      <c r="J365" t="s">
        <v>434</v>
      </c>
      <c r="K365" t="s">
        <v>470</v>
      </c>
      <c r="L365" t="s">
        <v>854</v>
      </c>
      <c r="M365">
        <v>2119</v>
      </c>
      <c r="N365" t="s">
        <v>1211</v>
      </c>
      <c r="O365" t="s">
        <v>21</v>
      </c>
      <c r="P365" t="s">
        <v>21</v>
      </c>
      <c r="Q365" t="s">
        <v>21</v>
      </c>
      <c r="R365" t="s">
        <v>1268</v>
      </c>
      <c r="S365" t="s">
        <v>1268</v>
      </c>
      <c r="T365" t="s">
        <v>1336</v>
      </c>
      <c r="U365" t="s">
        <v>1347</v>
      </c>
      <c r="V365" t="s">
        <v>1683</v>
      </c>
      <c r="W365" t="s">
        <v>1491</v>
      </c>
    </row>
    <row r="366" spans="1:23" x14ac:dyDescent="0.35">
      <c r="A366">
        <v>126</v>
      </c>
      <c r="B366">
        <v>2126</v>
      </c>
      <c r="C366">
        <v>2126</v>
      </c>
      <c r="D366" t="s">
        <v>21</v>
      </c>
      <c r="E366" t="s">
        <v>92</v>
      </c>
      <c r="F366" t="s">
        <v>251</v>
      </c>
      <c r="G366" t="s">
        <v>407</v>
      </c>
      <c r="H366">
        <v>3</v>
      </c>
      <c r="I366" t="s">
        <v>420</v>
      </c>
      <c r="J366" t="s">
        <v>450</v>
      </c>
      <c r="K366" t="s">
        <v>476</v>
      </c>
      <c r="L366" t="s">
        <v>855</v>
      </c>
      <c r="M366">
        <v>2117</v>
      </c>
      <c r="N366" t="s">
        <v>1217</v>
      </c>
      <c r="O366" t="s">
        <v>21</v>
      </c>
      <c r="P366" t="s">
        <v>21</v>
      </c>
      <c r="Q366" t="s">
        <v>21</v>
      </c>
      <c r="R366" t="s">
        <v>1278</v>
      </c>
      <c r="S366" t="s">
        <v>1278</v>
      </c>
      <c r="T366" t="s">
        <v>1278</v>
      </c>
      <c r="U366" t="s">
        <v>1347</v>
      </c>
      <c r="V366" t="s">
        <v>1687</v>
      </c>
      <c r="W366" t="s">
        <v>1437</v>
      </c>
    </row>
    <row r="367" spans="1:23" x14ac:dyDescent="0.35">
      <c r="A367">
        <v>127</v>
      </c>
      <c r="B367">
        <v>2127</v>
      </c>
      <c r="C367">
        <v>2127</v>
      </c>
      <c r="D367" t="s">
        <v>21</v>
      </c>
      <c r="E367" t="s">
        <v>93</v>
      </c>
      <c r="F367" t="s">
        <v>251</v>
      </c>
      <c r="G367" t="s">
        <v>407</v>
      </c>
      <c r="H367">
        <v>2</v>
      </c>
      <c r="I367" t="s">
        <v>423</v>
      </c>
      <c r="J367" t="s">
        <v>436</v>
      </c>
      <c r="K367" t="s">
        <v>480</v>
      </c>
      <c r="L367" t="s">
        <v>856</v>
      </c>
      <c r="M367">
        <v>2121</v>
      </c>
      <c r="N367" t="s">
        <v>1223</v>
      </c>
      <c r="O367" t="s">
        <v>21</v>
      </c>
      <c r="P367" t="s">
        <v>21</v>
      </c>
      <c r="Q367" t="s">
        <v>21</v>
      </c>
      <c r="R367" t="s">
        <v>1268</v>
      </c>
      <c r="S367" t="s">
        <v>1268</v>
      </c>
      <c r="T367" t="s">
        <v>1336</v>
      </c>
      <c r="U367" t="s">
        <v>1347</v>
      </c>
      <c r="V367" t="s">
        <v>1600</v>
      </c>
      <c r="W367" t="s">
        <v>1439</v>
      </c>
    </row>
    <row r="368" spans="1:23" x14ac:dyDescent="0.35">
      <c r="A368">
        <v>128</v>
      </c>
      <c r="B368">
        <v>2127</v>
      </c>
      <c r="C368">
        <v>2127</v>
      </c>
      <c r="D368" t="s">
        <v>21</v>
      </c>
      <c r="E368" t="s">
        <v>94</v>
      </c>
      <c r="F368" t="s">
        <v>251</v>
      </c>
      <c r="G368" t="s">
        <v>407</v>
      </c>
      <c r="H368">
        <v>4</v>
      </c>
      <c r="I368" t="s">
        <v>420</v>
      </c>
      <c r="J368" t="s">
        <v>435</v>
      </c>
      <c r="K368" t="s">
        <v>477</v>
      </c>
      <c r="L368" t="s">
        <v>857</v>
      </c>
      <c r="M368">
        <v>2120</v>
      </c>
      <c r="N368" t="s">
        <v>1224</v>
      </c>
      <c r="O368" t="s">
        <v>21</v>
      </c>
      <c r="P368" t="s">
        <v>21</v>
      </c>
      <c r="Q368" t="s">
        <v>21</v>
      </c>
      <c r="R368" t="s">
        <v>1267</v>
      </c>
      <c r="S368" t="s">
        <v>1267</v>
      </c>
      <c r="T368" t="s">
        <v>1295</v>
      </c>
      <c r="U368" t="s">
        <v>1347</v>
      </c>
      <c r="V368" t="s">
        <v>1688</v>
      </c>
      <c r="W368" t="s">
        <v>1497</v>
      </c>
    </row>
    <row r="369" spans="1:23" x14ac:dyDescent="0.35">
      <c r="A369">
        <v>129</v>
      </c>
      <c r="B369">
        <v>2127</v>
      </c>
      <c r="C369">
        <v>2127</v>
      </c>
      <c r="D369" t="s">
        <v>21</v>
      </c>
      <c r="E369" t="s">
        <v>94</v>
      </c>
      <c r="F369" t="s">
        <v>251</v>
      </c>
      <c r="G369" t="s">
        <v>407</v>
      </c>
      <c r="H369">
        <v>2</v>
      </c>
      <c r="I369" t="s">
        <v>420</v>
      </c>
      <c r="J369" t="s">
        <v>434</v>
      </c>
      <c r="K369" t="s">
        <v>470</v>
      </c>
      <c r="L369" t="s">
        <v>858</v>
      </c>
      <c r="M369">
        <v>2120</v>
      </c>
      <c r="N369" t="s">
        <v>1211</v>
      </c>
      <c r="O369" t="s">
        <v>21</v>
      </c>
      <c r="P369" t="s">
        <v>21</v>
      </c>
      <c r="Q369" t="s">
        <v>21</v>
      </c>
      <c r="R369" t="s">
        <v>1277</v>
      </c>
      <c r="S369" t="s">
        <v>1277</v>
      </c>
      <c r="T369" t="s">
        <v>1295</v>
      </c>
      <c r="U369" t="s">
        <v>1347</v>
      </c>
      <c r="V369" t="s">
        <v>1688</v>
      </c>
      <c r="W369" t="s">
        <v>1497</v>
      </c>
    </row>
    <row r="370" spans="1:23" x14ac:dyDescent="0.35">
      <c r="A370">
        <v>130</v>
      </c>
      <c r="B370">
        <v>2127</v>
      </c>
      <c r="C370">
        <v>2127</v>
      </c>
      <c r="D370" t="s">
        <v>21</v>
      </c>
      <c r="E370" t="s">
        <v>27</v>
      </c>
      <c r="F370" t="s">
        <v>251</v>
      </c>
      <c r="G370" t="s">
        <v>407</v>
      </c>
      <c r="H370">
        <v>3</v>
      </c>
      <c r="I370" t="s">
        <v>420</v>
      </c>
      <c r="J370" t="s">
        <v>448</v>
      </c>
      <c r="K370" t="s">
        <v>473</v>
      </c>
      <c r="L370" t="s">
        <v>859</v>
      </c>
      <c r="M370">
        <v>2119</v>
      </c>
      <c r="N370" t="s">
        <v>1214</v>
      </c>
      <c r="O370" t="s">
        <v>21</v>
      </c>
      <c r="P370" t="s">
        <v>21</v>
      </c>
      <c r="Q370" t="s">
        <v>21</v>
      </c>
      <c r="R370" t="s">
        <v>1261</v>
      </c>
      <c r="S370" t="s">
        <v>1261</v>
      </c>
      <c r="T370" t="s">
        <v>410</v>
      </c>
      <c r="U370" t="s">
        <v>1347</v>
      </c>
      <c r="V370" t="s">
        <v>1689</v>
      </c>
      <c r="W370" t="s">
        <v>1498</v>
      </c>
    </row>
    <row r="371" spans="1:23" x14ac:dyDescent="0.35">
      <c r="A371">
        <v>131</v>
      </c>
      <c r="B371">
        <v>2127</v>
      </c>
      <c r="C371">
        <v>2127</v>
      </c>
      <c r="D371" t="s">
        <v>21</v>
      </c>
      <c r="E371" t="s">
        <v>27</v>
      </c>
      <c r="F371" t="s">
        <v>251</v>
      </c>
      <c r="G371" t="s">
        <v>407</v>
      </c>
      <c r="H371">
        <v>3</v>
      </c>
      <c r="I371" t="s">
        <v>423</v>
      </c>
      <c r="J371" t="s">
        <v>448</v>
      </c>
      <c r="K371" t="s">
        <v>473</v>
      </c>
      <c r="L371" t="s">
        <v>860</v>
      </c>
      <c r="M371">
        <v>2117</v>
      </c>
      <c r="N371" t="s">
        <v>1214</v>
      </c>
      <c r="O371" t="s">
        <v>21</v>
      </c>
      <c r="P371" t="s">
        <v>21</v>
      </c>
      <c r="Q371" t="s">
        <v>21</v>
      </c>
      <c r="R371" t="s">
        <v>1268</v>
      </c>
      <c r="S371" t="s">
        <v>1268</v>
      </c>
      <c r="T371" t="s">
        <v>1336</v>
      </c>
      <c r="U371" t="s">
        <v>1347</v>
      </c>
      <c r="V371" t="s">
        <v>1600</v>
      </c>
      <c r="W371" t="s">
        <v>1439</v>
      </c>
    </row>
    <row r="372" spans="1:23" x14ac:dyDescent="0.35">
      <c r="A372">
        <v>132</v>
      </c>
      <c r="B372">
        <v>2127</v>
      </c>
      <c r="C372">
        <v>2127</v>
      </c>
      <c r="D372" t="s">
        <v>21</v>
      </c>
      <c r="E372" t="s">
        <v>27</v>
      </c>
      <c r="F372" t="s">
        <v>251</v>
      </c>
      <c r="G372" t="s">
        <v>407</v>
      </c>
      <c r="H372">
        <v>4</v>
      </c>
      <c r="I372" t="s">
        <v>418</v>
      </c>
      <c r="J372" t="s">
        <v>435</v>
      </c>
      <c r="K372" t="s">
        <v>472</v>
      </c>
      <c r="L372" t="s">
        <v>861</v>
      </c>
      <c r="M372">
        <v>2118</v>
      </c>
      <c r="N372" t="s">
        <v>1221</v>
      </c>
      <c r="O372" t="s">
        <v>21</v>
      </c>
      <c r="P372" t="s">
        <v>21</v>
      </c>
      <c r="Q372" t="s">
        <v>21</v>
      </c>
      <c r="R372" t="s">
        <v>1259</v>
      </c>
      <c r="S372" t="s">
        <v>1259</v>
      </c>
      <c r="T372" t="s">
        <v>1337</v>
      </c>
      <c r="U372" t="s">
        <v>1347</v>
      </c>
      <c r="V372" t="s">
        <v>1690</v>
      </c>
      <c r="W372" t="s">
        <v>1499</v>
      </c>
    </row>
    <row r="373" spans="1:23" x14ac:dyDescent="0.35">
      <c r="A373">
        <v>133</v>
      </c>
      <c r="B373">
        <v>2128</v>
      </c>
      <c r="C373">
        <v>2128</v>
      </c>
      <c r="D373" t="s">
        <v>21</v>
      </c>
      <c r="E373" t="s">
        <v>95</v>
      </c>
      <c r="F373" t="s">
        <v>251</v>
      </c>
      <c r="G373" t="s">
        <v>407</v>
      </c>
      <c r="H373">
        <v>4</v>
      </c>
      <c r="I373" t="s">
        <v>423</v>
      </c>
      <c r="J373" t="s">
        <v>435</v>
      </c>
      <c r="K373" t="s">
        <v>472</v>
      </c>
      <c r="L373" t="s">
        <v>862</v>
      </c>
      <c r="M373">
        <v>2118</v>
      </c>
      <c r="N373" t="s">
        <v>1221</v>
      </c>
      <c r="O373" t="s">
        <v>21</v>
      </c>
      <c r="P373" t="s">
        <v>21</v>
      </c>
      <c r="Q373" t="s">
        <v>21</v>
      </c>
      <c r="R373" t="s">
        <v>1268</v>
      </c>
      <c r="S373" t="s">
        <v>1268</v>
      </c>
      <c r="T373" t="s">
        <v>1336</v>
      </c>
      <c r="U373" t="s">
        <v>1347</v>
      </c>
      <c r="V373" t="s">
        <v>1691</v>
      </c>
      <c r="W373" t="s">
        <v>1439</v>
      </c>
    </row>
    <row r="374" spans="1:23" x14ac:dyDescent="0.35">
      <c r="A374">
        <v>134</v>
      </c>
      <c r="B374">
        <v>2128</v>
      </c>
      <c r="C374">
        <v>2128</v>
      </c>
      <c r="D374" t="s">
        <v>21</v>
      </c>
      <c r="E374" t="s">
        <v>96</v>
      </c>
      <c r="F374" t="s">
        <v>251</v>
      </c>
      <c r="G374" t="s">
        <v>407</v>
      </c>
      <c r="H374">
        <v>3</v>
      </c>
      <c r="I374" t="s">
        <v>418</v>
      </c>
      <c r="J374" t="s">
        <v>434</v>
      </c>
      <c r="K374" t="s">
        <v>470</v>
      </c>
      <c r="L374" t="s">
        <v>863</v>
      </c>
      <c r="M374">
        <v>2121</v>
      </c>
      <c r="N374" t="s">
        <v>1211</v>
      </c>
      <c r="O374" t="s">
        <v>21</v>
      </c>
      <c r="P374" t="s">
        <v>21</v>
      </c>
      <c r="Q374" t="s">
        <v>21</v>
      </c>
      <c r="R374" t="s">
        <v>1261</v>
      </c>
      <c r="S374" t="s">
        <v>1261</v>
      </c>
      <c r="T374" t="s">
        <v>410</v>
      </c>
      <c r="U374" t="s">
        <v>1347</v>
      </c>
      <c r="V374" t="s">
        <v>1692</v>
      </c>
      <c r="W374" t="s">
        <v>1498</v>
      </c>
    </row>
    <row r="375" spans="1:23" x14ac:dyDescent="0.35">
      <c r="A375">
        <v>135</v>
      </c>
      <c r="B375">
        <v>2128</v>
      </c>
      <c r="C375">
        <v>2128</v>
      </c>
      <c r="D375" t="s">
        <v>21</v>
      </c>
      <c r="E375" t="s">
        <v>97</v>
      </c>
      <c r="F375" t="s">
        <v>251</v>
      </c>
      <c r="G375" t="s">
        <v>407</v>
      </c>
      <c r="H375">
        <v>3</v>
      </c>
      <c r="I375" t="s">
        <v>418</v>
      </c>
      <c r="J375" t="s">
        <v>434</v>
      </c>
      <c r="K375" t="s">
        <v>470</v>
      </c>
      <c r="L375" t="s">
        <v>864</v>
      </c>
      <c r="M375">
        <v>2120</v>
      </c>
      <c r="N375" t="s">
        <v>1211</v>
      </c>
      <c r="O375" t="s">
        <v>21</v>
      </c>
      <c r="P375" t="s">
        <v>21</v>
      </c>
      <c r="Q375" t="s">
        <v>21</v>
      </c>
      <c r="R375" t="s">
        <v>1261</v>
      </c>
      <c r="S375" t="s">
        <v>1261</v>
      </c>
      <c r="T375" t="s">
        <v>410</v>
      </c>
      <c r="U375" t="s">
        <v>1347</v>
      </c>
      <c r="V375" t="s">
        <v>1692</v>
      </c>
      <c r="W375" t="s">
        <v>1498</v>
      </c>
    </row>
    <row r="376" spans="1:23" x14ac:dyDescent="0.35">
      <c r="A376">
        <v>136</v>
      </c>
      <c r="B376">
        <v>2128</v>
      </c>
      <c r="C376">
        <v>2128</v>
      </c>
      <c r="D376" t="s">
        <v>21</v>
      </c>
      <c r="E376" t="s">
        <v>98</v>
      </c>
      <c r="F376" t="s">
        <v>251</v>
      </c>
      <c r="G376" t="s">
        <v>407</v>
      </c>
      <c r="H376">
        <v>2</v>
      </c>
      <c r="I376" t="s">
        <v>423</v>
      </c>
      <c r="J376" t="s">
        <v>448</v>
      </c>
      <c r="K376" t="s">
        <v>473</v>
      </c>
      <c r="L376" t="s">
        <v>865</v>
      </c>
      <c r="M376">
        <v>2121</v>
      </c>
      <c r="N376" t="s">
        <v>1214</v>
      </c>
      <c r="O376" t="s">
        <v>21</v>
      </c>
      <c r="P376" t="s">
        <v>21</v>
      </c>
      <c r="Q376" t="s">
        <v>21</v>
      </c>
      <c r="R376" t="s">
        <v>1268</v>
      </c>
      <c r="S376" t="s">
        <v>1268</v>
      </c>
      <c r="T376" t="s">
        <v>1336</v>
      </c>
      <c r="U376" t="s">
        <v>1347</v>
      </c>
      <c r="V376" t="s">
        <v>1691</v>
      </c>
      <c r="W376" t="s">
        <v>1439</v>
      </c>
    </row>
    <row r="377" spans="1:23" x14ac:dyDescent="0.35">
      <c r="A377">
        <v>137</v>
      </c>
      <c r="B377">
        <v>2128</v>
      </c>
      <c r="C377">
        <v>2128</v>
      </c>
      <c r="D377" t="s">
        <v>21</v>
      </c>
      <c r="E377" t="s">
        <v>98</v>
      </c>
      <c r="F377" t="s">
        <v>251</v>
      </c>
      <c r="G377" t="s">
        <v>407</v>
      </c>
      <c r="H377">
        <v>2</v>
      </c>
      <c r="I377" t="s">
        <v>423</v>
      </c>
      <c r="J377" t="s">
        <v>442</v>
      </c>
      <c r="K377" t="s">
        <v>471</v>
      </c>
      <c r="L377" t="s">
        <v>866</v>
      </c>
      <c r="M377">
        <v>2121</v>
      </c>
      <c r="N377" t="s">
        <v>1212</v>
      </c>
      <c r="O377" t="s">
        <v>21</v>
      </c>
      <c r="P377" t="s">
        <v>21</v>
      </c>
      <c r="Q377" t="s">
        <v>21</v>
      </c>
      <c r="R377" t="s">
        <v>1268</v>
      </c>
      <c r="S377" t="s">
        <v>1268</v>
      </c>
      <c r="T377" t="s">
        <v>1336</v>
      </c>
      <c r="U377" t="s">
        <v>1348</v>
      </c>
      <c r="V377" t="s">
        <v>1693</v>
      </c>
      <c r="W377" t="s">
        <v>1500</v>
      </c>
    </row>
    <row r="378" spans="1:23" x14ac:dyDescent="0.35">
      <c r="A378">
        <v>138</v>
      </c>
      <c r="B378">
        <v>2128</v>
      </c>
      <c r="C378">
        <v>2128</v>
      </c>
      <c r="D378" t="s">
        <v>21</v>
      </c>
      <c r="E378" t="s">
        <v>98</v>
      </c>
      <c r="F378" t="s">
        <v>251</v>
      </c>
      <c r="G378" t="s">
        <v>407</v>
      </c>
      <c r="H378">
        <v>2</v>
      </c>
      <c r="I378" t="s">
        <v>420</v>
      </c>
      <c r="J378" t="s">
        <v>444</v>
      </c>
      <c r="K378" t="s">
        <v>464</v>
      </c>
      <c r="L378" t="s">
        <v>867</v>
      </c>
      <c r="M378">
        <v>2117</v>
      </c>
      <c r="N378" t="s">
        <v>1202</v>
      </c>
      <c r="O378" t="s">
        <v>21</v>
      </c>
      <c r="P378" t="s">
        <v>21</v>
      </c>
      <c r="Q378" t="s">
        <v>21</v>
      </c>
      <c r="R378" t="s">
        <v>1267</v>
      </c>
      <c r="S378" t="s">
        <v>1267</v>
      </c>
      <c r="T378" t="s">
        <v>1295</v>
      </c>
      <c r="U378" t="s">
        <v>1348</v>
      </c>
      <c r="V378" t="s">
        <v>1694</v>
      </c>
      <c r="W378" t="s">
        <v>1501</v>
      </c>
    </row>
    <row r="379" spans="1:23" x14ac:dyDescent="0.35">
      <c r="A379">
        <v>139</v>
      </c>
      <c r="B379">
        <v>2128</v>
      </c>
      <c r="C379">
        <v>2128</v>
      </c>
      <c r="D379" t="s">
        <v>21</v>
      </c>
      <c r="E379" t="s">
        <v>99</v>
      </c>
      <c r="F379" t="s">
        <v>251</v>
      </c>
      <c r="G379" t="s">
        <v>407</v>
      </c>
      <c r="H379">
        <v>3</v>
      </c>
      <c r="I379" t="s">
        <v>423</v>
      </c>
      <c r="J379" t="s">
        <v>442</v>
      </c>
      <c r="K379" t="s">
        <v>471</v>
      </c>
      <c r="L379" t="s">
        <v>868</v>
      </c>
      <c r="M379">
        <v>2120</v>
      </c>
      <c r="N379" t="s">
        <v>1212</v>
      </c>
      <c r="O379" t="s">
        <v>21</v>
      </c>
      <c r="P379" t="s">
        <v>21</v>
      </c>
      <c r="Q379" t="s">
        <v>21</v>
      </c>
      <c r="R379" t="s">
        <v>1268</v>
      </c>
      <c r="S379" t="s">
        <v>1268</v>
      </c>
      <c r="T379" t="s">
        <v>1336</v>
      </c>
      <c r="U379" t="s">
        <v>1348</v>
      </c>
      <c r="V379" t="s">
        <v>1693</v>
      </c>
      <c r="W379" t="s">
        <v>1500</v>
      </c>
    </row>
    <row r="380" spans="1:23" x14ac:dyDescent="0.35">
      <c r="A380">
        <v>140</v>
      </c>
      <c r="B380">
        <v>2128</v>
      </c>
      <c r="C380">
        <v>2128</v>
      </c>
      <c r="D380" t="s">
        <v>21</v>
      </c>
      <c r="E380" t="s">
        <v>99</v>
      </c>
      <c r="F380" t="s">
        <v>251</v>
      </c>
      <c r="G380" t="s">
        <v>407</v>
      </c>
      <c r="H380">
        <v>3</v>
      </c>
      <c r="I380" t="s">
        <v>420</v>
      </c>
      <c r="J380" t="s">
        <v>442</v>
      </c>
      <c r="K380" t="s">
        <v>471</v>
      </c>
      <c r="L380" t="s">
        <v>869</v>
      </c>
      <c r="M380">
        <v>2118</v>
      </c>
      <c r="N380" t="s">
        <v>1212</v>
      </c>
      <c r="O380" t="s">
        <v>21</v>
      </c>
      <c r="P380" t="s">
        <v>21</v>
      </c>
      <c r="Q380" t="s">
        <v>21</v>
      </c>
      <c r="R380" t="s">
        <v>1279</v>
      </c>
      <c r="S380" t="s">
        <v>1279</v>
      </c>
      <c r="T380" t="s">
        <v>1295</v>
      </c>
      <c r="U380" t="s">
        <v>1348</v>
      </c>
      <c r="V380" t="s">
        <v>1694</v>
      </c>
      <c r="W380" t="s">
        <v>1501</v>
      </c>
    </row>
    <row r="381" spans="1:23" x14ac:dyDescent="0.35">
      <c r="A381">
        <v>141</v>
      </c>
      <c r="B381">
        <v>2129</v>
      </c>
      <c r="C381">
        <v>2129</v>
      </c>
      <c r="D381" t="s">
        <v>21</v>
      </c>
      <c r="E381" t="s">
        <v>28</v>
      </c>
      <c r="F381" t="s">
        <v>251</v>
      </c>
      <c r="G381" t="s">
        <v>407</v>
      </c>
      <c r="H381">
        <v>2</v>
      </c>
      <c r="I381" t="s">
        <v>422</v>
      </c>
      <c r="J381" t="s">
        <v>442</v>
      </c>
      <c r="K381" t="s">
        <v>471</v>
      </c>
      <c r="L381" t="s">
        <v>870</v>
      </c>
      <c r="M381">
        <v>2120</v>
      </c>
      <c r="N381" t="s">
        <v>1212</v>
      </c>
      <c r="O381" t="s">
        <v>21</v>
      </c>
      <c r="P381" t="s">
        <v>21</v>
      </c>
      <c r="Q381" t="s">
        <v>21</v>
      </c>
      <c r="R381" t="s">
        <v>1267</v>
      </c>
      <c r="S381" t="s">
        <v>1267</v>
      </c>
      <c r="T381" t="s">
        <v>1295</v>
      </c>
      <c r="U381" t="s">
        <v>1348</v>
      </c>
      <c r="V381" t="s">
        <v>1695</v>
      </c>
      <c r="W381" t="s">
        <v>1501</v>
      </c>
    </row>
    <row r="382" spans="1:23" x14ac:dyDescent="0.35">
      <c r="A382">
        <v>142</v>
      </c>
      <c r="B382">
        <v>2129</v>
      </c>
      <c r="C382">
        <v>2129</v>
      </c>
      <c r="D382" t="s">
        <v>21</v>
      </c>
      <c r="E382" t="s">
        <v>100</v>
      </c>
      <c r="F382" t="s">
        <v>251</v>
      </c>
      <c r="G382" t="s">
        <v>407</v>
      </c>
      <c r="H382">
        <v>3</v>
      </c>
      <c r="I382" t="s">
        <v>418</v>
      </c>
      <c r="J382" t="s">
        <v>448</v>
      </c>
      <c r="K382" t="s">
        <v>473</v>
      </c>
      <c r="L382" t="s">
        <v>871</v>
      </c>
      <c r="M382">
        <v>2121</v>
      </c>
      <c r="N382" t="s">
        <v>1214</v>
      </c>
      <c r="O382" t="s">
        <v>21</v>
      </c>
      <c r="P382" t="s">
        <v>21</v>
      </c>
      <c r="Q382" t="s">
        <v>21</v>
      </c>
      <c r="R382" t="s">
        <v>1261</v>
      </c>
      <c r="S382" t="s">
        <v>1261</v>
      </c>
      <c r="T382" t="s">
        <v>410</v>
      </c>
      <c r="U382" t="s">
        <v>1347</v>
      </c>
      <c r="V382" t="s">
        <v>1696</v>
      </c>
      <c r="W382" t="s">
        <v>1498</v>
      </c>
    </row>
    <row r="383" spans="1:23" x14ac:dyDescent="0.35">
      <c r="A383">
        <v>143</v>
      </c>
      <c r="B383">
        <v>2129</v>
      </c>
      <c r="C383">
        <v>2129</v>
      </c>
      <c r="D383" t="s">
        <v>21</v>
      </c>
      <c r="E383" t="s">
        <v>100</v>
      </c>
      <c r="F383" t="s">
        <v>251</v>
      </c>
      <c r="G383" t="s">
        <v>407</v>
      </c>
      <c r="H383">
        <v>2</v>
      </c>
      <c r="I383" t="s">
        <v>421</v>
      </c>
      <c r="J383" t="s">
        <v>434</v>
      </c>
      <c r="K383" t="s">
        <v>470</v>
      </c>
      <c r="L383" t="s">
        <v>872</v>
      </c>
      <c r="M383">
        <v>2122</v>
      </c>
      <c r="N383" t="s">
        <v>1211</v>
      </c>
      <c r="O383" t="s">
        <v>21</v>
      </c>
      <c r="P383" t="s">
        <v>21</v>
      </c>
      <c r="Q383" t="s">
        <v>21</v>
      </c>
      <c r="R383" t="s">
        <v>1289</v>
      </c>
      <c r="S383" t="s">
        <v>1289</v>
      </c>
      <c r="T383" t="s">
        <v>1342</v>
      </c>
      <c r="U383" t="s">
        <v>1347</v>
      </c>
      <c r="V383" t="s">
        <v>1697</v>
      </c>
      <c r="W383" t="s">
        <v>1502</v>
      </c>
    </row>
    <row r="384" spans="1:23" x14ac:dyDescent="0.35">
      <c r="A384">
        <v>144</v>
      </c>
      <c r="B384">
        <v>2129</v>
      </c>
      <c r="C384">
        <v>2129</v>
      </c>
      <c r="D384" t="s">
        <v>21</v>
      </c>
      <c r="E384" t="s">
        <v>101</v>
      </c>
      <c r="F384" t="s">
        <v>251</v>
      </c>
      <c r="G384" t="s">
        <v>407</v>
      </c>
      <c r="H384">
        <v>2</v>
      </c>
      <c r="I384" t="s">
        <v>418</v>
      </c>
      <c r="J384" t="s">
        <v>434</v>
      </c>
      <c r="K384" t="s">
        <v>470</v>
      </c>
      <c r="L384" t="s">
        <v>873</v>
      </c>
      <c r="M384">
        <v>2122</v>
      </c>
      <c r="N384" t="s">
        <v>1211</v>
      </c>
      <c r="O384" t="s">
        <v>21</v>
      </c>
      <c r="P384" t="s">
        <v>21</v>
      </c>
      <c r="Q384" t="s">
        <v>21</v>
      </c>
      <c r="R384" t="s">
        <v>1259</v>
      </c>
      <c r="S384" t="s">
        <v>1259</v>
      </c>
      <c r="T384" t="s">
        <v>1337</v>
      </c>
      <c r="U384" t="s">
        <v>1347</v>
      </c>
      <c r="V384" t="s">
        <v>1698</v>
      </c>
      <c r="W384" t="s">
        <v>1499</v>
      </c>
    </row>
    <row r="385" spans="1:23" x14ac:dyDescent="0.35">
      <c r="A385">
        <v>145</v>
      </c>
      <c r="B385">
        <v>2129</v>
      </c>
      <c r="C385">
        <v>2129</v>
      </c>
      <c r="D385" t="s">
        <v>21</v>
      </c>
      <c r="E385" t="s">
        <v>101</v>
      </c>
      <c r="F385" t="s">
        <v>251</v>
      </c>
      <c r="G385" t="s">
        <v>407</v>
      </c>
      <c r="H385">
        <v>2</v>
      </c>
      <c r="I385" t="s">
        <v>421</v>
      </c>
      <c r="J385" t="s">
        <v>434</v>
      </c>
      <c r="K385" t="s">
        <v>470</v>
      </c>
      <c r="L385" t="s">
        <v>874</v>
      </c>
      <c r="M385">
        <v>2121</v>
      </c>
      <c r="N385" t="s">
        <v>1211</v>
      </c>
      <c r="O385" t="s">
        <v>21</v>
      </c>
      <c r="P385" t="s">
        <v>21</v>
      </c>
      <c r="Q385" t="s">
        <v>21</v>
      </c>
      <c r="R385" t="s">
        <v>1289</v>
      </c>
      <c r="S385" t="s">
        <v>1289</v>
      </c>
      <c r="T385" t="s">
        <v>1342</v>
      </c>
      <c r="U385" t="s">
        <v>1347</v>
      </c>
      <c r="V385" t="s">
        <v>1697</v>
      </c>
      <c r="W385" t="s">
        <v>1502</v>
      </c>
    </row>
    <row r="386" spans="1:23" x14ac:dyDescent="0.35">
      <c r="A386">
        <v>146</v>
      </c>
      <c r="B386">
        <v>2129</v>
      </c>
      <c r="C386">
        <v>2129</v>
      </c>
      <c r="D386" t="s">
        <v>21</v>
      </c>
      <c r="E386" t="s">
        <v>102</v>
      </c>
      <c r="F386" t="s">
        <v>251</v>
      </c>
      <c r="G386" t="s">
        <v>407</v>
      </c>
      <c r="H386">
        <v>3</v>
      </c>
      <c r="I386" t="s">
        <v>423</v>
      </c>
      <c r="J386" t="s">
        <v>449</v>
      </c>
      <c r="K386" t="s">
        <v>475</v>
      </c>
      <c r="L386" t="s">
        <v>875</v>
      </c>
      <c r="M386">
        <v>2121</v>
      </c>
      <c r="N386" t="s">
        <v>1225</v>
      </c>
      <c r="O386" t="s">
        <v>21</v>
      </c>
      <c r="P386" t="s">
        <v>21</v>
      </c>
      <c r="Q386" t="s">
        <v>21</v>
      </c>
      <c r="R386" t="s">
        <v>1268</v>
      </c>
      <c r="S386" t="s">
        <v>1268</v>
      </c>
      <c r="T386" t="s">
        <v>1336</v>
      </c>
      <c r="U386" t="s">
        <v>1347</v>
      </c>
      <c r="V386" t="s">
        <v>1608</v>
      </c>
      <c r="W386" t="s">
        <v>1439</v>
      </c>
    </row>
    <row r="387" spans="1:23" x14ac:dyDescent="0.35">
      <c r="A387">
        <v>147</v>
      </c>
      <c r="B387">
        <v>2129</v>
      </c>
      <c r="C387">
        <v>2129</v>
      </c>
      <c r="D387" t="s">
        <v>21</v>
      </c>
      <c r="E387" t="s">
        <v>102</v>
      </c>
      <c r="F387" t="s">
        <v>251</v>
      </c>
      <c r="G387" t="s">
        <v>407</v>
      </c>
      <c r="H387">
        <v>3</v>
      </c>
      <c r="I387" t="s">
        <v>422</v>
      </c>
      <c r="J387" t="s">
        <v>449</v>
      </c>
      <c r="K387" t="s">
        <v>475</v>
      </c>
      <c r="L387" t="s">
        <v>876</v>
      </c>
      <c r="M387">
        <v>2121</v>
      </c>
      <c r="N387" t="s">
        <v>1225</v>
      </c>
      <c r="O387" t="s">
        <v>21</v>
      </c>
      <c r="P387" t="s">
        <v>21</v>
      </c>
      <c r="Q387" t="s">
        <v>21</v>
      </c>
      <c r="R387" t="s">
        <v>1288</v>
      </c>
      <c r="S387" t="s">
        <v>1288</v>
      </c>
      <c r="T387" t="s">
        <v>1344</v>
      </c>
      <c r="U387" t="s">
        <v>1347</v>
      </c>
      <c r="V387" t="s">
        <v>1699</v>
      </c>
      <c r="W387" t="s">
        <v>1503</v>
      </c>
    </row>
    <row r="388" spans="1:23" x14ac:dyDescent="0.35">
      <c r="A388">
        <v>148</v>
      </c>
      <c r="B388">
        <v>2129</v>
      </c>
      <c r="C388">
        <v>2129</v>
      </c>
      <c r="D388" t="s">
        <v>21</v>
      </c>
      <c r="E388" t="s">
        <v>102</v>
      </c>
      <c r="F388" t="s">
        <v>251</v>
      </c>
      <c r="G388" t="s">
        <v>407</v>
      </c>
      <c r="H388">
        <v>2</v>
      </c>
      <c r="I388" t="s">
        <v>418</v>
      </c>
      <c r="J388" t="s">
        <v>434</v>
      </c>
      <c r="K388" t="s">
        <v>470</v>
      </c>
      <c r="L388" t="s">
        <v>877</v>
      </c>
      <c r="M388">
        <v>2122</v>
      </c>
      <c r="N388" t="s">
        <v>1211</v>
      </c>
      <c r="O388" t="s">
        <v>21</v>
      </c>
      <c r="P388" t="s">
        <v>21</v>
      </c>
      <c r="Q388" t="s">
        <v>21</v>
      </c>
      <c r="R388" t="s">
        <v>1277</v>
      </c>
      <c r="S388" t="s">
        <v>1277</v>
      </c>
      <c r="T388" t="s">
        <v>1295</v>
      </c>
      <c r="U388" t="s">
        <v>1347</v>
      </c>
      <c r="V388" t="s">
        <v>1700</v>
      </c>
      <c r="W388" t="s">
        <v>1497</v>
      </c>
    </row>
    <row r="389" spans="1:23" x14ac:dyDescent="0.35">
      <c r="A389">
        <v>149</v>
      </c>
      <c r="B389">
        <v>2129</v>
      </c>
      <c r="C389">
        <v>2129</v>
      </c>
      <c r="D389" t="s">
        <v>21</v>
      </c>
      <c r="E389" t="s">
        <v>103</v>
      </c>
      <c r="F389" t="s">
        <v>251</v>
      </c>
      <c r="G389" t="s">
        <v>407</v>
      </c>
      <c r="H389">
        <v>2</v>
      </c>
      <c r="I389" t="s">
        <v>423</v>
      </c>
      <c r="J389" t="s">
        <v>434</v>
      </c>
      <c r="K389" t="s">
        <v>470</v>
      </c>
      <c r="L389" t="s">
        <v>878</v>
      </c>
      <c r="M389">
        <v>2121</v>
      </c>
      <c r="N389" t="s">
        <v>1211</v>
      </c>
      <c r="O389" t="s">
        <v>21</v>
      </c>
      <c r="P389" t="s">
        <v>21</v>
      </c>
      <c r="Q389" t="s">
        <v>21</v>
      </c>
      <c r="R389" t="s">
        <v>1268</v>
      </c>
      <c r="S389" t="s">
        <v>1268</v>
      </c>
      <c r="T389" t="s">
        <v>1336</v>
      </c>
      <c r="U389" t="s">
        <v>1347</v>
      </c>
      <c r="V389" t="s">
        <v>1608</v>
      </c>
      <c r="W389" t="s">
        <v>1439</v>
      </c>
    </row>
    <row r="390" spans="1:23" x14ac:dyDescent="0.35">
      <c r="A390">
        <v>150</v>
      </c>
      <c r="B390">
        <v>2129</v>
      </c>
      <c r="C390">
        <v>2129</v>
      </c>
      <c r="D390" t="s">
        <v>21</v>
      </c>
      <c r="E390" t="s">
        <v>103</v>
      </c>
      <c r="F390" t="s">
        <v>251</v>
      </c>
      <c r="G390" t="s">
        <v>407</v>
      </c>
      <c r="H390">
        <v>4</v>
      </c>
      <c r="I390" t="s">
        <v>418</v>
      </c>
      <c r="J390" t="s">
        <v>434</v>
      </c>
      <c r="K390" t="s">
        <v>470</v>
      </c>
      <c r="L390" t="s">
        <v>879</v>
      </c>
      <c r="M390">
        <v>2122</v>
      </c>
      <c r="N390" t="s">
        <v>1211</v>
      </c>
      <c r="O390" t="s">
        <v>21</v>
      </c>
      <c r="P390" t="s">
        <v>21</v>
      </c>
      <c r="Q390" t="s">
        <v>21</v>
      </c>
      <c r="R390" t="s">
        <v>1277</v>
      </c>
      <c r="S390" t="s">
        <v>1277</v>
      </c>
      <c r="T390" t="s">
        <v>1295</v>
      </c>
      <c r="U390" t="s">
        <v>1347</v>
      </c>
      <c r="V390" t="s">
        <v>1700</v>
      </c>
      <c r="W390" t="s">
        <v>1497</v>
      </c>
    </row>
    <row r="391" spans="1:23" x14ac:dyDescent="0.35">
      <c r="A391">
        <v>151</v>
      </c>
      <c r="B391">
        <v>2129</v>
      </c>
      <c r="C391">
        <v>2129</v>
      </c>
      <c r="D391" t="s">
        <v>21</v>
      </c>
      <c r="E391" t="s">
        <v>103</v>
      </c>
      <c r="F391" t="s">
        <v>251</v>
      </c>
      <c r="G391" t="s">
        <v>407</v>
      </c>
      <c r="H391">
        <v>4</v>
      </c>
      <c r="I391" t="s">
        <v>423</v>
      </c>
      <c r="J391" t="s">
        <v>434</v>
      </c>
      <c r="K391" t="s">
        <v>470</v>
      </c>
      <c r="L391" t="s">
        <v>880</v>
      </c>
      <c r="M391">
        <v>2121</v>
      </c>
      <c r="N391" t="s">
        <v>1211</v>
      </c>
      <c r="O391" t="s">
        <v>21</v>
      </c>
      <c r="P391" t="s">
        <v>21</v>
      </c>
      <c r="Q391" t="s">
        <v>21</v>
      </c>
      <c r="R391" t="s">
        <v>1268</v>
      </c>
      <c r="S391" t="s">
        <v>1268</v>
      </c>
      <c r="T391" t="s">
        <v>1336</v>
      </c>
      <c r="U391" t="s">
        <v>1347</v>
      </c>
      <c r="V391" t="s">
        <v>1608</v>
      </c>
      <c r="W391" t="s">
        <v>1439</v>
      </c>
    </row>
    <row r="392" spans="1:23" x14ac:dyDescent="0.35">
      <c r="A392">
        <v>152</v>
      </c>
      <c r="B392">
        <v>2129</v>
      </c>
      <c r="C392">
        <v>2129</v>
      </c>
      <c r="D392" t="s">
        <v>21</v>
      </c>
      <c r="E392" t="s">
        <v>103</v>
      </c>
      <c r="F392" t="s">
        <v>251</v>
      </c>
      <c r="G392" t="s">
        <v>407</v>
      </c>
      <c r="H392">
        <v>2</v>
      </c>
      <c r="I392" t="s">
        <v>418</v>
      </c>
      <c r="J392" t="s">
        <v>434</v>
      </c>
      <c r="K392" t="s">
        <v>470</v>
      </c>
      <c r="L392" t="s">
        <v>881</v>
      </c>
      <c r="M392">
        <v>2122</v>
      </c>
      <c r="N392" t="s">
        <v>1211</v>
      </c>
      <c r="O392" t="s">
        <v>21</v>
      </c>
      <c r="P392" t="s">
        <v>21</v>
      </c>
      <c r="Q392" t="s">
        <v>21</v>
      </c>
      <c r="R392" t="s">
        <v>1264</v>
      </c>
      <c r="S392" t="s">
        <v>1264</v>
      </c>
      <c r="T392" t="s">
        <v>410</v>
      </c>
      <c r="U392" t="s">
        <v>1347</v>
      </c>
      <c r="V392" t="s">
        <v>1696</v>
      </c>
      <c r="W392" t="s">
        <v>1498</v>
      </c>
    </row>
    <row r="393" spans="1:23" x14ac:dyDescent="0.35">
      <c r="A393">
        <v>153</v>
      </c>
      <c r="B393">
        <v>2129</v>
      </c>
      <c r="C393">
        <v>2129</v>
      </c>
      <c r="D393" t="s">
        <v>21</v>
      </c>
      <c r="E393" t="s">
        <v>103</v>
      </c>
      <c r="F393" t="s">
        <v>251</v>
      </c>
      <c r="G393" t="s">
        <v>407</v>
      </c>
      <c r="H393">
        <v>2</v>
      </c>
      <c r="I393" t="s">
        <v>421</v>
      </c>
      <c r="J393" t="s">
        <v>434</v>
      </c>
      <c r="K393" t="s">
        <v>470</v>
      </c>
      <c r="L393" t="s">
        <v>882</v>
      </c>
      <c r="M393">
        <v>2123</v>
      </c>
      <c r="N393" t="s">
        <v>1211</v>
      </c>
      <c r="O393" t="s">
        <v>21</v>
      </c>
      <c r="P393" t="s">
        <v>21</v>
      </c>
      <c r="Q393" t="s">
        <v>21</v>
      </c>
      <c r="R393" t="s">
        <v>1289</v>
      </c>
      <c r="S393" t="s">
        <v>1289</v>
      </c>
      <c r="T393" t="s">
        <v>1342</v>
      </c>
      <c r="U393" t="s">
        <v>1347</v>
      </c>
      <c r="V393" t="s">
        <v>1697</v>
      </c>
      <c r="W393" t="s">
        <v>1502</v>
      </c>
    </row>
    <row r="394" spans="1:23" x14ac:dyDescent="0.35">
      <c r="A394">
        <v>154</v>
      </c>
      <c r="B394">
        <v>2132</v>
      </c>
      <c r="C394">
        <v>2132</v>
      </c>
      <c r="D394" t="s">
        <v>21</v>
      </c>
      <c r="E394" t="s">
        <v>104</v>
      </c>
      <c r="F394" t="s">
        <v>251</v>
      </c>
      <c r="G394" t="s">
        <v>407</v>
      </c>
      <c r="H394">
        <v>4</v>
      </c>
      <c r="I394" t="s">
        <v>418</v>
      </c>
      <c r="J394" t="s">
        <v>435</v>
      </c>
      <c r="K394" t="s">
        <v>472</v>
      </c>
      <c r="L394" t="s">
        <v>883</v>
      </c>
      <c r="M394">
        <v>2124</v>
      </c>
      <c r="N394" t="s">
        <v>1213</v>
      </c>
      <c r="O394" t="s">
        <v>21</v>
      </c>
      <c r="P394" t="s">
        <v>21</v>
      </c>
      <c r="Q394" t="s">
        <v>21</v>
      </c>
      <c r="R394" t="s">
        <v>1261</v>
      </c>
      <c r="S394" t="s">
        <v>1261</v>
      </c>
      <c r="T394" t="s">
        <v>410</v>
      </c>
      <c r="U394" t="s">
        <v>1347</v>
      </c>
      <c r="V394" t="s">
        <v>1701</v>
      </c>
      <c r="W394" t="s">
        <v>1504</v>
      </c>
    </row>
    <row r="395" spans="1:23" x14ac:dyDescent="0.35">
      <c r="A395">
        <v>155</v>
      </c>
      <c r="B395">
        <v>2132</v>
      </c>
      <c r="C395">
        <v>2132</v>
      </c>
      <c r="D395" t="s">
        <v>21</v>
      </c>
      <c r="E395" t="s">
        <v>34</v>
      </c>
      <c r="F395" t="s">
        <v>251</v>
      </c>
      <c r="G395" t="s">
        <v>407</v>
      </c>
      <c r="H395">
        <v>2</v>
      </c>
      <c r="I395" t="s">
        <v>423</v>
      </c>
      <c r="J395" t="s">
        <v>438</v>
      </c>
      <c r="K395" t="s">
        <v>478</v>
      </c>
      <c r="L395" t="s">
        <v>884</v>
      </c>
      <c r="M395">
        <v>2123</v>
      </c>
      <c r="N395" t="s">
        <v>1220</v>
      </c>
      <c r="O395" t="s">
        <v>21</v>
      </c>
      <c r="P395" t="s">
        <v>21</v>
      </c>
      <c r="Q395" t="s">
        <v>21</v>
      </c>
      <c r="R395" t="s">
        <v>1267</v>
      </c>
      <c r="S395" t="s">
        <v>1267</v>
      </c>
      <c r="T395" t="s">
        <v>1295</v>
      </c>
      <c r="U395" t="s">
        <v>1347</v>
      </c>
      <c r="V395" t="s">
        <v>1702</v>
      </c>
      <c r="W395" t="s">
        <v>1505</v>
      </c>
    </row>
    <row r="396" spans="1:23" x14ac:dyDescent="0.35">
      <c r="A396">
        <v>156</v>
      </c>
      <c r="B396">
        <v>2132</v>
      </c>
      <c r="C396">
        <v>2132</v>
      </c>
      <c r="D396" t="s">
        <v>21</v>
      </c>
      <c r="E396" t="s">
        <v>105</v>
      </c>
      <c r="F396" t="s">
        <v>251</v>
      </c>
      <c r="G396" t="s">
        <v>407</v>
      </c>
      <c r="H396">
        <v>2</v>
      </c>
      <c r="I396" t="s">
        <v>420</v>
      </c>
      <c r="J396" t="s">
        <v>438</v>
      </c>
      <c r="K396" t="s">
        <v>478</v>
      </c>
      <c r="L396" t="s">
        <v>885</v>
      </c>
      <c r="M396">
        <v>2122</v>
      </c>
      <c r="N396" t="s">
        <v>1220</v>
      </c>
      <c r="O396" t="s">
        <v>21</v>
      </c>
      <c r="P396" t="s">
        <v>21</v>
      </c>
      <c r="Q396" t="s">
        <v>21</v>
      </c>
      <c r="R396" t="s">
        <v>1267</v>
      </c>
      <c r="S396" t="s">
        <v>1267</v>
      </c>
      <c r="T396" t="s">
        <v>1295</v>
      </c>
      <c r="U396" t="s">
        <v>1347</v>
      </c>
      <c r="V396" t="s">
        <v>1702</v>
      </c>
      <c r="W396" t="s">
        <v>1505</v>
      </c>
    </row>
    <row r="397" spans="1:23" x14ac:dyDescent="0.35">
      <c r="A397">
        <v>157</v>
      </c>
      <c r="B397">
        <v>2132</v>
      </c>
      <c r="C397">
        <v>2132</v>
      </c>
      <c r="D397" t="s">
        <v>21</v>
      </c>
      <c r="E397" t="s">
        <v>105</v>
      </c>
      <c r="F397" t="s">
        <v>251</v>
      </c>
      <c r="G397" t="s">
        <v>407</v>
      </c>
      <c r="H397">
        <v>3</v>
      </c>
      <c r="I397" t="s">
        <v>423</v>
      </c>
      <c r="J397" t="s">
        <v>448</v>
      </c>
      <c r="K397" t="s">
        <v>473</v>
      </c>
      <c r="L397" t="s">
        <v>886</v>
      </c>
      <c r="M397">
        <v>2126</v>
      </c>
      <c r="N397" t="s">
        <v>1214</v>
      </c>
      <c r="O397" t="s">
        <v>21</v>
      </c>
      <c r="P397" t="s">
        <v>21</v>
      </c>
      <c r="Q397" t="s">
        <v>21</v>
      </c>
      <c r="R397" t="s">
        <v>1268</v>
      </c>
      <c r="S397" t="s">
        <v>1268</v>
      </c>
      <c r="T397" t="s">
        <v>1336</v>
      </c>
      <c r="U397" t="s">
        <v>1347</v>
      </c>
      <c r="V397" t="s">
        <v>1703</v>
      </c>
      <c r="W397" t="s">
        <v>1506</v>
      </c>
    </row>
    <row r="398" spans="1:23" x14ac:dyDescent="0.35">
      <c r="A398">
        <v>158</v>
      </c>
      <c r="B398">
        <v>2132</v>
      </c>
      <c r="C398">
        <v>2132</v>
      </c>
      <c r="D398" t="s">
        <v>21</v>
      </c>
      <c r="E398" t="s">
        <v>105</v>
      </c>
      <c r="F398" t="s">
        <v>251</v>
      </c>
      <c r="G398" t="s">
        <v>407</v>
      </c>
      <c r="H398">
        <v>3</v>
      </c>
      <c r="I398" t="s">
        <v>418</v>
      </c>
      <c r="J398" t="s">
        <v>448</v>
      </c>
      <c r="K398" t="s">
        <v>473</v>
      </c>
      <c r="L398" t="s">
        <v>887</v>
      </c>
      <c r="M398">
        <v>2124</v>
      </c>
      <c r="N398" t="s">
        <v>1214</v>
      </c>
      <c r="O398" t="s">
        <v>21</v>
      </c>
      <c r="P398" t="s">
        <v>21</v>
      </c>
      <c r="Q398" t="s">
        <v>21</v>
      </c>
      <c r="R398" t="s">
        <v>1261</v>
      </c>
      <c r="S398" t="s">
        <v>1261</v>
      </c>
      <c r="T398" t="s">
        <v>410</v>
      </c>
      <c r="U398" t="s">
        <v>1347</v>
      </c>
      <c r="V398" t="s">
        <v>1701</v>
      </c>
      <c r="W398" t="s">
        <v>1504</v>
      </c>
    </row>
    <row r="399" spans="1:23" x14ac:dyDescent="0.35">
      <c r="A399">
        <v>159</v>
      </c>
      <c r="B399">
        <v>2132</v>
      </c>
      <c r="C399">
        <v>2132</v>
      </c>
      <c r="D399" t="s">
        <v>21</v>
      </c>
      <c r="E399" t="s">
        <v>105</v>
      </c>
      <c r="F399" t="s">
        <v>251</v>
      </c>
      <c r="G399" t="s">
        <v>407</v>
      </c>
      <c r="H399">
        <v>2</v>
      </c>
      <c r="I399" t="s">
        <v>421</v>
      </c>
      <c r="J399" t="s">
        <v>438</v>
      </c>
      <c r="K399" t="s">
        <v>478</v>
      </c>
      <c r="L399" t="s">
        <v>888</v>
      </c>
      <c r="M399">
        <v>2114</v>
      </c>
      <c r="N399" t="s">
        <v>1226</v>
      </c>
      <c r="O399" t="s">
        <v>21</v>
      </c>
      <c r="P399" t="s">
        <v>21</v>
      </c>
      <c r="Q399" t="s">
        <v>21</v>
      </c>
      <c r="R399" t="s">
        <v>1290</v>
      </c>
      <c r="S399" t="s">
        <v>1290</v>
      </c>
      <c r="T399" t="s">
        <v>1342</v>
      </c>
      <c r="U399" t="s">
        <v>1347</v>
      </c>
      <c r="V399" t="s">
        <v>1704</v>
      </c>
      <c r="W399" t="s">
        <v>1507</v>
      </c>
    </row>
    <row r="400" spans="1:23" x14ac:dyDescent="0.35">
      <c r="A400">
        <v>160</v>
      </c>
      <c r="B400">
        <v>2132</v>
      </c>
      <c r="C400">
        <v>2132</v>
      </c>
      <c r="D400" t="s">
        <v>21</v>
      </c>
      <c r="E400" t="s">
        <v>105</v>
      </c>
      <c r="F400" t="s">
        <v>251</v>
      </c>
      <c r="G400" t="s">
        <v>407</v>
      </c>
      <c r="H400">
        <v>3</v>
      </c>
      <c r="I400" t="s">
        <v>433</v>
      </c>
      <c r="J400" t="s">
        <v>448</v>
      </c>
      <c r="K400" t="s">
        <v>473</v>
      </c>
      <c r="L400" t="s">
        <v>889</v>
      </c>
      <c r="M400">
        <v>2126</v>
      </c>
      <c r="N400" t="s">
        <v>1214</v>
      </c>
      <c r="O400" t="s">
        <v>21</v>
      </c>
      <c r="P400" t="s">
        <v>21</v>
      </c>
      <c r="Q400" t="s">
        <v>21</v>
      </c>
      <c r="R400" t="s">
        <v>1268</v>
      </c>
      <c r="S400" t="s">
        <v>1268</v>
      </c>
      <c r="T400" t="s">
        <v>1336</v>
      </c>
      <c r="U400" t="s">
        <v>1347</v>
      </c>
      <c r="V400" t="s">
        <v>1703</v>
      </c>
      <c r="W400" t="s">
        <v>1506</v>
      </c>
    </row>
    <row r="401" spans="1:23" x14ac:dyDescent="0.35">
      <c r="A401">
        <v>161</v>
      </c>
      <c r="B401">
        <v>2133</v>
      </c>
      <c r="C401">
        <v>2133</v>
      </c>
      <c r="D401" t="s">
        <v>21</v>
      </c>
      <c r="E401" t="s">
        <v>106</v>
      </c>
      <c r="F401" t="s">
        <v>251</v>
      </c>
      <c r="G401" t="s">
        <v>407</v>
      </c>
      <c r="H401">
        <v>16</v>
      </c>
      <c r="I401" t="s">
        <v>421</v>
      </c>
      <c r="J401" t="s">
        <v>451</v>
      </c>
      <c r="K401" t="s">
        <v>481</v>
      </c>
      <c r="L401" t="s">
        <v>890</v>
      </c>
      <c r="M401">
        <v>2120</v>
      </c>
      <c r="N401" t="s">
        <v>1227</v>
      </c>
      <c r="O401" t="s">
        <v>21</v>
      </c>
      <c r="P401" t="s">
        <v>21</v>
      </c>
      <c r="Q401" t="s">
        <v>21</v>
      </c>
      <c r="R401" t="s">
        <v>1275</v>
      </c>
      <c r="S401" t="s">
        <v>1275</v>
      </c>
      <c r="T401" t="s">
        <v>1339</v>
      </c>
      <c r="U401" t="s">
        <v>1347</v>
      </c>
      <c r="V401" t="s">
        <v>1705</v>
      </c>
      <c r="W401" t="s">
        <v>1508</v>
      </c>
    </row>
    <row r="402" spans="1:23" x14ac:dyDescent="0.35">
      <c r="A402">
        <v>162</v>
      </c>
      <c r="B402">
        <v>2133</v>
      </c>
      <c r="C402">
        <v>2133</v>
      </c>
      <c r="D402" t="s">
        <v>21</v>
      </c>
      <c r="E402" t="s">
        <v>106</v>
      </c>
      <c r="F402" t="s">
        <v>251</v>
      </c>
      <c r="G402" t="s">
        <v>407</v>
      </c>
      <c r="H402">
        <v>4</v>
      </c>
      <c r="I402" t="s">
        <v>418</v>
      </c>
      <c r="J402" t="s">
        <v>435</v>
      </c>
      <c r="K402" t="s">
        <v>477</v>
      </c>
      <c r="L402" t="s">
        <v>891</v>
      </c>
      <c r="M402">
        <v>2120</v>
      </c>
      <c r="N402" t="s">
        <v>1224</v>
      </c>
      <c r="O402" t="s">
        <v>21</v>
      </c>
      <c r="P402" t="s">
        <v>21</v>
      </c>
      <c r="Q402" t="s">
        <v>21</v>
      </c>
      <c r="R402" t="s">
        <v>1259</v>
      </c>
      <c r="S402" t="s">
        <v>1259</v>
      </c>
      <c r="T402" t="s">
        <v>1337</v>
      </c>
      <c r="U402" t="s">
        <v>1347</v>
      </c>
      <c r="V402" t="s">
        <v>1706</v>
      </c>
      <c r="W402" t="s">
        <v>1509</v>
      </c>
    </row>
    <row r="403" spans="1:23" x14ac:dyDescent="0.35">
      <c r="A403">
        <v>163</v>
      </c>
      <c r="B403">
        <v>2133</v>
      </c>
      <c r="C403">
        <v>2133</v>
      </c>
      <c r="D403" t="s">
        <v>21</v>
      </c>
      <c r="E403" t="s">
        <v>107</v>
      </c>
      <c r="F403" t="s">
        <v>251</v>
      </c>
      <c r="G403" t="s">
        <v>407</v>
      </c>
      <c r="H403">
        <v>3</v>
      </c>
      <c r="I403" t="s">
        <v>424</v>
      </c>
      <c r="J403" t="s">
        <v>448</v>
      </c>
      <c r="K403" t="s">
        <v>473</v>
      </c>
      <c r="L403" t="s">
        <v>892</v>
      </c>
      <c r="M403">
        <v>2126</v>
      </c>
      <c r="N403" t="s">
        <v>1214</v>
      </c>
      <c r="O403" t="s">
        <v>21</v>
      </c>
      <c r="P403" t="s">
        <v>21</v>
      </c>
      <c r="Q403" t="s">
        <v>21</v>
      </c>
      <c r="R403" t="s">
        <v>1267</v>
      </c>
      <c r="S403" t="s">
        <v>1267</v>
      </c>
      <c r="T403" t="s">
        <v>1295</v>
      </c>
      <c r="U403" t="s">
        <v>1347</v>
      </c>
      <c r="V403" t="s">
        <v>1707</v>
      </c>
      <c r="W403" t="s">
        <v>1505</v>
      </c>
    </row>
    <row r="404" spans="1:23" x14ac:dyDescent="0.35">
      <c r="A404">
        <v>164</v>
      </c>
      <c r="B404">
        <v>2133</v>
      </c>
      <c r="C404">
        <v>2133</v>
      </c>
      <c r="D404" t="s">
        <v>21</v>
      </c>
      <c r="E404" t="s">
        <v>108</v>
      </c>
      <c r="F404" t="s">
        <v>251</v>
      </c>
      <c r="G404" t="s">
        <v>407</v>
      </c>
      <c r="H404">
        <v>4</v>
      </c>
      <c r="I404" t="s">
        <v>421</v>
      </c>
      <c r="J404" t="s">
        <v>435</v>
      </c>
      <c r="K404" t="s">
        <v>472</v>
      </c>
      <c r="L404" t="s">
        <v>893</v>
      </c>
      <c r="M404">
        <v>2125</v>
      </c>
      <c r="N404" t="s">
        <v>1213</v>
      </c>
      <c r="O404" t="s">
        <v>21</v>
      </c>
      <c r="P404" t="s">
        <v>21</v>
      </c>
      <c r="Q404" t="s">
        <v>21</v>
      </c>
      <c r="R404" t="s">
        <v>1259</v>
      </c>
      <c r="S404" t="s">
        <v>1259</v>
      </c>
      <c r="T404" t="s">
        <v>1337</v>
      </c>
      <c r="U404" t="s">
        <v>1347</v>
      </c>
      <c r="V404" t="s">
        <v>1706</v>
      </c>
      <c r="W404" t="s">
        <v>1509</v>
      </c>
    </row>
    <row r="405" spans="1:23" x14ac:dyDescent="0.35">
      <c r="A405">
        <v>165</v>
      </c>
      <c r="B405">
        <v>2133</v>
      </c>
      <c r="C405">
        <v>2133</v>
      </c>
      <c r="D405" t="s">
        <v>21</v>
      </c>
      <c r="E405" t="s">
        <v>108</v>
      </c>
      <c r="F405" t="s">
        <v>251</v>
      </c>
      <c r="G405" t="s">
        <v>407</v>
      </c>
      <c r="H405">
        <v>1</v>
      </c>
      <c r="I405" t="s">
        <v>418</v>
      </c>
      <c r="J405" t="s">
        <v>446</v>
      </c>
      <c r="K405" t="s">
        <v>468</v>
      </c>
      <c r="L405" t="s">
        <v>894</v>
      </c>
      <c r="M405">
        <v>2126</v>
      </c>
      <c r="N405" t="s">
        <v>1218</v>
      </c>
      <c r="O405" t="s">
        <v>21</v>
      </c>
      <c r="P405" t="s">
        <v>21</v>
      </c>
      <c r="Q405" t="s">
        <v>21</v>
      </c>
      <c r="R405" t="s">
        <v>1259</v>
      </c>
      <c r="S405" t="s">
        <v>1259</v>
      </c>
      <c r="T405" t="s">
        <v>1337</v>
      </c>
      <c r="U405" t="s">
        <v>1348</v>
      </c>
      <c r="V405" t="s">
        <v>1708</v>
      </c>
      <c r="W405" t="s">
        <v>1510</v>
      </c>
    </row>
    <row r="406" spans="1:23" x14ac:dyDescent="0.35">
      <c r="A406">
        <v>166</v>
      </c>
      <c r="B406">
        <v>2133</v>
      </c>
      <c r="C406">
        <v>2133</v>
      </c>
      <c r="D406" t="s">
        <v>21</v>
      </c>
      <c r="E406" t="s">
        <v>109</v>
      </c>
      <c r="F406" t="s">
        <v>251</v>
      </c>
      <c r="G406" t="s">
        <v>407</v>
      </c>
      <c r="H406">
        <v>2</v>
      </c>
      <c r="I406" t="s">
        <v>420</v>
      </c>
      <c r="J406" t="s">
        <v>438</v>
      </c>
      <c r="K406" t="s">
        <v>478</v>
      </c>
      <c r="L406" t="s">
        <v>895</v>
      </c>
      <c r="M406">
        <v>2114</v>
      </c>
      <c r="N406" t="s">
        <v>1226</v>
      </c>
      <c r="O406" t="s">
        <v>21</v>
      </c>
      <c r="P406" t="s">
        <v>21</v>
      </c>
      <c r="Q406" t="s">
        <v>21</v>
      </c>
      <c r="R406" t="s">
        <v>1278</v>
      </c>
      <c r="S406" t="s">
        <v>1278</v>
      </c>
      <c r="T406" t="s">
        <v>1278</v>
      </c>
      <c r="U406" t="s">
        <v>1347</v>
      </c>
      <c r="V406" t="s">
        <v>1709</v>
      </c>
      <c r="W406" t="s">
        <v>1446</v>
      </c>
    </row>
    <row r="407" spans="1:23" x14ac:dyDescent="0.35">
      <c r="A407">
        <v>167</v>
      </c>
      <c r="B407">
        <v>2133</v>
      </c>
      <c r="C407">
        <v>2133</v>
      </c>
      <c r="D407" t="s">
        <v>21</v>
      </c>
      <c r="E407" t="s">
        <v>109</v>
      </c>
      <c r="F407" t="s">
        <v>251</v>
      </c>
      <c r="G407" t="s">
        <v>407</v>
      </c>
      <c r="H407">
        <v>2</v>
      </c>
      <c r="I407" t="s">
        <v>420</v>
      </c>
      <c r="J407" t="s">
        <v>438</v>
      </c>
      <c r="K407" t="s">
        <v>478</v>
      </c>
      <c r="L407" t="s">
        <v>896</v>
      </c>
      <c r="M407">
        <v>2115</v>
      </c>
      <c r="N407" t="s">
        <v>1226</v>
      </c>
      <c r="O407" t="s">
        <v>21</v>
      </c>
      <c r="P407" t="s">
        <v>21</v>
      </c>
      <c r="Q407" t="s">
        <v>21</v>
      </c>
      <c r="R407" t="s">
        <v>1267</v>
      </c>
      <c r="S407" t="s">
        <v>1267</v>
      </c>
      <c r="T407" t="s">
        <v>1295</v>
      </c>
      <c r="U407" t="s">
        <v>1347</v>
      </c>
      <c r="V407" t="s">
        <v>1707</v>
      </c>
      <c r="W407" t="s">
        <v>1505</v>
      </c>
    </row>
    <row r="408" spans="1:23" x14ac:dyDescent="0.35">
      <c r="A408">
        <v>168</v>
      </c>
      <c r="B408">
        <v>2133</v>
      </c>
      <c r="C408">
        <v>2133</v>
      </c>
      <c r="D408" t="s">
        <v>21</v>
      </c>
      <c r="E408" t="s">
        <v>109</v>
      </c>
      <c r="F408" t="s">
        <v>251</v>
      </c>
      <c r="G408" t="s">
        <v>407</v>
      </c>
      <c r="H408">
        <v>3</v>
      </c>
      <c r="I408" t="s">
        <v>418</v>
      </c>
      <c r="J408" t="s">
        <v>448</v>
      </c>
      <c r="K408" t="s">
        <v>473</v>
      </c>
      <c r="L408" t="s">
        <v>897</v>
      </c>
      <c r="M408">
        <v>2126</v>
      </c>
      <c r="N408" t="s">
        <v>1214</v>
      </c>
      <c r="O408" t="s">
        <v>21</v>
      </c>
      <c r="P408" t="s">
        <v>21</v>
      </c>
      <c r="Q408" t="s">
        <v>21</v>
      </c>
      <c r="R408" t="s">
        <v>1261</v>
      </c>
      <c r="S408" t="s">
        <v>1261</v>
      </c>
      <c r="T408" t="s">
        <v>410</v>
      </c>
      <c r="U408" t="s">
        <v>1347</v>
      </c>
      <c r="V408" t="s">
        <v>1710</v>
      </c>
      <c r="W408" t="s">
        <v>1504</v>
      </c>
    </row>
    <row r="409" spans="1:23" x14ac:dyDescent="0.35">
      <c r="A409">
        <v>169</v>
      </c>
      <c r="B409">
        <v>2133</v>
      </c>
      <c r="C409">
        <v>2133</v>
      </c>
      <c r="D409" t="s">
        <v>21</v>
      </c>
      <c r="E409" t="s">
        <v>109</v>
      </c>
      <c r="F409" t="s">
        <v>251</v>
      </c>
      <c r="G409" t="s">
        <v>407</v>
      </c>
      <c r="H409">
        <v>3</v>
      </c>
      <c r="I409" t="s">
        <v>418</v>
      </c>
      <c r="J409" t="s">
        <v>448</v>
      </c>
      <c r="K409" t="s">
        <v>473</v>
      </c>
      <c r="L409" t="s">
        <v>898</v>
      </c>
      <c r="M409">
        <v>2126</v>
      </c>
      <c r="N409" t="s">
        <v>1214</v>
      </c>
      <c r="O409" t="s">
        <v>21</v>
      </c>
      <c r="P409" t="s">
        <v>21</v>
      </c>
      <c r="Q409" t="s">
        <v>21</v>
      </c>
      <c r="R409" t="s">
        <v>1261</v>
      </c>
      <c r="S409" t="s">
        <v>1261</v>
      </c>
      <c r="T409" t="s">
        <v>410</v>
      </c>
      <c r="U409" t="s">
        <v>1347</v>
      </c>
      <c r="V409" t="s">
        <v>1710</v>
      </c>
      <c r="W409" t="s">
        <v>1504</v>
      </c>
    </row>
    <row r="410" spans="1:23" x14ac:dyDescent="0.35">
      <c r="A410">
        <v>170</v>
      </c>
      <c r="B410">
        <v>2133</v>
      </c>
      <c r="C410">
        <v>2133</v>
      </c>
      <c r="D410" t="s">
        <v>21</v>
      </c>
      <c r="E410" t="s">
        <v>110</v>
      </c>
      <c r="F410" t="s">
        <v>251</v>
      </c>
      <c r="G410" t="s">
        <v>407</v>
      </c>
      <c r="H410">
        <v>3</v>
      </c>
      <c r="I410" t="s">
        <v>418</v>
      </c>
      <c r="J410" t="s">
        <v>448</v>
      </c>
      <c r="K410" t="s">
        <v>473</v>
      </c>
      <c r="L410" t="s">
        <v>899</v>
      </c>
      <c r="M410">
        <v>2126</v>
      </c>
      <c r="N410" t="s">
        <v>1214</v>
      </c>
      <c r="O410" t="s">
        <v>21</v>
      </c>
      <c r="P410" t="s">
        <v>21</v>
      </c>
      <c r="Q410" t="s">
        <v>21</v>
      </c>
      <c r="R410" t="s">
        <v>1264</v>
      </c>
      <c r="S410" t="s">
        <v>1264</v>
      </c>
      <c r="T410" t="s">
        <v>410</v>
      </c>
      <c r="U410" t="s">
        <v>1347</v>
      </c>
      <c r="V410" t="s">
        <v>1710</v>
      </c>
      <c r="W410" t="s">
        <v>1504</v>
      </c>
    </row>
    <row r="411" spans="1:23" x14ac:dyDescent="0.35">
      <c r="A411">
        <v>171</v>
      </c>
      <c r="B411">
        <v>2133</v>
      </c>
      <c r="C411">
        <v>2133</v>
      </c>
      <c r="D411" t="s">
        <v>21</v>
      </c>
      <c r="E411" t="s">
        <v>110</v>
      </c>
      <c r="F411" t="s">
        <v>251</v>
      </c>
      <c r="G411" t="s">
        <v>407</v>
      </c>
      <c r="H411">
        <v>4</v>
      </c>
      <c r="I411" t="s">
        <v>418</v>
      </c>
      <c r="J411" t="s">
        <v>435</v>
      </c>
      <c r="K411" t="s">
        <v>472</v>
      </c>
      <c r="L411" t="s">
        <v>900</v>
      </c>
      <c r="M411">
        <v>2124</v>
      </c>
      <c r="N411" t="s">
        <v>1213</v>
      </c>
      <c r="O411" t="s">
        <v>21</v>
      </c>
      <c r="P411" t="s">
        <v>21</v>
      </c>
      <c r="Q411" t="s">
        <v>21</v>
      </c>
      <c r="R411" t="s">
        <v>1286</v>
      </c>
      <c r="S411" t="s">
        <v>1286</v>
      </c>
      <c r="T411" t="s">
        <v>1343</v>
      </c>
      <c r="U411" t="s">
        <v>1347</v>
      </c>
      <c r="V411" t="s">
        <v>1711</v>
      </c>
      <c r="W411" t="s">
        <v>1511</v>
      </c>
    </row>
    <row r="412" spans="1:23" x14ac:dyDescent="0.35">
      <c r="A412">
        <v>1</v>
      </c>
      <c r="B412" t="s">
        <v>21</v>
      </c>
      <c r="C412">
        <v>2025</v>
      </c>
      <c r="D412" t="s">
        <v>21</v>
      </c>
      <c r="E412" t="s">
        <v>111</v>
      </c>
      <c r="F412" t="s">
        <v>252</v>
      </c>
      <c r="G412" t="s">
        <v>408</v>
      </c>
      <c r="H412" t="s">
        <v>413</v>
      </c>
      <c r="I412" t="s">
        <v>21</v>
      </c>
      <c r="J412" t="s">
        <v>452</v>
      </c>
      <c r="K412" t="s">
        <v>482</v>
      </c>
      <c r="L412" t="s">
        <v>901</v>
      </c>
      <c r="M412">
        <v>2018</v>
      </c>
      <c r="N412" t="s">
        <v>1228</v>
      </c>
      <c r="O412" t="s">
        <v>1253</v>
      </c>
      <c r="P412" t="s">
        <v>21</v>
      </c>
      <c r="Q412" t="s">
        <v>21</v>
      </c>
      <c r="R412" t="s">
        <v>1291</v>
      </c>
      <c r="S412" t="s">
        <v>1291</v>
      </c>
      <c r="T412" t="s">
        <v>1345</v>
      </c>
      <c r="U412" t="s">
        <v>1348</v>
      </c>
      <c r="V412" t="s">
        <v>1712</v>
      </c>
      <c r="W412" t="s">
        <v>1512</v>
      </c>
    </row>
    <row r="413" spans="1:23" x14ac:dyDescent="0.35">
      <c r="A413">
        <v>2</v>
      </c>
      <c r="B413">
        <v>2129</v>
      </c>
      <c r="C413">
        <v>2129</v>
      </c>
      <c r="D413" t="s">
        <v>21</v>
      </c>
      <c r="E413" t="s">
        <v>100</v>
      </c>
      <c r="F413" t="s">
        <v>253</v>
      </c>
      <c r="G413" t="s">
        <v>408</v>
      </c>
      <c r="H413" t="s">
        <v>411</v>
      </c>
      <c r="I413" t="s">
        <v>21</v>
      </c>
      <c r="J413" t="s">
        <v>452</v>
      </c>
      <c r="K413" t="s">
        <v>482</v>
      </c>
      <c r="L413" t="s">
        <v>902</v>
      </c>
      <c r="M413">
        <v>2106</v>
      </c>
      <c r="N413" t="s">
        <v>1228</v>
      </c>
      <c r="O413" t="s">
        <v>1253</v>
      </c>
      <c r="P413" t="s">
        <v>21</v>
      </c>
      <c r="Q413" t="s">
        <v>21</v>
      </c>
      <c r="R413" t="s">
        <v>21</v>
      </c>
      <c r="S413" t="s">
        <v>21</v>
      </c>
      <c r="T413" t="s">
        <v>1345</v>
      </c>
      <c r="U413" t="s">
        <v>1348</v>
      </c>
      <c r="V413" t="s">
        <v>1713</v>
      </c>
      <c r="W413" t="s">
        <v>1513</v>
      </c>
    </row>
    <row r="414" spans="1:23" x14ac:dyDescent="0.35">
      <c r="A414">
        <v>3</v>
      </c>
      <c r="B414">
        <v>2129</v>
      </c>
      <c r="C414">
        <v>2129</v>
      </c>
      <c r="D414" t="s">
        <v>21</v>
      </c>
      <c r="E414" t="s">
        <v>100</v>
      </c>
      <c r="F414" t="s">
        <v>253</v>
      </c>
      <c r="G414" t="s">
        <v>408</v>
      </c>
      <c r="H414" t="s">
        <v>411</v>
      </c>
      <c r="I414" t="s">
        <v>21</v>
      </c>
      <c r="J414" t="s">
        <v>452</v>
      </c>
      <c r="K414" t="s">
        <v>482</v>
      </c>
      <c r="L414" t="s">
        <v>903</v>
      </c>
      <c r="M414">
        <v>2106</v>
      </c>
      <c r="N414" t="s">
        <v>1228</v>
      </c>
      <c r="O414" t="s">
        <v>1253</v>
      </c>
      <c r="P414" t="s">
        <v>21</v>
      </c>
      <c r="Q414" t="s">
        <v>21</v>
      </c>
      <c r="R414" t="s">
        <v>21</v>
      </c>
      <c r="S414" t="s">
        <v>21</v>
      </c>
      <c r="T414" t="s">
        <v>1345</v>
      </c>
      <c r="U414" t="s">
        <v>1348</v>
      </c>
      <c r="V414" t="s">
        <v>1713</v>
      </c>
      <c r="W414" t="s">
        <v>1513</v>
      </c>
    </row>
    <row r="415" spans="1:23" x14ac:dyDescent="0.35">
      <c r="A415">
        <v>1</v>
      </c>
      <c r="B415">
        <v>2009</v>
      </c>
      <c r="C415">
        <v>2009</v>
      </c>
      <c r="D415" t="s">
        <v>21</v>
      </c>
      <c r="E415" t="s">
        <v>112</v>
      </c>
      <c r="F415" t="s">
        <v>254</v>
      </c>
      <c r="G415" t="s">
        <v>408</v>
      </c>
      <c r="H415" t="s">
        <v>414</v>
      </c>
      <c r="I415" t="s">
        <v>21</v>
      </c>
      <c r="J415" t="s">
        <v>440</v>
      </c>
      <c r="K415" t="s">
        <v>483</v>
      </c>
      <c r="L415" t="s">
        <v>904</v>
      </c>
      <c r="M415">
        <v>2003</v>
      </c>
      <c r="N415" t="s">
        <v>1229</v>
      </c>
      <c r="O415" t="s">
        <v>1253</v>
      </c>
      <c r="P415" t="s">
        <v>21</v>
      </c>
      <c r="Q415" t="s">
        <v>21</v>
      </c>
      <c r="R415" t="s">
        <v>1292</v>
      </c>
      <c r="S415" t="s">
        <v>1292</v>
      </c>
      <c r="T415" t="s">
        <v>1342</v>
      </c>
      <c r="U415" t="s">
        <v>1348</v>
      </c>
      <c r="V415" t="s">
        <v>1714</v>
      </c>
      <c r="W415" t="s">
        <v>1514</v>
      </c>
    </row>
    <row r="416" spans="1:23" x14ac:dyDescent="0.35">
      <c r="A416">
        <v>2</v>
      </c>
      <c r="B416">
        <v>2009</v>
      </c>
      <c r="C416">
        <v>2009</v>
      </c>
      <c r="D416" t="s">
        <v>21</v>
      </c>
      <c r="E416" t="s">
        <v>113</v>
      </c>
      <c r="F416" t="s">
        <v>255</v>
      </c>
      <c r="G416" t="s">
        <v>408</v>
      </c>
      <c r="H416" t="s">
        <v>414</v>
      </c>
      <c r="I416" t="s">
        <v>21</v>
      </c>
      <c r="J416" t="s">
        <v>443</v>
      </c>
      <c r="K416" t="s">
        <v>484</v>
      </c>
      <c r="L416" t="s">
        <v>905</v>
      </c>
      <c r="M416">
        <v>2003</v>
      </c>
      <c r="N416" t="s">
        <v>1230</v>
      </c>
      <c r="O416" t="s">
        <v>1253</v>
      </c>
      <c r="P416" t="s">
        <v>21</v>
      </c>
      <c r="Q416" t="s">
        <v>21</v>
      </c>
      <c r="R416" t="s">
        <v>1293</v>
      </c>
      <c r="S416" t="s">
        <v>1293</v>
      </c>
      <c r="T416" t="s">
        <v>1340</v>
      </c>
      <c r="U416" t="s">
        <v>1348</v>
      </c>
      <c r="V416" t="s">
        <v>1715</v>
      </c>
      <c r="W416" t="s">
        <v>1515</v>
      </c>
    </row>
    <row r="417" spans="1:23" x14ac:dyDescent="0.35">
      <c r="A417">
        <v>3</v>
      </c>
      <c r="B417">
        <v>2009</v>
      </c>
      <c r="C417">
        <v>2009</v>
      </c>
      <c r="D417" t="s">
        <v>21</v>
      </c>
      <c r="E417" t="s">
        <v>113</v>
      </c>
      <c r="F417" t="s">
        <v>255</v>
      </c>
      <c r="G417" t="s">
        <v>408</v>
      </c>
      <c r="H417" t="s">
        <v>414</v>
      </c>
      <c r="I417" t="s">
        <v>21</v>
      </c>
      <c r="J417" t="s">
        <v>443</v>
      </c>
      <c r="K417" t="s">
        <v>484</v>
      </c>
      <c r="L417" t="s">
        <v>906</v>
      </c>
      <c r="M417">
        <v>2003</v>
      </c>
      <c r="N417" t="s">
        <v>1230</v>
      </c>
      <c r="O417" t="s">
        <v>1253</v>
      </c>
      <c r="P417" t="s">
        <v>21</v>
      </c>
      <c r="Q417" t="s">
        <v>21</v>
      </c>
      <c r="R417" t="s">
        <v>1294</v>
      </c>
      <c r="S417" t="s">
        <v>1294</v>
      </c>
      <c r="T417" t="s">
        <v>1340</v>
      </c>
      <c r="U417" t="s">
        <v>1348</v>
      </c>
      <c r="V417" t="s">
        <v>1715</v>
      </c>
      <c r="W417" t="s">
        <v>1515</v>
      </c>
    </row>
    <row r="418" spans="1:23" x14ac:dyDescent="0.35">
      <c r="A418">
        <v>4</v>
      </c>
      <c r="B418">
        <v>2015</v>
      </c>
      <c r="C418">
        <v>2015</v>
      </c>
      <c r="D418" t="s">
        <v>21</v>
      </c>
      <c r="E418" t="s">
        <v>114</v>
      </c>
      <c r="F418" t="s">
        <v>256</v>
      </c>
      <c r="G418" t="s">
        <v>408</v>
      </c>
      <c r="H418" t="s">
        <v>414</v>
      </c>
      <c r="I418" t="s">
        <v>21</v>
      </c>
      <c r="J418" t="s">
        <v>443</v>
      </c>
      <c r="K418" t="s">
        <v>484</v>
      </c>
      <c r="L418" t="s">
        <v>907</v>
      </c>
      <c r="M418">
        <v>2003</v>
      </c>
      <c r="N418" t="s">
        <v>1230</v>
      </c>
      <c r="O418" t="s">
        <v>1253</v>
      </c>
      <c r="P418" t="s">
        <v>21</v>
      </c>
      <c r="Q418" t="s">
        <v>21</v>
      </c>
      <c r="R418" t="s">
        <v>1273</v>
      </c>
      <c r="S418" t="s">
        <v>1273</v>
      </c>
      <c r="T418" t="s">
        <v>1342</v>
      </c>
      <c r="U418" t="s">
        <v>1348</v>
      </c>
      <c r="V418" t="s">
        <v>1716</v>
      </c>
      <c r="W418" t="s">
        <v>1516</v>
      </c>
    </row>
    <row r="419" spans="1:23" x14ac:dyDescent="0.35">
      <c r="A419">
        <v>5</v>
      </c>
      <c r="B419">
        <v>2019</v>
      </c>
      <c r="C419">
        <v>2019</v>
      </c>
      <c r="D419" t="s">
        <v>21</v>
      </c>
      <c r="E419" t="s">
        <v>115</v>
      </c>
      <c r="F419" t="s">
        <v>257</v>
      </c>
      <c r="G419" t="s">
        <v>408</v>
      </c>
      <c r="H419" t="s">
        <v>415</v>
      </c>
      <c r="I419" t="s">
        <v>21</v>
      </c>
      <c r="J419" t="s">
        <v>440</v>
      </c>
      <c r="K419" t="s">
        <v>483</v>
      </c>
      <c r="L419" t="s">
        <v>908</v>
      </c>
      <c r="M419">
        <v>2003</v>
      </c>
      <c r="N419" t="s">
        <v>1229</v>
      </c>
      <c r="O419" t="s">
        <v>1253</v>
      </c>
      <c r="P419" t="s">
        <v>21</v>
      </c>
      <c r="Q419" t="s">
        <v>21</v>
      </c>
      <c r="R419" t="s">
        <v>1295</v>
      </c>
      <c r="S419" t="s">
        <v>1295</v>
      </c>
      <c r="T419" t="s">
        <v>1346</v>
      </c>
      <c r="U419" t="s">
        <v>1348</v>
      </c>
      <c r="V419" t="s">
        <v>1717</v>
      </c>
      <c r="W419" t="s">
        <v>1517</v>
      </c>
    </row>
    <row r="420" spans="1:23" x14ac:dyDescent="0.35">
      <c r="A420">
        <v>6</v>
      </c>
      <c r="B420">
        <v>2023</v>
      </c>
      <c r="C420">
        <v>2023</v>
      </c>
      <c r="D420" t="s">
        <v>21</v>
      </c>
      <c r="E420" t="s">
        <v>116</v>
      </c>
      <c r="F420" t="s">
        <v>258</v>
      </c>
      <c r="G420" t="s">
        <v>408</v>
      </c>
      <c r="H420" t="s">
        <v>415</v>
      </c>
      <c r="I420" t="s">
        <v>21</v>
      </c>
      <c r="J420" t="s">
        <v>440</v>
      </c>
      <c r="K420" t="s">
        <v>483</v>
      </c>
      <c r="L420" t="s">
        <v>909</v>
      </c>
      <c r="M420">
        <v>2003</v>
      </c>
      <c r="N420" t="s">
        <v>1229</v>
      </c>
      <c r="O420" t="s">
        <v>1253</v>
      </c>
      <c r="P420" t="s">
        <v>21</v>
      </c>
      <c r="Q420" t="s">
        <v>21</v>
      </c>
      <c r="R420" t="s">
        <v>1268</v>
      </c>
      <c r="S420" t="s">
        <v>1268</v>
      </c>
      <c r="T420" t="s">
        <v>1336</v>
      </c>
      <c r="U420" t="s">
        <v>1348</v>
      </c>
      <c r="V420" t="s">
        <v>1718</v>
      </c>
      <c r="W420" t="s">
        <v>1518</v>
      </c>
    </row>
    <row r="421" spans="1:23" x14ac:dyDescent="0.35">
      <c r="A421">
        <v>7</v>
      </c>
      <c r="B421">
        <v>2034</v>
      </c>
      <c r="C421">
        <v>2033</v>
      </c>
      <c r="D421" t="s">
        <v>21</v>
      </c>
      <c r="E421" t="s">
        <v>117</v>
      </c>
      <c r="F421" t="s">
        <v>259</v>
      </c>
      <c r="G421" t="s">
        <v>408</v>
      </c>
      <c r="H421" t="s">
        <v>415</v>
      </c>
      <c r="I421" t="s">
        <v>21</v>
      </c>
      <c r="J421" t="s">
        <v>443</v>
      </c>
      <c r="K421" t="s">
        <v>484</v>
      </c>
      <c r="L421" t="s">
        <v>910</v>
      </c>
      <c r="M421">
        <v>2027</v>
      </c>
      <c r="N421" t="s">
        <v>1230</v>
      </c>
      <c r="O421" t="s">
        <v>1253</v>
      </c>
      <c r="P421" t="s">
        <v>21</v>
      </c>
      <c r="Q421" t="s">
        <v>21</v>
      </c>
      <c r="R421" t="s">
        <v>1278</v>
      </c>
      <c r="S421" t="s">
        <v>1278</v>
      </c>
      <c r="T421" t="s">
        <v>1278</v>
      </c>
      <c r="U421" t="s">
        <v>1348</v>
      </c>
      <c r="V421" t="s">
        <v>1719</v>
      </c>
      <c r="W421" t="s">
        <v>1519</v>
      </c>
    </row>
    <row r="422" spans="1:23" x14ac:dyDescent="0.35">
      <c r="A422">
        <v>8</v>
      </c>
      <c r="B422">
        <v>2040</v>
      </c>
      <c r="C422">
        <v>2040</v>
      </c>
      <c r="D422" t="s">
        <v>21</v>
      </c>
      <c r="E422" t="s">
        <v>118</v>
      </c>
      <c r="F422" t="s">
        <v>260</v>
      </c>
      <c r="G422" t="s">
        <v>408</v>
      </c>
      <c r="H422" t="s">
        <v>415</v>
      </c>
      <c r="I422" t="s">
        <v>21</v>
      </c>
      <c r="J422" t="s">
        <v>440</v>
      </c>
      <c r="K422" t="s">
        <v>483</v>
      </c>
      <c r="L422" t="s">
        <v>911</v>
      </c>
      <c r="M422">
        <v>2034</v>
      </c>
      <c r="N422" t="s">
        <v>1229</v>
      </c>
      <c r="O422" t="s">
        <v>1253</v>
      </c>
      <c r="P422" t="s">
        <v>21</v>
      </c>
      <c r="Q422" t="s">
        <v>21</v>
      </c>
      <c r="R422" t="s">
        <v>1296</v>
      </c>
      <c r="S422" t="s">
        <v>1333</v>
      </c>
      <c r="T422" t="s">
        <v>1342</v>
      </c>
      <c r="U422" t="s">
        <v>1348</v>
      </c>
      <c r="V422" t="s">
        <v>1720</v>
      </c>
      <c r="W422" t="s">
        <v>1520</v>
      </c>
    </row>
    <row r="423" spans="1:23" x14ac:dyDescent="0.35">
      <c r="A423">
        <v>9</v>
      </c>
      <c r="B423">
        <v>2049</v>
      </c>
      <c r="C423">
        <v>2049</v>
      </c>
      <c r="D423" t="s">
        <v>21</v>
      </c>
      <c r="E423" t="s">
        <v>119</v>
      </c>
      <c r="F423" t="s">
        <v>261</v>
      </c>
      <c r="G423" t="s">
        <v>408</v>
      </c>
      <c r="H423" t="s">
        <v>415</v>
      </c>
      <c r="I423" t="s">
        <v>21</v>
      </c>
      <c r="J423" t="s">
        <v>440</v>
      </c>
      <c r="K423" t="s">
        <v>483</v>
      </c>
      <c r="L423" t="s">
        <v>912</v>
      </c>
      <c r="M423">
        <v>2043</v>
      </c>
      <c r="N423" t="s">
        <v>1229</v>
      </c>
      <c r="O423" t="s">
        <v>1253</v>
      </c>
      <c r="P423" t="s">
        <v>21</v>
      </c>
      <c r="Q423" t="s">
        <v>21</v>
      </c>
      <c r="R423" t="s">
        <v>1297</v>
      </c>
      <c r="S423" t="s">
        <v>1297</v>
      </c>
      <c r="T423" t="s">
        <v>1346</v>
      </c>
      <c r="U423" t="s">
        <v>1348</v>
      </c>
      <c r="V423" t="s">
        <v>1721</v>
      </c>
      <c r="W423" t="s">
        <v>1521</v>
      </c>
    </row>
    <row r="424" spans="1:23" x14ac:dyDescent="0.35">
      <c r="A424">
        <v>10</v>
      </c>
      <c r="B424">
        <v>2052</v>
      </c>
      <c r="C424">
        <v>2052</v>
      </c>
      <c r="D424" t="s">
        <v>21</v>
      </c>
      <c r="E424" t="s">
        <v>120</v>
      </c>
      <c r="F424" t="s">
        <v>262</v>
      </c>
      <c r="G424" t="s">
        <v>408</v>
      </c>
      <c r="H424" t="s">
        <v>415</v>
      </c>
      <c r="I424" t="s">
        <v>21</v>
      </c>
      <c r="J424" t="s">
        <v>440</v>
      </c>
      <c r="K424" t="s">
        <v>483</v>
      </c>
      <c r="L424" t="s">
        <v>913</v>
      </c>
      <c r="M424">
        <v>2047</v>
      </c>
      <c r="N424" t="s">
        <v>1229</v>
      </c>
      <c r="O424" t="s">
        <v>1253</v>
      </c>
      <c r="P424" t="s">
        <v>21</v>
      </c>
      <c r="Q424" t="s">
        <v>21</v>
      </c>
      <c r="R424" t="s">
        <v>1297</v>
      </c>
      <c r="S424" t="s">
        <v>1297</v>
      </c>
      <c r="T424" t="s">
        <v>1346</v>
      </c>
      <c r="U424" t="s">
        <v>1348</v>
      </c>
      <c r="V424" t="s">
        <v>1722</v>
      </c>
      <c r="W424" t="s">
        <v>1521</v>
      </c>
    </row>
    <row r="425" spans="1:23" x14ac:dyDescent="0.35">
      <c r="A425">
        <v>11</v>
      </c>
      <c r="B425">
        <v>2102</v>
      </c>
      <c r="C425">
        <v>2102</v>
      </c>
      <c r="D425" t="s">
        <v>21</v>
      </c>
      <c r="E425" t="s">
        <v>37</v>
      </c>
      <c r="F425" t="s">
        <v>263</v>
      </c>
      <c r="G425" t="s">
        <v>408</v>
      </c>
      <c r="H425" t="s">
        <v>415</v>
      </c>
      <c r="I425" t="s">
        <v>21</v>
      </c>
      <c r="J425" t="s">
        <v>443</v>
      </c>
      <c r="K425" t="s">
        <v>484</v>
      </c>
      <c r="L425" t="s">
        <v>914</v>
      </c>
      <c r="M425">
        <v>2047</v>
      </c>
      <c r="N425" t="s">
        <v>1230</v>
      </c>
      <c r="O425" t="s">
        <v>1253</v>
      </c>
      <c r="P425" t="s">
        <v>21</v>
      </c>
      <c r="Q425" t="s">
        <v>21</v>
      </c>
      <c r="R425" t="s">
        <v>1268</v>
      </c>
      <c r="S425" t="s">
        <v>1268</v>
      </c>
      <c r="T425" t="s">
        <v>1336</v>
      </c>
      <c r="U425" t="s">
        <v>1348</v>
      </c>
      <c r="V425" t="s">
        <v>1618</v>
      </c>
      <c r="W425" t="s">
        <v>1454</v>
      </c>
    </row>
    <row r="426" spans="1:23" x14ac:dyDescent="0.35">
      <c r="A426">
        <v>12</v>
      </c>
      <c r="B426">
        <v>2106</v>
      </c>
      <c r="C426">
        <v>2105</v>
      </c>
      <c r="D426" t="s">
        <v>21</v>
      </c>
      <c r="E426" t="s">
        <v>52</v>
      </c>
      <c r="F426" t="s">
        <v>264</v>
      </c>
      <c r="G426" t="s">
        <v>408</v>
      </c>
      <c r="H426" t="s">
        <v>415</v>
      </c>
      <c r="I426" t="s">
        <v>21</v>
      </c>
      <c r="J426" t="s">
        <v>440</v>
      </c>
      <c r="K426" t="s">
        <v>485</v>
      </c>
      <c r="L426" t="s">
        <v>915</v>
      </c>
      <c r="M426">
        <v>2052</v>
      </c>
      <c r="N426" t="s">
        <v>1231</v>
      </c>
      <c r="O426" t="s">
        <v>1253</v>
      </c>
      <c r="P426" t="s">
        <v>21</v>
      </c>
      <c r="Q426" t="s">
        <v>21</v>
      </c>
      <c r="R426" t="s">
        <v>1295</v>
      </c>
      <c r="S426" t="s">
        <v>1295</v>
      </c>
      <c r="T426" t="s">
        <v>1346</v>
      </c>
      <c r="U426" t="s">
        <v>1348</v>
      </c>
      <c r="V426" t="s">
        <v>1723</v>
      </c>
      <c r="W426" t="s">
        <v>1522</v>
      </c>
    </row>
    <row r="427" spans="1:23" x14ac:dyDescent="0.35">
      <c r="A427">
        <v>1</v>
      </c>
      <c r="B427">
        <v>2129</v>
      </c>
      <c r="C427">
        <v>2129</v>
      </c>
      <c r="D427" t="s">
        <v>21</v>
      </c>
      <c r="E427" t="s">
        <v>28</v>
      </c>
      <c r="F427" t="s">
        <v>243</v>
      </c>
      <c r="G427" t="s">
        <v>408</v>
      </c>
      <c r="H427" t="s">
        <v>410</v>
      </c>
      <c r="I427" t="s">
        <v>21</v>
      </c>
      <c r="J427" t="s">
        <v>449</v>
      </c>
      <c r="K427" t="s">
        <v>486</v>
      </c>
      <c r="L427" t="s">
        <v>916</v>
      </c>
      <c r="M427">
        <v>2124</v>
      </c>
      <c r="N427" t="s">
        <v>1232</v>
      </c>
      <c r="O427" t="s">
        <v>1252</v>
      </c>
      <c r="P427" t="s">
        <v>21</v>
      </c>
      <c r="Q427" t="s">
        <v>21</v>
      </c>
      <c r="R427" t="s">
        <v>1268</v>
      </c>
      <c r="S427" t="s">
        <v>1268</v>
      </c>
      <c r="T427" t="s">
        <v>1336</v>
      </c>
      <c r="U427" t="s">
        <v>1347</v>
      </c>
      <c r="V427" t="s">
        <v>1608</v>
      </c>
      <c r="W427" t="s">
        <v>1439</v>
      </c>
    </row>
    <row r="428" spans="1:23" x14ac:dyDescent="0.35">
      <c r="A428">
        <v>1</v>
      </c>
      <c r="B428">
        <v>2123</v>
      </c>
      <c r="C428">
        <v>2123</v>
      </c>
      <c r="D428" t="s">
        <v>21</v>
      </c>
      <c r="E428" t="s">
        <v>86</v>
      </c>
      <c r="F428" t="s">
        <v>265</v>
      </c>
      <c r="G428" t="s">
        <v>408</v>
      </c>
      <c r="H428" t="s">
        <v>414</v>
      </c>
      <c r="I428" t="s">
        <v>21</v>
      </c>
      <c r="J428" t="s">
        <v>436</v>
      </c>
      <c r="K428" t="s">
        <v>455</v>
      </c>
      <c r="L428" t="s">
        <v>917</v>
      </c>
      <c r="M428">
        <v>2111</v>
      </c>
      <c r="N428" t="s">
        <v>1233</v>
      </c>
      <c r="O428" t="s">
        <v>1252</v>
      </c>
      <c r="P428" t="s">
        <v>21</v>
      </c>
      <c r="Q428" t="s">
        <v>21</v>
      </c>
      <c r="R428" t="s">
        <v>1419</v>
      </c>
      <c r="S428" t="s">
        <v>21</v>
      </c>
      <c r="T428" t="s">
        <v>1345</v>
      </c>
      <c r="U428" t="s">
        <v>1347</v>
      </c>
      <c r="V428" t="s">
        <v>1724</v>
      </c>
      <c r="W428" t="s">
        <v>1523</v>
      </c>
    </row>
    <row r="429" spans="1:23" x14ac:dyDescent="0.35">
      <c r="A429">
        <v>2</v>
      </c>
      <c r="B429">
        <v>2126</v>
      </c>
      <c r="C429">
        <v>2126</v>
      </c>
      <c r="D429" t="s">
        <v>21</v>
      </c>
      <c r="E429" t="s">
        <v>90</v>
      </c>
      <c r="F429" t="s">
        <v>266</v>
      </c>
      <c r="G429" t="s">
        <v>408</v>
      </c>
      <c r="H429" t="s">
        <v>416</v>
      </c>
      <c r="I429" t="s">
        <v>21</v>
      </c>
      <c r="J429" t="s">
        <v>437</v>
      </c>
      <c r="K429" t="s">
        <v>456</v>
      </c>
      <c r="L429" t="s">
        <v>918</v>
      </c>
      <c r="M429">
        <v>2123</v>
      </c>
      <c r="N429" t="s">
        <v>1234</v>
      </c>
      <c r="O429" t="s">
        <v>1252</v>
      </c>
      <c r="P429" t="s">
        <v>21</v>
      </c>
      <c r="Q429" t="s">
        <v>21</v>
      </c>
      <c r="R429" t="s">
        <v>1298</v>
      </c>
      <c r="S429" t="s">
        <v>1298</v>
      </c>
      <c r="T429" t="s">
        <v>410</v>
      </c>
      <c r="U429" t="s">
        <v>1347</v>
      </c>
      <c r="V429" t="s">
        <v>1681</v>
      </c>
      <c r="W429" t="s">
        <v>1438</v>
      </c>
    </row>
    <row r="430" spans="1:23" x14ac:dyDescent="0.35">
      <c r="A430">
        <v>3</v>
      </c>
      <c r="B430">
        <v>2133</v>
      </c>
      <c r="C430">
        <v>2126</v>
      </c>
      <c r="D430" t="s">
        <v>21</v>
      </c>
      <c r="E430" t="s">
        <v>89</v>
      </c>
      <c r="F430" t="s">
        <v>344</v>
      </c>
      <c r="G430" t="s">
        <v>408</v>
      </c>
      <c r="H430" t="s">
        <v>413</v>
      </c>
      <c r="I430" t="s">
        <v>21</v>
      </c>
      <c r="J430" t="s">
        <v>437</v>
      </c>
      <c r="K430" t="s">
        <v>456</v>
      </c>
      <c r="L430" t="s">
        <v>1420</v>
      </c>
      <c r="M430">
        <v>2120</v>
      </c>
      <c r="N430" t="s">
        <v>1234</v>
      </c>
      <c r="O430" t="s">
        <v>1252</v>
      </c>
      <c r="P430" t="s">
        <v>21</v>
      </c>
      <c r="Q430" t="s">
        <v>21</v>
      </c>
      <c r="R430" t="s">
        <v>1419</v>
      </c>
      <c r="S430" t="s">
        <v>21</v>
      </c>
      <c r="T430" t="s">
        <v>1345</v>
      </c>
      <c r="U430" t="s">
        <v>1347</v>
      </c>
      <c r="V430" t="s">
        <v>1725</v>
      </c>
      <c r="W430" t="s">
        <v>1524</v>
      </c>
    </row>
    <row r="431" spans="1:23" x14ac:dyDescent="0.35">
      <c r="A431">
        <v>4</v>
      </c>
      <c r="B431">
        <v>2133</v>
      </c>
      <c r="C431">
        <v>2133</v>
      </c>
      <c r="D431" t="s">
        <v>21</v>
      </c>
      <c r="E431" t="s">
        <v>107</v>
      </c>
      <c r="F431" t="s">
        <v>344</v>
      </c>
      <c r="G431" t="s">
        <v>408</v>
      </c>
      <c r="H431" t="s">
        <v>416</v>
      </c>
      <c r="I431" t="s">
        <v>21</v>
      </c>
      <c r="J431" t="s">
        <v>437</v>
      </c>
      <c r="K431" t="s">
        <v>456</v>
      </c>
      <c r="L431" t="s">
        <v>1421</v>
      </c>
      <c r="M431">
        <v>2109</v>
      </c>
      <c r="N431" t="s">
        <v>1422</v>
      </c>
      <c r="O431" t="s">
        <v>1252</v>
      </c>
      <c r="P431" t="s">
        <v>21</v>
      </c>
      <c r="Q431" t="s">
        <v>21</v>
      </c>
      <c r="R431" t="s">
        <v>1419</v>
      </c>
      <c r="S431" t="s">
        <v>21</v>
      </c>
      <c r="T431" t="s">
        <v>1345</v>
      </c>
      <c r="U431" t="s">
        <v>1347</v>
      </c>
      <c r="V431" t="s">
        <v>1725</v>
      </c>
      <c r="W431" t="s">
        <v>1524</v>
      </c>
    </row>
    <row r="432" spans="1:23" x14ac:dyDescent="0.35">
      <c r="A432">
        <v>5</v>
      </c>
      <c r="B432">
        <v>2133</v>
      </c>
      <c r="C432">
        <v>2133</v>
      </c>
      <c r="D432" t="s">
        <v>21</v>
      </c>
      <c r="E432" t="s">
        <v>107</v>
      </c>
      <c r="F432" t="s">
        <v>344</v>
      </c>
      <c r="G432" t="s">
        <v>408</v>
      </c>
      <c r="H432" t="s">
        <v>416</v>
      </c>
      <c r="I432" t="s">
        <v>21</v>
      </c>
      <c r="J432" t="s">
        <v>437</v>
      </c>
      <c r="K432" t="s">
        <v>456</v>
      </c>
      <c r="L432" t="s">
        <v>1423</v>
      </c>
      <c r="M432">
        <v>2109</v>
      </c>
      <c r="N432" t="s">
        <v>1422</v>
      </c>
      <c r="O432" t="s">
        <v>1252</v>
      </c>
      <c r="P432" t="s">
        <v>21</v>
      </c>
      <c r="Q432" t="s">
        <v>21</v>
      </c>
      <c r="R432" t="s">
        <v>1419</v>
      </c>
      <c r="S432" t="s">
        <v>21</v>
      </c>
      <c r="T432" t="s">
        <v>1345</v>
      </c>
      <c r="U432" t="s">
        <v>1347</v>
      </c>
      <c r="V432" t="s">
        <v>1725</v>
      </c>
      <c r="W432" t="s">
        <v>1524</v>
      </c>
    </row>
    <row r="433" spans="1:23" x14ac:dyDescent="0.35">
      <c r="A433">
        <v>6</v>
      </c>
      <c r="B433">
        <v>2133</v>
      </c>
      <c r="C433">
        <v>2133</v>
      </c>
      <c r="D433" t="s">
        <v>21</v>
      </c>
      <c r="E433" t="s">
        <v>107</v>
      </c>
      <c r="F433" t="s">
        <v>344</v>
      </c>
      <c r="G433" t="s">
        <v>408</v>
      </c>
      <c r="H433" t="s">
        <v>416</v>
      </c>
      <c r="I433" t="s">
        <v>21</v>
      </c>
      <c r="J433" t="s">
        <v>437</v>
      </c>
      <c r="K433" t="s">
        <v>456</v>
      </c>
      <c r="L433" t="s">
        <v>1424</v>
      </c>
      <c r="M433">
        <v>2109</v>
      </c>
      <c r="N433" t="s">
        <v>1422</v>
      </c>
      <c r="O433" t="s">
        <v>1252</v>
      </c>
      <c r="P433" t="s">
        <v>21</v>
      </c>
      <c r="Q433" t="s">
        <v>21</v>
      </c>
      <c r="R433" t="s">
        <v>1419</v>
      </c>
      <c r="S433" t="s">
        <v>21</v>
      </c>
      <c r="T433" t="s">
        <v>1345</v>
      </c>
      <c r="U433" t="s">
        <v>1347</v>
      </c>
      <c r="V433" t="s">
        <v>1725</v>
      </c>
      <c r="W433" t="s">
        <v>1524</v>
      </c>
    </row>
    <row r="434" spans="1:23" x14ac:dyDescent="0.35">
      <c r="A434">
        <v>7</v>
      </c>
      <c r="B434">
        <v>2133</v>
      </c>
      <c r="C434">
        <v>2133</v>
      </c>
      <c r="D434" t="s">
        <v>21</v>
      </c>
      <c r="E434" t="s">
        <v>107</v>
      </c>
      <c r="F434" t="s">
        <v>344</v>
      </c>
      <c r="G434" t="s">
        <v>408</v>
      </c>
      <c r="H434" t="s">
        <v>416</v>
      </c>
      <c r="I434" t="s">
        <v>21</v>
      </c>
      <c r="J434" t="s">
        <v>437</v>
      </c>
      <c r="K434" t="s">
        <v>456</v>
      </c>
      <c r="L434" t="s">
        <v>1425</v>
      </c>
      <c r="M434">
        <v>2109</v>
      </c>
      <c r="N434" t="s">
        <v>1422</v>
      </c>
      <c r="O434" t="s">
        <v>1252</v>
      </c>
      <c r="P434" t="s">
        <v>21</v>
      </c>
      <c r="Q434" t="s">
        <v>21</v>
      </c>
      <c r="R434" t="s">
        <v>1419</v>
      </c>
      <c r="S434" t="s">
        <v>21</v>
      </c>
      <c r="T434" t="s">
        <v>1345</v>
      </c>
      <c r="U434" t="s">
        <v>1347</v>
      </c>
      <c r="V434" t="s">
        <v>1725</v>
      </c>
      <c r="W434" t="s">
        <v>1524</v>
      </c>
    </row>
    <row r="435" spans="1:23" x14ac:dyDescent="0.35">
      <c r="A435">
        <v>8</v>
      </c>
      <c r="B435">
        <v>2133</v>
      </c>
      <c r="C435">
        <v>2133</v>
      </c>
      <c r="D435" t="s">
        <v>21</v>
      </c>
      <c r="E435" t="s">
        <v>107</v>
      </c>
      <c r="F435" t="s">
        <v>344</v>
      </c>
      <c r="G435" t="s">
        <v>408</v>
      </c>
      <c r="H435" t="s">
        <v>416</v>
      </c>
      <c r="I435" t="s">
        <v>21</v>
      </c>
      <c r="J435" t="s">
        <v>437</v>
      </c>
      <c r="K435" t="s">
        <v>456</v>
      </c>
      <c r="L435" t="s">
        <v>1426</v>
      </c>
      <c r="M435">
        <v>2109</v>
      </c>
      <c r="N435" t="s">
        <v>1422</v>
      </c>
      <c r="O435" t="s">
        <v>1252</v>
      </c>
      <c r="P435" t="s">
        <v>21</v>
      </c>
      <c r="Q435" t="s">
        <v>21</v>
      </c>
      <c r="R435" t="s">
        <v>1419</v>
      </c>
      <c r="S435" t="s">
        <v>21</v>
      </c>
      <c r="T435" t="s">
        <v>1345</v>
      </c>
      <c r="U435" t="s">
        <v>1347</v>
      </c>
      <c r="V435" t="s">
        <v>1725</v>
      </c>
      <c r="W435" t="s">
        <v>1524</v>
      </c>
    </row>
    <row r="436" spans="1:23" x14ac:dyDescent="0.35">
      <c r="A436">
        <v>9</v>
      </c>
      <c r="B436">
        <v>2133</v>
      </c>
      <c r="C436">
        <v>2133</v>
      </c>
      <c r="D436" t="s">
        <v>21</v>
      </c>
      <c r="E436" t="s">
        <v>107</v>
      </c>
      <c r="F436" t="s">
        <v>344</v>
      </c>
      <c r="G436" t="s">
        <v>408</v>
      </c>
      <c r="H436" t="s">
        <v>416</v>
      </c>
      <c r="I436" t="s">
        <v>21</v>
      </c>
      <c r="J436" t="s">
        <v>437</v>
      </c>
      <c r="K436" t="s">
        <v>456</v>
      </c>
      <c r="L436" t="s">
        <v>1427</v>
      </c>
      <c r="M436">
        <v>2109</v>
      </c>
      <c r="N436" t="s">
        <v>1422</v>
      </c>
      <c r="O436" t="s">
        <v>1252</v>
      </c>
      <c r="P436" t="s">
        <v>21</v>
      </c>
      <c r="Q436" t="s">
        <v>21</v>
      </c>
      <c r="R436" t="s">
        <v>1419</v>
      </c>
      <c r="S436" t="s">
        <v>21</v>
      </c>
      <c r="T436" t="s">
        <v>1345</v>
      </c>
      <c r="U436" t="s">
        <v>1347</v>
      </c>
      <c r="V436" t="s">
        <v>1725</v>
      </c>
      <c r="W436" t="s">
        <v>1524</v>
      </c>
    </row>
    <row r="437" spans="1:23" x14ac:dyDescent="0.35">
      <c r="A437">
        <v>10</v>
      </c>
      <c r="B437">
        <v>2133</v>
      </c>
      <c r="C437">
        <v>2133</v>
      </c>
      <c r="D437" t="s">
        <v>21</v>
      </c>
      <c r="E437" t="s">
        <v>107</v>
      </c>
      <c r="F437" t="s">
        <v>344</v>
      </c>
      <c r="G437" t="s">
        <v>408</v>
      </c>
      <c r="H437" t="s">
        <v>416</v>
      </c>
      <c r="I437" t="s">
        <v>21</v>
      </c>
      <c r="J437" t="s">
        <v>437</v>
      </c>
      <c r="K437" t="s">
        <v>456</v>
      </c>
      <c r="L437" t="s">
        <v>1428</v>
      </c>
      <c r="M437">
        <v>2109</v>
      </c>
      <c r="N437" t="s">
        <v>1422</v>
      </c>
      <c r="O437" t="s">
        <v>1252</v>
      </c>
      <c r="P437" t="s">
        <v>21</v>
      </c>
      <c r="Q437" t="s">
        <v>21</v>
      </c>
      <c r="R437" t="s">
        <v>1419</v>
      </c>
      <c r="S437" t="s">
        <v>21</v>
      </c>
      <c r="T437" t="s">
        <v>1345</v>
      </c>
      <c r="U437" t="s">
        <v>1347</v>
      </c>
      <c r="V437" t="s">
        <v>1725</v>
      </c>
      <c r="W437" t="s">
        <v>1524</v>
      </c>
    </row>
    <row r="438" spans="1:23" x14ac:dyDescent="0.35">
      <c r="A438">
        <v>11</v>
      </c>
      <c r="B438">
        <v>2133</v>
      </c>
      <c r="C438">
        <v>2133</v>
      </c>
      <c r="D438" t="s">
        <v>21</v>
      </c>
      <c r="E438" t="s">
        <v>107</v>
      </c>
      <c r="F438" t="s">
        <v>344</v>
      </c>
      <c r="G438" t="s">
        <v>408</v>
      </c>
      <c r="H438" t="s">
        <v>416</v>
      </c>
      <c r="I438" t="s">
        <v>21</v>
      </c>
      <c r="J438" t="s">
        <v>437</v>
      </c>
      <c r="K438" t="s">
        <v>456</v>
      </c>
      <c r="L438" t="s">
        <v>1429</v>
      </c>
      <c r="M438">
        <v>2109</v>
      </c>
      <c r="N438" t="s">
        <v>1422</v>
      </c>
      <c r="O438" t="s">
        <v>1252</v>
      </c>
      <c r="P438" t="s">
        <v>21</v>
      </c>
      <c r="Q438" t="s">
        <v>21</v>
      </c>
      <c r="R438" t="s">
        <v>1419</v>
      </c>
      <c r="S438" t="s">
        <v>21</v>
      </c>
      <c r="T438" t="s">
        <v>1345</v>
      </c>
      <c r="U438" t="s">
        <v>1347</v>
      </c>
      <c r="V438" t="s">
        <v>1725</v>
      </c>
      <c r="W438" t="s">
        <v>1524</v>
      </c>
    </row>
    <row r="439" spans="1:23" x14ac:dyDescent="0.35">
      <c r="A439">
        <v>12</v>
      </c>
      <c r="B439">
        <v>2133</v>
      </c>
      <c r="C439">
        <v>2133</v>
      </c>
      <c r="D439" t="s">
        <v>21</v>
      </c>
      <c r="E439" t="s">
        <v>107</v>
      </c>
      <c r="F439" t="s">
        <v>344</v>
      </c>
      <c r="G439" t="s">
        <v>408</v>
      </c>
      <c r="H439" t="s">
        <v>416</v>
      </c>
      <c r="I439" t="s">
        <v>21</v>
      </c>
      <c r="J439" t="s">
        <v>437</v>
      </c>
      <c r="K439" t="s">
        <v>456</v>
      </c>
      <c r="L439" t="s">
        <v>1430</v>
      </c>
      <c r="M439">
        <v>2109</v>
      </c>
      <c r="N439" t="s">
        <v>1422</v>
      </c>
      <c r="O439" t="s">
        <v>1252</v>
      </c>
      <c r="P439" t="s">
        <v>21</v>
      </c>
      <c r="Q439" t="s">
        <v>21</v>
      </c>
      <c r="R439" t="s">
        <v>1419</v>
      </c>
      <c r="S439" t="s">
        <v>21</v>
      </c>
      <c r="T439" t="s">
        <v>1345</v>
      </c>
      <c r="U439" t="s">
        <v>1347</v>
      </c>
      <c r="V439" t="s">
        <v>1725</v>
      </c>
      <c r="W439" t="s">
        <v>1524</v>
      </c>
    </row>
    <row r="440" spans="1:23" x14ac:dyDescent="0.35">
      <c r="A440">
        <v>13</v>
      </c>
      <c r="B440">
        <v>2133</v>
      </c>
      <c r="C440">
        <v>2133</v>
      </c>
      <c r="D440" t="s">
        <v>21</v>
      </c>
      <c r="E440" t="s">
        <v>107</v>
      </c>
      <c r="F440" t="s">
        <v>344</v>
      </c>
      <c r="G440" t="s">
        <v>408</v>
      </c>
      <c r="H440" t="s">
        <v>416</v>
      </c>
      <c r="I440" t="s">
        <v>21</v>
      </c>
      <c r="J440" t="s">
        <v>437</v>
      </c>
      <c r="K440" t="s">
        <v>456</v>
      </c>
      <c r="L440" t="s">
        <v>1431</v>
      </c>
      <c r="M440">
        <v>2109</v>
      </c>
      <c r="N440" t="s">
        <v>1422</v>
      </c>
      <c r="O440" t="s">
        <v>1252</v>
      </c>
      <c r="P440" t="s">
        <v>21</v>
      </c>
      <c r="Q440" t="s">
        <v>21</v>
      </c>
      <c r="R440" t="s">
        <v>1419</v>
      </c>
      <c r="S440" t="s">
        <v>21</v>
      </c>
      <c r="T440" t="s">
        <v>1345</v>
      </c>
      <c r="U440" t="s">
        <v>1347</v>
      </c>
      <c r="V440" t="s">
        <v>1725</v>
      </c>
      <c r="W440" t="s">
        <v>1524</v>
      </c>
    </row>
    <row r="441" spans="1:23" x14ac:dyDescent="0.35">
      <c r="A441">
        <v>14</v>
      </c>
      <c r="B441">
        <v>2133</v>
      </c>
      <c r="C441">
        <v>2133</v>
      </c>
      <c r="D441" t="s">
        <v>21</v>
      </c>
      <c r="E441" t="s">
        <v>109</v>
      </c>
      <c r="F441" t="s">
        <v>376</v>
      </c>
      <c r="G441" t="s">
        <v>408</v>
      </c>
      <c r="H441" t="s">
        <v>413</v>
      </c>
      <c r="I441" t="s">
        <v>21</v>
      </c>
      <c r="J441" t="s">
        <v>437</v>
      </c>
      <c r="K441" t="s">
        <v>456</v>
      </c>
      <c r="L441" t="s">
        <v>1432</v>
      </c>
      <c r="M441">
        <v>2123</v>
      </c>
      <c r="N441" t="s">
        <v>1234</v>
      </c>
      <c r="O441" t="s">
        <v>1252</v>
      </c>
      <c r="P441" t="s">
        <v>21</v>
      </c>
      <c r="Q441" t="s">
        <v>21</v>
      </c>
      <c r="R441" t="s">
        <v>21</v>
      </c>
      <c r="S441" t="s">
        <v>21</v>
      </c>
      <c r="T441" t="s">
        <v>1345</v>
      </c>
      <c r="U441" t="s">
        <v>1347</v>
      </c>
      <c r="V441" t="s">
        <v>1725</v>
      </c>
      <c r="W441" t="s">
        <v>1524</v>
      </c>
    </row>
    <row r="442" spans="1:23" x14ac:dyDescent="0.35">
      <c r="A442">
        <v>1</v>
      </c>
      <c r="B442">
        <v>2125</v>
      </c>
      <c r="C442">
        <v>2125</v>
      </c>
      <c r="D442" t="s">
        <v>21</v>
      </c>
      <c r="E442" t="s">
        <v>121</v>
      </c>
      <c r="F442" t="s">
        <v>267</v>
      </c>
      <c r="G442" t="s">
        <v>408</v>
      </c>
      <c r="H442" t="s">
        <v>414</v>
      </c>
      <c r="I442" t="s">
        <v>21</v>
      </c>
      <c r="J442" t="s">
        <v>438</v>
      </c>
      <c r="K442" t="s">
        <v>457</v>
      </c>
      <c r="L442" t="s">
        <v>919</v>
      </c>
      <c r="M442">
        <v>2123</v>
      </c>
      <c r="N442" t="s">
        <v>1235</v>
      </c>
      <c r="O442" t="s">
        <v>1252</v>
      </c>
      <c r="P442" t="s">
        <v>21</v>
      </c>
      <c r="Q442" t="s">
        <v>21</v>
      </c>
      <c r="R442" t="s">
        <v>21</v>
      </c>
      <c r="S442" t="s">
        <v>21</v>
      </c>
      <c r="T442" t="s">
        <v>1345</v>
      </c>
      <c r="U442" t="s">
        <v>1347</v>
      </c>
      <c r="V442" t="s">
        <v>1726</v>
      </c>
      <c r="W442" t="s">
        <v>1523</v>
      </c>
    </row>
    <row r="443" spans="1:23" x14ac:dyDescent="0.35">
      <c r="A443">
        <v>2</v>
      </c>
      <c r="B443">
        <v>2125</v>
      </c>
      <c r="C443">
        <v>2125</v>
      </c>
      <c r="D443" t="s">
        <v>21</v>
      </c>
      <c r="E443" t="s">
        <v>121</v>
      </c>
      <c r="F443" t="s">
        <v>267</v>
      </c>
      <c r="G443" t="s">
        <v>408</v>
      </c>
      <c r="H443" t="s">
        <v>414</v>
      </c>
      <c r="I443" t="s">
        <v>21</v>
      </c>
      <c r="J443" t="s">
        <v>438</v>
      </c>
      <c r="K443" t="s">
        <v>457</v>
      </c>
      <c r="L443" t="s">
        <v>920</v>
      </c>
      <c r="M443">
        <v>2123</v>
      </c>
      <c r="N443" t="s">
        <v>1235</v>
      </c>
      <c r="O443" t="s">
        <v>1252</v>
      </c>
      <c r="P443" t="s">
        <v>21</v>
      </c>
      <c r="Q443" t="s">
        <v>21</v>
      </c>
      <c r="R443" t="s">
        <v>21</v>
      </c>
      <c r="S443" t="s">
        <v>21</v>
      </c>
      <c r="T443" t="s">
        <v>1345</v>
      </c>
      <c r="U443" t="s">
        <v>1347</v>
      </c>
      <c r="V443" t="s">
        <v>1726</v>
      </c>
      <c r="W443" t="s">
        <v>1523</v>
      </c>
    </row>
    <row r="444" spans="1:23" x14ac:dyDescent="0.35">
      <c r="A444">
        <v>1</v>
      </c>
      <c r="B444">
        <v>2116</v>
      </c>
      <c r="C444">
        <v>2116</v>
      </c>
      <c r="D444" t="s">
        <v>21</v>
      </c>
      <c r="E444" t="s">
        <v>72</v>
      </c>
      <c r="F444" t="s">
        <v>268</v>
      </c>
      <c r="G444" t="s">
        <v>408</v>
      </c>
      <c r="H444" t="s">
        <v>414</v>
      </c>
      <c r="I444" t="s">
        <v>21</v>
      </c>
      <c r="J444" t="s">
        <v>435</v>
      </c>
      <c r="K444" t="s">
        <v>454</v>
      </c>
      <c r="L444" t="s">
        <v>921</v>
      </c>
      <c r="M444">
        <v>2113</v>
      </c>
      <c r="N444" t="s">
        <v>1236</v>
      </c>
      <c r="O444" t="s">
        <v>1252</v>
      </c>
      <c r="P444" t="s">
        <v>21</v>
      </c>
      <c r="Q444" t="s">
        <v>21</v>
      </c>
      <c r="R444" t="s">
        <v>1299</v>
      </c>
      <c r="S444" t="s">
        <v>1299</v>
      </c>
      <c r="T444" t="s">
        <v>1338</v>
      </c>
      <c r="U444" t="s">
        <v>1347</v>
      </c>
      <c r="V444" t="s">
        <v>1727</v>
      </c>
      <c r="W444" t="s">
        <v>1525</v>
      </c>
    </row>
    <row r="445" spans="1:23" x14ac:dyDescent="0.35">
      <c r="A445">
        <v>2</v>
      </c>
      <c r="B445">
        <v>2125</v>
      </c>
      <c r="C445">
        <v>2125</v>
      </c>
      <c r="D445" t="s">
        <v>21</v>
      </c>
      <c r="E445" t="s">
        <v>122</v>
      </c>
      <c r="F445" t="s">
        <v>269</v>
      </c>
      <c r="G445" t="s">
        <v>408</v>
      </c>
      <c r="H445" t="s">
        <v>411</v>
      </c>
      <c r="I445" t="s">
        <v>21</v>
      </c>
      <c r="J445" t="s">
        <v>435</v>
      </c>
      <c r="K445" t="s">
        <v>454</v>
      </c>
      <c r="L445" t="s">
        <v>922</v>
      </c>
      <c r="M445">
        <v>2119</v>
      </c>
      <c r="N445" t="s">
        <v>1236</v>
      </c>
      <c r="O445" t="s">
        <v>1252</v>
      </c>
      <c r="P445" t="s">
        <v>21</v>
      </c>
      <c r="Q445" t="s">
        <v>21</v>
      </c>
      <c r="R445" t="s">
        <v>21</v>
      </c>
      <c r="S445" t="s">
        <v>21</v>
      </c>
      <c r="T445" t="s">
        <v>1345</v>
      </c>
      <c r="U445" t="s">
        <v>1347</v>
      </c>
      <c r="V445" t="s">
        <v>1726</v>
      </c>
      <c r="W445" t="s">
        <v>1523</v>
      </c>
    </row>
    <row r="446" spans="1:23" x14ac:dyDescent="0.35">
      <c r="A446">
        <v>3</v>
      </c>
      <c r="B446">
        <v>2125</v>
      </c>
      <c r="C446">
        <v>2125</v>
      </c>
      <c r="D446" t="s">
        <v>21</v>
      </c>
      <c r="E446" t="s">
        <v>122</v>
      </c>
      <c r="F446" t="s">
        <v>269</v>
      </c>
      <c r="G446" t="s">
        <v>408</v>
      </c>
      <c r="H446" t="s">
        <v>411</v>
      </c>
      <c r="I446" t="s">
        <v>21</v>
      </c>
      <c r="J446" t="s">
        <v>435</v>
      </c>
      <c r="K446" t="s">
        <v>454</v>
      </c>
      <c r="L446" t="s">
        <v>923</v>
      </c>
      <c r="M446">
        <v>2119</v>
      </c>
      <c r="N446" t="s">
        <v>1236</v>
      </c>
      <c r="O446" t="s">
        <v>1252</v>
      </c>
      <c r="P446" t="s">
        <v>21</v>
      </c>
      <c r="Q446" t="s">
        <v>21</v>
      </c>
      <c r="R446" t="s">
        <v>21</v>
      </c>
      <c r="S446" t="s">
        <v>21</v>
      </c>
      <c r="T446" t="s">
        <v>1345</v>
      </c>
      <c r="U446" t="s">
        <v>1347</v>
      </c>
      <c r="V446" t="s">
        <v>1726</v>
      </c>
      <c r="W446" t="s">
        <v>1523</v>
      </c>
    </row>
    <row r="447" spans="1:23" x14ac:dyDescent="0.35">
      <c r="A447">
        <v>4</v>
      </c>
      <c r="B447">
        <v>2126</v>
      </c>
      <c r="C447">
        <v>2126</v>
      </c>
      <c r="D447" t="s">
        <v>21</v>
      </c>
      <c r="E447" t="s">
        <v>90</v>
      </c>
      <c r="F447" t="s">
        <v>266</v>
      </c>
      <c r="G447" t="s">
        <v>408</v>
      </c>
      <c r="H447" t="s">
        <v>411</v>
      </c>
      <c r="I447" t="s">
        <v>21</v>
      </c>
      <c r="J447" t="s">
        <v>435</v>
      </c>
      <c r="K447" t="s">
        <v>454</v>
      </c>
      <c r="L447" t="s">
        <v>924</v>
      </c>
      <c r="M447">
        <v>2119</v>
      </c>
      <c r="N447" t="s">
        <v>1236</v>
      </c>
      <c r="O447" t="s">
        <v>1252</v>
      </c>
      <c r="P447" t="s">
        <v>21</v>
      </c>
      <c r="Q447" t="s">
        <v>21</v>
      </c>
      <c r="R447" t="s">
        <v>21</v>
      </c>
      <c r="S447" t="s">
        <v>21</v>
      </c>
      <c r="T447" t="s">
        <v>1345</v>
      </c>
      <c r="U447" t="s">
        <v>1347</v>
      </c>
      <c r="V447" t="s">
        <v>1728</v>
      </c>
      <c r="W447" t="s">
        <v>1523</v>
      </c>
    </row>
    <row r="448" spans="1:23" x14ac:dyDescent="0.35">
      <c r="A448">
        <v>5</v>
      </c>
      <c r="B448">
        <v>2126</v>
      </c>
      <c r="C448">
        <v>2126</v>
      </c>
      <c r="D448" t="s">
        <v>21</v>
      </c>
      <c r="E448" t="s">
        <v>90</v>
      </c>
      <c r="F448" t="s">
        <v>266</v>
      </c>
      <c r="G448" t="s">
        <v>408</v>
      </c>
      <c r="H448" t="s">
        <v>411</v>
      </c>
      <c r="I448" t="s">
        <v>21</v>
      </c>
      <c r="J448" t="s">
        <v>435</v>
      </c>
      <c r="K448" t="s">
        <v>454</v>
      </c>
      <c r="L448" t="s">
        <v>925</v>
      </c>
      <c r="M448">
        <v>2119</v>
      </c>
      <c r="N448" t="s">
        <v>1236</v>
      </c>
      <c r="O448" t="s">
        <v>1252</v>
      </c>
      <c r="P448" t="s">
        <v>21</v>
      </c>
      <c r="Q448" t="s">
        <v>21</v>
      </c>
      <c r="R448" t="s">
        <v>21</v>
      </c>
      <c r="S448" t="s">
        <v>21</v>
      </c>
      <c r="T448" t="s">
        <v>1345</v>
      </c>
      <c r="U448" t="s">
        <v>1347</v>
      </c>
      <c r="V448" t="s">
        <v>1728</v>
      </c>
      <c r="W448" t="s">
        <v>1523</v>
      </c>
    </row>
    <row r="449" spans="1:23" x14ac:dyDescent="0.35">
      <c r="A449">
        <v>6</v>
      </c>
      <c r="B449">
        <v>2126</v>
      </c>
      <c r="C449">
        <v>2126</v>
      </c>
      <c r="D449" t="s">
        <v>21</v>
      </c>
      <c r="E449" t="s">
        <v>90</v>
      </c>
      <c r="F449" t="s">
        <v>266</v>
      </c>
      <c r="G449" t="s">
        <v>408</v>
      </c>
      <c r="H449" t="s">
        <v>411</v>
      </c>
      <c r="I449" t="s">
        <v>21</v>
      </c>
      <c r="J449" t="s">
        <v>435</v>
      </c>
      <c r="K449" t="s">
        <v>454</v>
      </c>
      <c r="L449" t="s">
        <v>926</v>
      </c>
      <c r="M449">
        <v>2119</v>
      </c>
      <c r="N449" t="s">
        <v>1236</v>
      </c>
      <c r="O449" t="s">
        <v>1252</v>
      </c>
      <c r="P449" t="s">
        <v>21</v>
      </c>
      <c r="Q449" t="s">
        <v>21</v>
      </c>
      <c r="R449" t="s">
        <v>21</v>
      </c>
      <c r="S449" t="s">
        <v>21</v>
      </c>
      <c r="T449" t="s">
        <v>1345</v>
      </c>
      <c r="U449" t="s">
        <v>1347</v>
      </c>
      <c r="V449" t="s">
        <v>1728</v>
      </c>
      <c r="W449" t="s">
        <v>1523</v>
      </c>
    </row>
    <row r="450" spans="1:23" x14ac:dyDescent="0.35">
      <c r="A450">
        <v>7</v>
      </c>
      <c r="B450">
        <v>2129</v>
      </c>
      <c r="C450">
        <v>2129</v>
      </c>
      <c r="D450" t="s">
        <v>21</v>
      </c>
      <c r="E450" t="s">
        <v>28</v>
      </c>
      <c r="F450" t="s">
        <v>243</v>
      </c>
      <c r="G450" t="s">
        <v>408</v>
      </c>
      <c r="H450" t="s">
        <v>410</v>
      </c>
      <c r="I450" t="s">
        <v>21</v>
      </c>
      <c r="J450" t="s">
        <v>435</v>
      </c>
      <c r="K450" t="s">
        <v>454</v>
      </c>
      <c r="L450" t="s">
        <v>927</v>
      </c>
      <c r="M450">
        <v>2124</v>
      </c>
      <c r="N450" t="s">
        <v>1236</v>
      </c>
      <c r="O450" t="s">
        <v>1252</v>
      </c>
      <c r="P450" t="s">
        <v>21</v>
      </c>
      <c r="Q450" t="s">
        <v>21</v>
      </c>
      <c r="R450" t="s">
        <v>1298</v>
      </c>
      <c r="S450" t="s">
        <v>1298</v>
      </c>
      <c r="T450" t="s">
        <v>410</v>
      </c>
      <c r="U450" t="s">
        <v>1347</v>
      </c>
      <c r="V450" t="s">
        <v>1696</v>
      </c>
      <c r="W450" t="s">
        <v>1498</v>
      </c>
    </row>
    <row r="451" spans="1:23" x14ac:dyDescent="0.35">
      <c r="A451">
        <v>8</v>
      </c>
      <c r="B451">
        <v>2130</v>
      </c>
      <c r="C451">
        <v>2130</v>
      </c>
      <c r="D451" t="s">
        <v>21</v>
      </c>
      <c r="E451" t="s">
        <v>202</v>
      </c>
      <c r="F451" t="s">
        <v>363</v>
      </c>
      <c r="G451" t="s">
        <v>408</v>
      </c>
      <c r="H451" t="s">
        <v>410</v>
      </c>
      <c r="I451" t="s">
        <v>21</v>
      </c>
      <c r="J451" t="s">
        <v>435</v>
      </c>
      <c r="K451" t="s">
        <v>454</v>
      </c>
      <c r="L451" t="s">
        <v>1433</v>
      </c>
      <c r="M451">
        <v>2127</v>
      </c>
      <c r="N451" t="s">
        <v>1236</v>
      </c>
      <c r="O451" t="s">
        <v>1252</v>
      </c>
      <c r="P451" t="s">
        <v>21</v>
      </c>
      <c r="Q451" t="s">
        <v>21</v>
      </c>
      <c r="R451" t="s">
        <v>1434</v>
      </c>
      <c r="S451" t="s">
        <v>1434</v>
      </c>
      <c r="T451" t="s">
        <v>1346</v>
      </c>
      <c r="U451" t="s">
        <v>1347</v>
      </c>
      <c r="V451" t="s">
        <v>1729</v>
      </c>
      <c r="W451" t="s">
        <v>1526</v>
      </c>
    </row>
    <row r="452" spans="1:23" x14ac:dyDescent="0.35">
      <c r="A452">
        <v>1</v>
      </c>
      <c r="B452">
        <v>2009</v>
      </c>
      <c r="C452">
        <v>2009</v>
      </c>
      <c r="D452" t="s">
        <v>23</v>
      </c>
      <c r="E452" t="s">
        <v>123</v>
      </c>
      <c r="F452" t="s">
        <v>270</v>
      </c>
      <c r="G452" t="s">
        <v>409</v>
      </c>
      <c r="H452" t="s">
        <v>410</v>
      </c>
      <c r="I452" t="s">
        <v>23</v>
      </c>
      <c r="J452" t="s">
        <v>440</v>
      </c>
      <c r="K452" t="s">
        <v>484</v>
      </c>
      <c r="L452" t="s">
        <v>928</v>
      </c>
      <c r="M452">
        <v>2003</v>
      </c>
      <c r="N452" t="s">
        <v>1237</v>
      </c>
      <c r="O452" t="s">
        <v>1253</v>
      </c>
      <c r="P452" t="s">
        <v>21</v>
      </c>
      <c r="Q452" t="s">
        <v>21</v>
      </c>
      <c r="R452" t="s">
        <v>1300</v>
      </c>
      <c r="S452" t="s">
        <v>1300</v>
      </c>
      <c r="T452" t="s">
        <v>1344</v>
      </c>
      <c r="U452" t="s">
        <v>1348</v>
      </c>
      <c r="V452" t="s">
        <v>1730</v>
      </c>
      <c r="W452" t="s">
        <v>1527</v>
      </c>
    </row>
    <row r="453" spans="1:23" x14ac:dyDescent="0.35">
      <c r="A453">
        <v>2</v>
      </c>
      <c r="B453">
        <v>2009</v>
      </c>
      <c r="C453">
        <v>2009</v>
      </c>
      <c r="D453" t="s">
        <v>23</v>
      </c>
      <c r="E453" t="s">
        <v>123</v>
      </c>
      <c r="F453" t="s">
        <v>270</v>
      </c>
      <c r="G453" t="s">
        <v>409</v>
      </c>
      <c r="H453" t="s">
        <v>410</v>
      </c>
      <c r="I453" t="s">
        <v>23</v>
      </c>
      <c r="J453" t="s">
        <v>443</v>
      </c>
      <c r="K453" t="s">
        <v>483</v>
      </c>
      <c r="L453" t="s">
        <v>929</v>
      </c>
      <c r="M453">
        <v>2003</v>
      </c>
      <c r="N453" t="s">
        <v>1238</v>
      </c>
      <c r="O453" t="s">
        <v>1253</v>
      </c>
      <c r="P453" t="s">
        <v>21</v>
      </c>
      <c r="Q453" t="s">
        <v>21</v>
      </c>
      <c r="R453" t="s">
        <v>1301</v>
      </c>
      <c r="S453" t="s">
        <v>1301</v>
      </c>
      <c r="T453" t="s">
        <v>1344</v>
      </c>
      <c r="U453" t="s">
        <v>1348</v>
      </c>
      <c r="V453" t="s">
        <v>1730</v>
      </c>
      <c r="W453" t="s">
        <v>1527</v>
      </c>
    </row>
    <row r="454" spans="1:23" x14ac:dyDescent="0.35">
      <c r="A454">
        <v>3</v>
      </c>
      <c r="B454">
        <v>2021</v>
      </c>
      <c r="C454">
        <v>2021</v>
      </c>
      <c r="D454" t="s">
        <v>23</v>
      </c>
      <c r="E454" t="s">
        <v>124</v>
      </c>
      <c r="F454" t="s">
        <v>271</v>
      </c>
      <c r="G454" t="s">
        <v>409</v>
      </c>
      <c r="H454" t="s">
        <v>410</v>
      </c>
      <c r="I454" t="s">
        <v>23</v>
      </c>
      <c r="J454" t="s">
        <v>440</v>
      </c>
      <c r="K454" t="s">
        <v>483</v>
      </c>
      <c r="L454" t="s">
        <v>930</v>
      </c>
      <c r="M454">
        <v>2008</v>
      </c>
      <c r="N454" t="s">
        <v>1238</v>
      </c>
      <c r="O454" t="s">
        <v>1253</v>
      </c>
      <c r="P454" t="s">
        <v>21</v>
      </c>
      <c r="Q454" t="s">
        <v>21</v>
      </c>
      <c r="R454" t="s">
        <v>1302</v>
      </c>
      <c r="S454" t="s">
        <v>1302</v>
      </c>
      <c r="T454" t="s">
        <v>1337</v>
      </c>
      <c r="U454" t="s">
        <v>1348</v>
      </c>
      <c r="V454" t="s">
        <v>1731</v>
      </c>
      <c r="W454" t="s">
        <v>1528</v>
      </c>
    </row>
    <row r="455" spans="1:23" x14ac:dyDescent="0.35">
      <c r="A455">
        <v>4</v>
      </c>
      <c r="B455">
        <v>2021</v>
      </c>
      <c r="C455">
        <v>2021</v>
      </c>
      <c r="D455" t="s">
        <v>23</v>
      </c>
      <c r="E455" t="s">
        <v>124</v>
      </c>
      <c r="F455" t="s">
        <v>271</v>
      </c>
      <c r="G455" t="s">
        <v>409</v>
      </c>
      <c r="H455" t="s">
        <v>410</v>
      </c>
      <c r="I455" t="s">
        <v>23</v>
      </c>
      <c r="J455" t="s">
        <v>443</v>
      </c>
      <c r="K455" t="s">
        <v>484</v>
      </c>
      <c r="L455" t="s">
        <v>931</v>
      </c>
      <c r="M455">
        <v>2009</v>
      </c>
      <c r="N455" t="s">
        <v>1237</v>
      </c>
      <c r="O455" t="s">
        <v>1253</v>
      </c>
      <c r="P455" t="s">
        <v>21</v>
      </c>
      <c r="Q455" t="s">
        <v>21</v>
      </c>
      <c r="R455" t="s">
        <v>1302</v>
      </c>
      <c r="S455" t="s">
        <v>1302</v>
      </c>
      <c r="T455" t="s">
        <v>1337</v>
      </c>
      <c r="U455" t="s">
        <v>1348</v>
      </c>
      <c r="V455" t="s">
        <v>1731</v>
      </c>
      <c r="W455" t="s">
        <v>1528</v>
      </c>
    </row>
    <row r="456" spans="1:23" x14ac:dyDescent="0.35">
      <c r="A456">
        <v>5</v>
      </c>
      <c r="B456">
        <v>2021</v>
      </c>
      <c r="C456">
        <v>2021</v>
      </c>
      <c r="D456" t="s">
        <v>23</v>
      </c>
      <c r="E456" t="s">
        <v>125</v>
      </c>
      <c r="F456" t="s">
        <v>272</v>
      </c>
      <c r="G456" t="s">
        <v>409</v>
      </c>
      <c r="H456" t="s">
        <v>410</v>
      </c>
      <c r="I456" t="s">
        <v>23</v>
      </c>
      <c r="J456" t="s">
        <v>443</v>
      </c>
      <c r="K456" t="s">
        <v>484</v>
      </c>
      <c r="L456" t="s">
        <v>932</v>
      </c>
      <c r="M456">
        <v>2003</v>
      </c>
      <c r="N456" t="s">
        <v>1237</v>
      </c>
      <c r="O456" t="s">
        <v>1253</v>
      </c>
      <c r="P456" t="s">
        <v>21</v>
      </c>
      <c r="Q456" t="s">
        <v>21</v>
      </c>
      <c r="R456" t="s">
        <v>1302</v>
      </c>
      <c r="S456" t="s">
        <v>1302</v>
      </c>
      <c r="T456" t="s">
        <v>1337</v>
      </c>
      <c r="U456" t="s">
        <v>1348</v>
      </c>
      <c r="V456" t="s">
        <v>1731</v>
      </c>
      <c r="W456" t="s">
        <v>1528</v>
      </c>
    </row>
    <row r="457" spans="1:23" x14ac:dyDescent="0.35">
      <c r="A457">
        <v>6</v>
      </c>
      <c r="B457">
        <v>2021</v>
      </c>
      <c r="C457">
        <v>2021</v>
      </c>
      <c r="D457" t="s">
        <v>23</v>
      </c>
      <c r="E457" t="s">
        <v>125</v>
      </c>
      <c r="F457" t="s">
        <v>272</v>
      </c>
      <c r="G457" t="s">
        <v>409</v>
      </c>
      <c r="H457" t="s">
        <v>410</v>
      </c>
      <c r="I457" t="s">
        <v>23</v>
      </c>
      <c r="J457" t="s">
        <v>443</v>
      </c>
      <c r="K457" t="s">
        <v>484</v>
      </c>
      <c r="L457" t="s">
        <v>933</v>
      </c>
      <c r="M457">
        <v>2009</v>
      </c>
      <c r="N457" t="s">
        <v>1237</v>
      </c>
      <c r="O457" t="s">
        <v>1253</v>
      </c>
      <c r="P457" t="s">
        <v>21</v>
      </c>
      <c r="Q457" t="s">
        <v>21</v>
      </c>
      <c r="R457" t="s">
        <v>1302</v>
      </c>
      <c r="S457" t="s">
        <v>1302</v>
      </c>
      <c r="T457" t="s">
        <v>1337</v>
      </c>
      <c r="U457" t="s">
        <v>1348</v>
      </c>
      <c r="V457" t="s">
        <v>1731</v>
      </c>
      <c r="W457" t="s">
        <v>1528</v>
      </c>
    </row>
    <row r="458" spans="1:23" x14ac:dyDescent="0.35">
      <c r="A458">
        <v>7</v>
      </c>
      <c r="B458">
        <v>2024</v>
      </c>
      <c r="C458">
        <v>2024</v>
      </c>
      <c r="D458" t="s">
        <v>23</v>
      </c>
      <c r="E458" t="s">
        <v>126</v>
      </c>
      <c r="F458" t="s">
        <v>273</v>
      </c>
      <c r="G458" t="s">
        <v>409</v>
      </c>
      <c r="H458" t="s">
        <v>410</v>
      </c>
      <c r="I458" t="s">
        <v>23</v>
      </c>
      <c r="J458" t="s">
        <v>440</v>
      </c>
      <c r="K458" t="s">
        <v>483</v>
      </c>
      <c r="L458" t="s">
        <v>934</v>
      </c>
      <c r="M458">
        <v>2010</v>
      </c>
      <c r="N458" t="s">
        <v>1238</v>
      </c>
      <c r="O458" t="s">
        <v>1253</v>
      </c>
      <c r="P458" t="s">
        <v>21</v>
      </c>
      <c r="Q458" t="s">
        <v>21</v>
      </c>
      <c r="R458" t="s">
        <v>1302</v>
      </c>
      <c r="S458" t="s">
        <v>1302</v>
      </c>
      <c r="T458" t="s">
        <v>1337</v>
      </c>
      <c r="U458" t="s">
        <v>1348</v>
      </c>
      <c r="V458" t="s">
        <v>1732</v>
      </c>
      <c r="W458" t="s">
        <v>1529</v>
      </c>
    </row>
    <row r="459" spans="1:23" x14ac:dyDescent="0.35">
      <c r="A459">
        <v>9</v>
      </c>
      <c r="B459">
        <v>2024</v>
      </c>
      <c r="C459">
        <v>2024</v>
      </c>
      <c r="D459" t="s">
        <v>23</v>
      </c>
      <c r="E459" t="s">
        <v>127</v>
      </c>
      <c r="F459" t="s">
        <v>274</v>
      </c>
      <c r="G459" t="s">
        <v>409</v>
      </c>
      <c r="H459" t="s">
        <v>410</v>
      </c>
      <c r="I459" t="s">
        <v>23</v>
      </c>
      <c r="J459" t="s">
        <v>440</v>
      </c>
      <c r="K459" t="s">
        <v>483</v>
      </c>
      <c r="L459" t="s">
        <v>935</v>
      </c>
      <c r="M459">
        <v>2011</v>
      </c>
      <c r="N459" t="s">
        <v>1238</v>
      </c>
      <c r="O459" t="s">
        <v>1253</v>
      </c>
      <c r="P459" t="s">
        <v>21</v>
      </c>
      <c r="Q459" t="s">
        <v>21</v>
      </c>
      <c r="R459" t="s">
        <v>1302</v>
      </c>
      <c r="S459" t="s">
        <v>1302</v>
      </c>
      <c r="T459" t="s">
        <v>1337</v>
      </c>
      <c r="U459" t="s">
        <v>1348</v>
      </c>
      <c r="V459" t="s">
        <v>1732</v>
      </c>
      <c r="W459" t="s">
        <v>1529</v>
      </c>
    </row>
    <row r="460" spans="1:23" x14ac:dyDescent="0.35">
      <c r="A460">
        <v>10</v>
      </c>
      <c r="B460">
        <v>2024</v>
      </c>
      <c r="C460">
        <v>2024</v>
      </c>
      <c r="D460" t="s">
        <v>23</v>
      </c>
      <c r="E460" t="s">
        <v>128</v>
      </c>
      <c r="F460" t="s">
        <v>275</v>
      </c>
      <c r="G460" t="s">
        <v>409</v>
      </c>
      <c r="H460" t="s">
        <v>410</v>
      </c>
      <c r="I460" t="s">
        <v>23</v>
      </c>
      <c r="J460" t="s">
        <v>443</v>
      </c>
      <c r="K460" t="s">
        <v>484</v>
      </c>
      <c r="L460" t="s">
        <v>936</v>
      </c>
      <c r="M460">
        <v>2011</v>
      </c>
      <c r="N460" t="s">
        <v>1237</v>
      </c>
      <c r="O460" t="s">
        <v>1253</v>
      </c>
      <c r="P460" t="s">
        <v>21</v>
      </c>
      <c r="Q460" t="s">
        <v>21</v>
      </c>
      <c r="R460" t="s">
        <v>1302</v>
      </c>
      <c r="S460" t="s">
        <v>1302</v>
      </c>
      <c r="T460" t="s">
        <v>1337</v>
      </c>
      <c r="U460" t="s">
        <v>1348</v>
      </c>
      <c r="V460" t="s">
        <v>1732</v>
      </c>
      <c r="W460" t="s">
        <v>1529</v>
      </c>
    </row>
    <row r="461" spans="1:23" x14ac:dyDescent="0.35">
      <c r="A461">
        <v>8</v>
      </c>
      <c r="B461">
        <v>2024</v>
      </c>
      <c r="C461">
        <v>2024</v>
      </c>
      <c r="D461" t="s">
        <v>23</v>
      </c>
      <c r="E461" t="s">
        <v>126</v>
      </c>
      <c r="F461" t="s">
        <v>273</v>
      </c>
      <c r="G461" t="s">
        <v>409</v>
      </c>
      <c r="H461" t="s">
        <v>410</v>
      </c>
      <c r="I461" t="s">
        <v>23</v>
      </c>
      <c r="J461" t="s">
        <v>440</v>
      </c>
      <c r="K461" t="s">
        <v>483</v>
      </c>
      <c r="L461" t="s">
        <v>937</v>
      </c>
      <c r="M461">
        <v>2013</v>
      </c>
      <c r="N461" t="s">
        <v>1238</v>
      </c>
      <c r="O461" t="s">
        <v>1253</v>
      </c>
      <c r="P461" t="s">
        <v>21</v>
      </c>
      <c r="Q461" t="s">
        <v>21</v>
      </c>
      <c r="R461" t="s">
        <v>1303</v>
      </c>
      <c r="S461" t="s">
        <v>1303</v>
      </c>
      <c r="T461" t="s">
        <v>410</v>
      </c>
      <c r="U461" t="s">
        <v>1348</v>
      </c>
      <c r="V461" t="s">
        <v>1733</v>
      </c>
      <c r="W461" t="s">
        <v>1530</v>
      </c>
    </row>
    <row r="462" spans="1:23" x14ac:dyDescent="0.35">
      <c r="A462">
        <v>11</v>
      </c>
      <c r="B462">
        <v>2025</v>
      </c>
      <c r="C462">
        <v>2025</v>
      </c>
      <c r="D462" t="s">
        <v>23</v>
      </c>
      <c r="E462" t="s">
        <v>129</v>
      </c>
      <c r="F462" t="s">
        <v>276</v>
      </c>
      <c r="G462" t="s">
        <v>409</v>
      </c>
      <c r="H462" t="s">
        <v>410</v>
      </c>
      <c r="I462" t="s">
        <v>23</v>
      </c>
      <c r="J462" t="s">
        <v>440</v>
      </c>
      <c r="K462" t="s">
        <v>483</v>
      </c>
      <c r="L462" t="s">
        <v>938</v>
      </c>
      <c r="M462">
        <v>2014</v>
      </c>
      <c r="N462" t="s">
        <v>1238</v>
      </c>
      <c r="O462" t="s">
        <v>1253</v>
      </c>
      <c r="P462" t="s">
        <v>21</v>
      </c>
      <c r="Q462" t="s">
        <v>21</v>
      </c>
      <c r="R462" t="s">
        <v>1304</v>
      </c>
      <c r="S462" t="s">
        <v>1304</v>
      </c>
      <c r="T462" t="s">
        <v>1339</v>
      </c>
      <c r="U462" t="s">
        <v>1348</v>
      </c>
      <c r="V462" t="s">
        <v>1734</v>
      </c>
      <c r="W462" t="s">
        <v>1531</v>
      </c>
    </row>
    <row r="463" spans="1:23" x14ac:dyDescent="0.35">
      <c r="A463">
        <v>12</v>
      </c>
      <c r="B463">
        <v>2025</v>
      </c>
      <c r="C463">
        <v>2025</v>
      </c>
      <c r="D463" t="s">
        <v>23</v>
      </c>
      <c r="E463" t="s">
        <v>130</v>
      </c>
      <c r="F463" t="s">
        <v>277</v>
      </c>
      <c r="G463" t="s">
        <v>409</v>
      </c>
      <c r="H463" t="s">
        <v>410</v>
      </c>
      <c r="I463" t="s">
        <v>23</v>
      </c>
      <c r="J463" t="s">
        <v>440</v>
      </c>
      <c r="K463" t="s">
        <v>483</v>
      </c>
      <c r="L463" t="s">
        <v>939</v>
      </c>
      <c r="M463">
        <v>2013</v>
      </c>
      <c r="N463" t="s">
        <v>1238</v>
      </c>
      <c r="O463" t="s">
        <v>1253</v>
      </c>
      <c r="P463" t="s">
        <v>21</v>
      </c>
      <c r="Q463" t="s">
        <v>21</v>
      </c>
      <c r="R463" t="s">
        <v>1298</v>
      </c>
      <c r="S463" t="s">
        <v>1298</v>
      </c>
      <c r="T463" t="s">
        <v>410</v>
      </c>
      <c r="U463" t="s">
        <v>1348</v>
      </c>
      <c r="V463" t="s">
        <v>1735</v>
      </c>
      <c r="W463" t="s">
        <v>1530</v>
      </c>
    </row>
    <row r="464" spans="1:23" x14ac:dyDescent="0.35">
      <c r="A464">
        <v>13</v>
      </c>
      <c r="B464">
        <v>2025</v>
      </c>
      <c r="C464">
        <v>2025</v>
      </c>
      <c r="D464" t="s">
        <v>23</v>
      </c>
      <c r="E464" t="s">
        <v>131</v>
      </c>
      <c r="F464" t="s">
        <v>278</v>
      </c>
      <c r="G464" t="s">
        <v>409</v>
      </c>
      <c r="H464" t="s">
        <v>410</v>
      </c>
      <c r="I464" t="s">
        <v>23</v>
      </c>
      <c r="J464" t="s">
        <v>443</v>
      </c>
      <c r="K464" t="s">
        <v>484</v>
      </c>
      <c r="L464" t="s">
        <v>940</v>
      </c>
      <c r="M464">
        <v>2011</v>
      </c>
      <c r="N464" t="s">
        <v>1237</v>
      </c>
      <c r="O464" t="s">
        <v>1253</v>
      </c>
      <c r="P464" t="s">
        <v>21</v>
      </c>
      <c r="Q464" t="s">
        <v>21</v>
      </c>
      <c r="R464" t="s">
        <v>1268</v>
      </c>
      <c r="S464" t="s">
        <v>1268</v>
      </c>
      <c r="T464" t="s">
        <v>1336</v>
      </c>
      <c r="U464" t="s">
        <v>1348</v>
      </c>
      <c r="V464" t="s">
        <v>1736</v>
      </c>
      <c r="W464" t="s">
        <v>1518</v>
      </c>
    </row>
    <row r="465" spans="1:23" x14ac:dyDescent="0.35">
      <c r="A465">
        <v>14</v>
      </c>
      <c r="B465">
        <v>2026</v>
      </c>
      <c r="C465">
        <v>2026</v>
      </c>
      <c r="D465" t="s">
        <v>23</v>
      </c>
      <c r="E465" t="s">
        <v>132</v>
      </c>
      <c r="F465" t="s">
        <v>279</v>
      </c>
      <c r="G465" t="s">
        <v>409</v>
      </c>
      <c r="H465" t="s">
        <v>410</v>
      </c>
      <c r="I465" t="s">
        <v>23</v>
      </c>
      <c r="J465" t="s">
        <v>440</v>
      </c>
      <c r="K465" t="s">
        <v>483</v>
      </c>
      <c r="L465" t="s">
        <v>941</v>
      </c>
      <c r="M465">
        <v>2013</v>
      </c>
      <c r="N465" t="s">
        <v>1238</v>
      </c>
      <c r="O465" t="s">
        <v>1253</v>
      </c>
      <c r="P465" t="s">
        <v>21</v>
      </c>
      <c r="Q465" t="s">
        <v>21</v>
      </c>
      <c r="R465" t="s">
        <v>1305</v>
      </c>
      <c r="S465" t="s">
        <v>1305</v>
      </c>
      <c r="T465" t="s">
        <v>410</v>
      </c>
      <c r="U465" t="s">
        <v>1348</v>
      </c>
      <c r="V465" t="s">
        <v>1737</v>
      </c>
      <c r="W465" t="s">
        <v>1530</v>
      </c>
    </row>
    <row r="466" spans="1:23" x14ac:dyDescent="0.35">
      <c r="A466">
        <v>15</v>
      </c>
      <c r="B466">
        <v>2026</v>
      </c>
      <c r="C466">
        <v>2026</v>
      </c>
      <c r="D466" t="s">
        <v>23</v>
      </c>
      <c r="E466" t="s">
        <v>133</v>
      </c>
      <c r="F466" t="s">
        <v>280</v>
      </c>
      <c r="G466" t="s">
        <v>409</v>
      </c>
      <c r="H466" t="s">
        <v>410</v>
      </c>
      <c r="I466" t="s">
        <v>23</v>
      </c>
      <c r="J466" t="s">
        <v>443</v>
      </c>
      <c r="K466" t="s">
        <v>484</v>
      </c>
      <c r="L466" t="s">
        <v>942</v>
      </c>
      <c r="M466">
        <v>2017</v>
      </c>
      <c r="N466" t="s">
        <v>1237</v>
      </c>
      <c r="O466" t="s">
        <v>1253</v>
      </c>
      <c r="P466" t="s">
        <v>21</v>
      </c>
      <c r="Q466" t="s">
        <v>21</v>
      </c>
      <c r="R466" t="s">
        <v>1302</v>
      </c>
      <c r="S466" t="s">
        <v>1302</v>
      </c>
      <c r="T466" t="s">
        <v>1337</v>
      </c>
      <c r="U466" t="s">
        <v>1348</v>
      </c>
      <c r="V466" t="s">
        <v>1738</v>
      </c>
      <c r="W466" t="s">
        <v>1529</v>
      </c>
    </row>
    <row r="467" spans="1:23" x14ac:dyDescent="0.35">
      <c r="A467">
        <v>16</v>
      </c>
      <c r="B467">
        <v>2026</v>
      </c>
      <c r="C467">
        <v>2026</v>
      </c>
      <c r="D467" t="s">
        <v>23</v>
      </c>
      <c r="E467" t="s">
        <v>133</v>
      </c>
      <c r="F467" t="s">
        <v>280</v>
      </c>
      <c r="G467" t="s">
        <v>409</v>
      </c>
      <c r="H467" t="s">
        <v>410</v>
      </c>
      <c r="I467" t="s">
        <v>23</v>
      </c>
      <c r="J467" t="s">
        <v>443</v>
      </c>
      <c r="K467" t="s">
        <v>484</v>
      </c>
      <c r="L467" t="s">
        <v>943</v>
      </c>
      <c r="M467">
        <v>2017</v>
      </c>
      <c r="N467" t="s">
        <v>1237</v>
      </c>
      <c r="O467" t="s">
        <v>1253</v>
      </c>
      <c r="P467" t="s">
        <v>21</v>
      </c>
      <c r="Q467" t="s">
        <v>21</v>
      </c>
      <c r="R467" t="s">
        <v>1302</v>
      </c>
      <c r="S467" t="s">
        <v>1302</v>
      </c>
      <c r="T467" t="s">
        <v>1337</v>
      </c>
      <c r="U467" t="s">
        <v>1348</v>
      </c>
      <c r="V467" t="s">
        <v>1738</v>
      </c>
      <c r="W467" t="s">
        <v>1529</v>
      </c>
    </row>
    <row r="468" spans="1:23" x14ac:dyDescent="0.35">
      <c r="A468">
        <v>17</v>
      </c>
      <c r="B468">
        <v>2026</v>
      </c>
      <c r="C468">
        <v>2026</v>
      </c>
      <c r="D468" t="s">
        <v>23</v>
      </c>
      <c r="E468" t="s">
        <v>133</v>
      </c>
      <c r="F468" t="s">
        <v>280</v>
      </c>
      <c r="G468" t="s">
        <v>409</v>
      </c>
      <c r="H468" t="s">
        <v>410</v>
      </c>
      <c r="I468" t="s">
        <v>23</v>
      </c>
      <c r="J468" t="s">
        <v>443</v>
      </c>
      <c r="K468" t="s">
        <v>484</v>
      </c>
      <c r="L468" t="s">
        <v>944</v>
      </c>
      <c r="M468">
        <v>2017</v>
      </c>
      <c r="N468" t="s">
        <v>1237</v>
      </c>
      <c r="O468" t="s">
        <v>1253</v>
      </c>
      <c r="P468" t="s">
        <v>21</v>
      </c>
      <c r="Q468" t="s">
        <v>21</v>
      </c>
      <c r="R468" t="s">
        <v>1306</v>
      </c>
      <c r="S468" t="s">
        <v>1278</v>
      </c>
      <c r="T468" t="s">
        <v>1278</v>
      </c>
      <c r="U468" t="s">
        <v>1348</v>
      </c>
      <c r="V468" t="s">
        <v>1739</v>
      </c>
      <c r="W468" t="s">
        <v>1532</v>
      </c>
    </row>
    <row r="469" spans="1:23" x14ac:dyDescent="0.35">
      <c r="A469">
        <v>18</v>
      </c>
      <c r="B469">
        <v>2028</v>
      </c>
      <c r="C469">
        <v>2028</v>
      </c>
      <c r="D469" t="s">
        <v>23</v>
      </c>
      <c r="E469" t="s">
        <v>134</v>
      </c>
      <c r="F469" t="s">
        <v>281</v>
      </c>
      <c r="G469" t="s">
        <v>409</v>
      </c>
      <c r="H469" t="s">
        <v>410</v>
      </c>
      <c r="I469" t="s">
        <v>23</v>
      </c>
      <c r="J469" t="s">
        <v>440</v>
      </c>
      <c r="K469" t="s">
        <v>483</v>
      </c>
      <c r="L469" t="s">
        <v>945</v>
      </c>
      <c r="M469">
        <v>2016</v>
      </c>
      <c r="N469" t="s">
        <v>1238</v>
      </c>
      <c r="O469" t="s">
        <v>1253</v>
      </c>
      <c r="P469" t="s">
        <v>21</v>
      </c>
      <c r="Q469" t="s">
        <v>21</v>
      </c>
      <c r="R469" t="s">
        <v>1307</v>
      </c>
      <c r="S469" t="s">
        <v>1308</v>
      </c>
      <c r="T469" t="s">
        <v>1346</v>
      </c>
      <c r="U469" t="s">
        <v>1348</v>
      </c>
      <c r="V469" t="s">
        <v>1740</v>
      </c>
      <c r="W469" t="s">
        <v>1533</v>
      </c>
    </row>
    <row r="470" spans="1:23" x14ac:dyDescent="0.35">
      <c r="A470">
        <v>19</v>
      </c>
      <c r="B470">
        <v>2028</v>
      </c>
      <c r="C470">
        <v>2028</v>
      </c>
      <c r="D470" t="s">
        <v>23</v>
      </c>
      <c r="E470" t="s">
        <v>135</v>
      </c>
      <c r="F470" t="s">
        <v>282</v>
      </c>
      <c r="G470" t="s">
        <v>409</v>
      </c>
      <c r="H470" t="s">
        <v>410</v>
      </c>
      <c r="I470" t="s">
        <v>23</v>
      </c>
      <c r="J470" t="s">
        <v>440</v>
      </c>
      <c r="K470" t="s">
        <v>483</v>
      </c>
      <c r="L470" t="s">
        <v>946</v>
      </c>
      <c r="M470">
        <v>2016</v>
      </c>
      <c r="N470" t="s">
        <v>1238</v>
      </c>
      <c r="O470" t="s">
        <v>1253</v>
      </c>
      <c r="P470" t="s">
        <v>21</v>
      </c>
      <c r="Q470" t="s">
        <v>21</v>
      </c>
      <c r="R470" t="s">
        <v>1298</v>
      </c>
      <c r="S470" t="s">
        <v>1298</v>
      </c>
      <c r="T470" t="s">
        <v>410</v>
      </c>
      <c r="U470" t="s">
        <v>1348</v>
      </c>
      <c r="V470" t="s">
        <v>1741</v>
      </c>
      <c r="W470" t="s">
        <v>1534</v>
      </c>
    </row>
    <row r="471" spans="1:23" x14ac:dyDescent="0.35">
      <c r="A471">
        <v>20</v>
      </c>
      <c r="B471">
        <v>2028</v>
      </c>
      <c r="C471">
        <v>2028</v>
      </c>
      <c r="D471" t="s">
        <v>23</v>
      </c>
      <c r="E471" t="s">
        <v>135</v>
      </c>
      <c r="F471" t="s">
        <v>282</v>
      </c>
      <c r="G471" t="s">
        <v>409</v>
      </c>
      <c r="H471" t="s">
        <v>410</v>
      </c>
      <c r="I471" t="s">
        <v>23</v>
      </c>
      <c r="J471" t="s">
        <v>440</v>
      </c>
      <c r="K471" t="s">
        <v>483</v>
      </c>
      <c r="L471" t="s">
        <v>947</v>
      </c>
      <c r="M471">
        <v>2016</v>
      </c>
      <c r="N471" t="s">
        <v>1238</v>
      </c>
      <c r="O471" t="s">
        <v>1253</v>
      </c>
      <c r="P471" t="s">
        <v>21</v>
      </c>
      <c r="Q471" t="s">
        <v>21</v>
      </c>
      <c r="R471" t="s">
        <v>1302</v>
      </c>
      <c r="S471" t="s">
        <v>1302</v>
      </c>
      <c r="T471" t="s">
        <v>1337</v>
      </c>
      <c r="U471" t="s">
        <v>1348</v>
      </c>
      <c r="V471" t="s">
        <v>1742</v>
      </c>
      <c r="W471" t="s">
        <v>1535</v>
      </c>
    </row>
    <row r="472" spans="1:23" x14ac:dyDescent="0.35">
      <c r="A472">
        <v>21</v>
      </c>
      <c r="B472">
        <v>2028</v>
      </c>
      <c r="C472">
        <v>2028</v>
      </c>
      <c r="D472" t="s">
        <v>23</v>
      </c>
      <c r="E472" t="s">
        <v>135</v>
      </c>
      <c r="F472" t="s">
        <v>282</v>
      </c>
      <c r="G472" t="s">
        <v>409</v>
      </c>
      <c r="H472" t="s">
        <v>410</v>
      </c>
      <c r="I472" t="s">
        <v>23</v>
      </c>
      <c r="J472" t="s">
        <v>440</v>
      </c>
      <c r="K472" t="s">
        <v>483</v>
      </c>
      <c r="L472" t="s">
        <v>948</v>
      </c>
      <c r="M472">
        <v>2023</v>
      </c>
      <c r="N472" t="s">
        <v>1238</v>
      </c>
      <c r="O472" t="s">
        <v>1253</v>
      </c>
      <c r="P472" t="s">
        <v>21</v>
      </c>
      <c r="Q472" t="s">
        <v>21</v>
      </c>
      <c r="R472" t="s">
        <v>1302</v>
      </c>
      <c r="S472" t="s">
        <v>1302</v>
      </c>
      <c r="T472" t="s">
        <v>1337</v>
      </c>
      <c r="U472" t="s">
        <v>1348</v>
      </c>
      <c r="V472" t="s">
        <v>1742</v>
      </c>
      <c r="W472" t="s">
        <v>1535</v>
      </c>
    </row>
    <row r="473" spans="1:23" x14ac:dyDescent="0.35">
      <c r="A473">
        <v>22</v>
      </c>
      <c r="B473">
        <v>2028</v>
      </c>
      <c r="C473">
        <v>2028</v>
      </c>
      <c r="D473" t="s">
        <v>23</v>
      </c>
      <c r="E473" t="s">
        <v>136</v>
      </c>
      <c r="F473" t="s">
        <v>283</v>
      </c>
      <c r="G473" t="s">
        <v>409</v>
      </c>
      <c r="H473" t="s">
        <v>410</v>
      </c>
      <c r="I473" t="s">
        <v>23</v>
      </c>
      <c r="J473" t="s">
        <v>440</v>
      </c>
      <c r="K473" t="s">
        <v>483</v>
      </c>
      <c r="L473" t="s">
        <v>949</v>
      </c>
      <c r="M473">
        <v>2024</v>
      </c>
      <c r="N473" t="s">
        <v>1238</v>
      </c>
      <c r="O473" t="s">
        <v>1253</v>
      </c>
      <c r="P473" t="s">
        <v>21</v>
      </c>
      <c r="Q473" t="s">
        <v>21</v>
      </c>
      <c r="R473" t="s">
        <v>1305</v>
      </c>
      <c r="S473" t="s">
        <v>1305</v>
      </c>
      <c r="T473" t="s">
        <v>410</v>
      </c>
      <c r="U473" t="s">
        <v>1348</v>
      </c>
      <c r="V473" t="s">
        <v>1741</v>
      </c>
      <c r="W473" t="s">
        <v>1534</v>
      </c>
    </row>
    <row r="474" spans="1:23" x14ac:dyDescent="0.35">
      <c r="A474">
        <v>23</v>
      </c>
      <c r="B474">
        <v>2029</v>
      </c>
      <c r="C474">
        <v>2029</v>
      </c>
      <c r="D474" t="s">
        <v>23</v>
      </c>
      <c r="E474" t="s">
        <v>137</v>
      </c>
      <c r="F474" t="s">
        <v>284</v>
      </c>
      <c r="G474" t="s">
        <v>409</v>
      </c>
      <c r="H474" t="s">
        <v>410</v>
      </c>
      <c r="I474" t="s">
        <v>23</v>
      </c>
      <c r="J474" t="s">
        <v>440</v>
      </c>
      <c r="K474" t="s">
        <v>483</v>
      </c>
      <c r="L474" t="s">
        <v>950</v>
      </c>
      <c r="M474">
        <v>2024</v>
      </c>
      <c r="N474" t="s">
        <v>1238</v>
      </c>
      <c r="O474" t="s">
        <v>1253</v>
      </c>
      <c r="P474" t="s">
        <v>21</v>
      </c>
      <c r="Q474" t="s">
        <v>21</v>
      </c>
      <c r="R474" t="s">
        <v>1302</v>
      </c>
      <c r="S474" t="s">
        <v>1302</v>
      </c>
      <c r="T474" t="s">
        <v>1337</v>
      </c>
      <c r="U474" t="s">
        <v>1348</v>
      </c>
      <c r="V474" t="s">
        <v>1743</v>
      </c>
      <c r="W474" t="s">
        <v>1535</v>
      </c>
    </row>
    <row r="475" spans="1:23" x14ac:dyDescent="0.35">
      <c r="A475">
        <v>24</v>
      </c>
      <c r="B475">
        <v>2029</v>
      </c>
      <c r="C475">
        <v>2029</v>
      </c>
      <c r="D475" t="s">
        <v>23</v>
      </c>
      <c r="E475" t="s">
        <v>137</v>
      </c>
      <c r="F475" t="s">
        <v>284</v>
      </c>
      <c r="G475" t="s">
        <v>409</v>
      </c>
      <c r="H475" t="s">
        <v>410</v>
      </c>
      <c r="I475" t="s">
        <v>23</v>
      </c>
      <c r="J475" t="s">
        <v>443</v>
      </c>
      <c r="K475" t="s">
        <v>484</v>
      </c>
      <c r="L475" t="s">
        <v>951</v>
      </c>
      <c r="M475">
        <v>2024</v>
      </c>
      <c r="N475" t="s">
        <v>1237</v>
      </c>
      <c r="O475" t="s">
        <v>1253</v>
      </c>
      <c r="P475" t="s">
        <v>21</v>
      </c>
      <c r="Q475" t="s">
        <v>21</v>
      </c>
      <c r="R475" t="s">
        <v>1302</v>
      </c>
      <c r="S475" t="s">
        <v>1302</v>
      </c>
      <c r="T475" t="s">
        <v>1337</v>
      </c>
      <c r="U475" t="s">
        <v>1348</v>
      </c>
      <c r="V475" t="s">
        <v>1743</v>
      </c>
      <c r="W475" t="s">
        <v>1535</v>
      </c>
    </row>
    <row r="476" spans="1:23" x14ac:dyDescent="0.35">
      <c r="A476">
        <v>25</v>
      </c>
      <c r="B476">
        <v>2029</v>
      </c>
      <c r="C476">
        <v>2029</v>
      </c>
      <c r="D476" t="s">
        <v>23</v>
      </c>
      <c r="E476" t="s">
        <v>138</v>
      </c>
      <c r="F476" t="s">
        <v>285</v>
      </c>
      <c r="G476" t="s">
        <v>409</v>
      </c>
      <c r="H476" t="s">
        <v>410</v>
      </c>
      <c r="I476" t="s">
        <v>23</v>
      </c>
      <c r="J476" t="s">
        <v>443</v>
      </c>
      <c r="K476" t="s">
        <v>484</v>
      </c>
      <c r="L476" t="s">
        <v>952</v>
      </c>
      <c r="M476">
        <v>2024</v>
      </c>
      <c r="N476" t="s">
        <v>1237</v>
      </c>
      <c r="O476" t="s">
        <v>1253</v>
      </c>
      <c r="P476" t="s">
        <v>21</v>
      </c>
      <c r="Q476" t="s">
        <v>21</v>
      </c>
      <c r="R476" t="s">
        <v>1307</v>
      </c>
      <c r="S476" t="s">
        <v>1308</v>
      </c>
      <c r="T476" t="s">
        <v>1346</v>
      </c>
      <c r="U476" t="s">
        <v>1348</v>
      </c>
      <c r="V476" t="s">
        <v>1744</v>
      </c>
      <c r="W476" t="s">
        <v>1533</v>
      </c>
    </row>
    <row r="477" spans="1:23" x14ac:dyDescent="0.35">
      <c r="A477">
        <v>26</v>
      </c>
      <c r="B477">
        <v>2031</v>
      </c>
      <c r="C477">
        <v>2031</v>
      </c>
      <c r="D477" t="s">
        <v>23</v>
      </c>
      <c r="E477" t="s">
        <v>139</v>
      </c>
      <c r="F477" t="s">
        <v>286</v>
      </c>
      <c r="G477" t="s">
        <v>409</v>
      </c>
      <c r="H477" t="s">
        <v>410</v>
      </c>
      <c r="I477" t="s">
        <v>23</v>
      </c>
      <c r="J477" t="s">
        <v>443</v>
      </c>
      <c r="K477" t="s">
        <v>484</v>
      </c>
      <c r="L477" t="s">
        <v>953</v>
      </c>
      <c r="M477">
        <v>2022</v>
      </c>
      <c r="N477" t="s">
        <v>1237</v>
      </c>
      <c r="O477" t="s">
        <v>1253</v>
      </c>
      <c r="P477" t="s">
        <v>21</v>
      </c>
      <c r="Q477" t="s">
        <v>21</v>
      </c>
      <c r="R477" t="s">
        <v>1302</v>
      </c>
      <c r="S477" t="s">
        <v>1302</v>
      </c>
      <c r="T477" t="s">
        <v>1337</v>
      </c>
      <c r="U477" t="s">
        <v>1348</v>
      </c>
      <c r="V477" t="s">
        <v>1745</v>
      </c>
      <c r="W477" t="s">
        <v>1535</v>
      </c>
    </row>
    <row r="478" spans="1:23" x14ac:dyDescent="0.35">
      <c r="A478">
        <v>27</v>
      </c>
      <c r="B478">
        <v>2032</v>
      </c>
      <c r="C478">
        <v>2032</v>
      </c>
      <c r="D478" t="s">
        <v>23</v>
      </c>
      <c r="E478" t="s">
        <v>140</v>
      </c>
      <c r="F478" t="s">
        <v>287</v>
      </c>
      <c r="G478" t="s">
        <v>409</v>
      </c>
      <c r="H478" t="s">
        <v>410</v>
      </c>
      <c r="I478" t="s">
        <v>23</v>
      </c>
      <c r="J478" t="s">
        <v>443</v>
      </c>
      <c r="K478" t="s">
        <v>484</v>
      </c>
      <c r="L478" t="s">
        <v>954</v>
      </c>
      <c r="M478">
        <v>2027</v>
      </c>
      <c r="N478" t="s">
        <v>1237</v>
      </c>
      <c r="O478" t="s">
        <v>1253</v>
      </c>
      <c r="P478" t="s">
        <v>21</v>
      </c>
      <c r="Q478" t="s">
        <v>21</v>
      </c>
      <c r="R478" t="s">
        <v>1302</v>
      </c>
      <c r="S478" t="s">
        <v>1302</v>
      </c>
      <c r="T478" t="s">
        <v>1337</v>
      </c>
      <c r="U478" t="s">
        <v>1348</v>
      </c>
      <c r="V478" t="s">
        <v>1746</v>
      </c>
      <c r="W478" t="s">
        <v>1536</v>
      </c>
    </row>
    <row r="479" spans="1:23" x14ac:dyDescent="0.35">
      <c r="A479">
        <v>28</v>
      </c>
      <c r="B479">
        <v>2032</v>
      </c>
      <c r="C479">
        <v>2032</v>
      </c>
      <c r="D479" t="s">
        <v>23</v>
      </c>
      <c r="E479" t="s">
        <v>140</v>
      </c>
      <c r="F479" t="s">
        <v>287</v>
      </c>
      <c r="G479" t="s">
        <v>409</v>
      </c>
      <c r="H479" t="s">
        <v>410</v>
      </c>
      <c r="I479" t="s">
        <v>23</v>
      </c>
      <c r="J479" t="s">
        <v>443</v>
      </c>
      <c r="K479" t="s">
        <v>484</v>
      </c>
      <c r="L479" t="s">
        <v>955</v>
      </c>
      <c r="M479">
        <v>2027</v>
      </c>
      <c r="N479" t="s">
        <v>1237</v>
      </c>
      <c r="O479" t="s">
        <v>1253</v>
      </c>
      <c r="P479" t="s">
        <v>21</v>
      </c>
      <c r="Q479" t="s">
        <v>21</v>
      </c>
      <c r="R479" t="s">
        <v>1302</v>
      </c>
      <c r="S479" t="s">
        <v>1302</v>
      </c>
      <c r="T479" t="s">
        <v>1337</v>
      </c>
      <c r="U479" t="s">
        <v>1348</v>
      </c>
      <c r="V479" t="s">
        <v>1746</v>
      </c>
      <c r="W479" t="s">
        <v>1536</v>
      </c>
    </row>
    <row r="480" spans="1:23" x14ac:dyDescent="0.35">
      <c r="A480">
        <v>29</v>
      </c>
      <c r="B480">
        <v>2032</v>
      </c>
      <c r="C480">
        <v>2032</v>
      </c>
      <c r="D480" t="s">
        <v>23</v>
      </c>
      <c r="E480" t="s">
        <v>140</v>
      </c>
      <c r="F480" t="s">
        <v>287</v>
      </c>
      <c r="G480" t="s">
        <v>409</v>
      </c>
      <c r="H480" t="s">
        <v>410</v>
      </c>
      <c r="I480" t="s">
        <v>23</v>
      </c>
      <c r="J480" t="s">
        <v>443</v>
      </c>
      <c r="K480" t="s">
        <v>484</v>
      </c>
      <c r="L480" t="s">
        <v>956</v>
      </c>
      <c r="M480">
        <v>2027</v>
      </c>
      <c r="N480" t="s">
        <v>1237</v>
      </c>
      <c r="O480" t="s">
        <v>1253</v>
      </c>
      <c r="P480" t="s">
        <v>21</v>
      </c>
      <c r="Q480" t="s">
        <v>21</v>
      </c>
      <c r="R480" t="s">
        <v>1302</v>
      </c>
      <c r="S480" t="s">
        <v>1302</v>
      </c>
      <c r="T480" t="s">
        <v>1337</v>
      </c>
      <c r="U480" t="s">
        <v>1348</v>
      </c>
      <c r="V480" t="s">
        <v>1746</v>
      </c>
      <c r="W480" t="s">
        <v>1536</v>
      </c>
    </row>
    <row r="481" spans="1:23" x14ac:dyDescent="0.35">
      <c r="A481">
        <v>30</v>
      </c>
      <c r="B481">
        <v>2033</v>
      </c>
      <c r="C481">
        <v>2033</v>
      </c>
      <c r="D481" t="s">
        <v>23</v>
      </c>
      <c r="E481" t="s">
        <v>141</v>
      </c>
      <c r="F481" t="s">
        <v>288</v>
      </c>
      <c r="G481" t="s">
        <v>409</v>
      </c>
      <c r="H481" t="s">
        <v>410</v>
      </c>
      <c r="I481" t="s">
        <v>23</v>
      </c>
      <c r="J481" t="s">
        <v>443</v>
      </c>
      <c r="K481" t="s">
        <v>484</v>
      </c>
      <c r="L481" t="s">
        <v>957</v>
      </c>
      <c r="M481">
        <v>2029</v>
      </c>
      <c r="N481" t="s">
        <v>1237</v>
      </c>
      <c r="O481" t="s">
        <v>1253</v>
      </c>
      <c r="P481" t="s">
        <v>21</v>
      </c>
      <c r="Q481" t="s">
        <v>21</v>
      </c>
      <c r="R481" t="s">
        <v>1302</v>
      </c>
      <c r="S481" t="s">
        <v>1302</v>
      </c>
      <c r="T481" t="s">
        <v>1337</v>
      </c>
      <c r="U481" t="s">
        <v>1348</v>
      </c>
      <c r="V481" t="s">
        <v>1747</v>
      </c>
      <c r="W481" t="s">
        <v>1536</v>
      </c>
    </row>
    <row r="482" spans="1:23" x14ac:dyDescent="0.35">
      <c r="A482">
        <v>31</v>
      </c>
      <c r="B482">
        <v>2033</v>
      </c>
      <c r="C482">
        <v>2033</v>
      </c>
      <c r="D482" t="s">
        <v>23</v>
      </c>
      <c r="E482" t="s">
        <v>141</v>
      </c>
      <c r="F482" t="s">
        <v>288</v>
      </c>
      <c r="G482" t="s">
        <v>409</v>
      </c>
      <c r="H482" t="s">
        <v>410</v>
      </c>
      <c r="I482" t="s">
        <v>23</v>
      </c>
      <c r="J482" t="s">
        <v>443</v>
      </c>
      <c r="K482" t="s">
        <v>484</v>
      </c>
      <c r="L482" t="s">
        <v>958</v>
      </c>
      <c r="M482">
        <v>2029</v>
      </c>
      <c r="N482" t="s">
        <v>1237</v>
      </c>
      <c r="O482" t="s">
        <v>1253</v>
      </c>
      <c r="P482" t="s">
        <v>21</v>
      </c>
      <c r="Q482" t="s">
        <v>21</v>
      </c>
      <c r="R482" t="s">
        <v>1302</v>
      </c>
      <c r="S482" t="s">
        <v>1302</v>
      </c>
      <c r="T482" t="s">
        <v>1337</v>
      </c>
      <c r="U482" t="s">
        <v>1348</v>
      </c>
      <c r="V482" t="s">
        <v>1747</v>
      </c>
      <c r="W482" t="s">
        <v>1536</v>
      </c>
    </row>
    <row r="483" spans="1:23" x14ac:dyDescent="0.35">
      <c r="A483">
        <v>32</v>
      </c>
      <c r="B483">
        <v>2033</v>
      </c>
      <c r="C483">
        <v>2033</v>
      </c>
      <c r="D483" t="s">
        <v>23</v>
      </c>
      <c r="E483" t="s">
        <v>142</v>
      </c>
      <c r="F483" t="s">
        <v>289</v>
      </c>
      <c r="G483" t="s">
        <v>409</v>
      </c>
      <c r="H483" t="s">
        <v>410</v>
      </c>
      <c r="I483" t="s">
        <v>23</v>
      </c>
      <c r="J483" t="s">
        <v>440</v>
      </c>
      <c r="K483" t="s">
        <v>483</v>
      </c>
      <c r="L483" t="s">
        <v>959</v>
      </c>
      <c r="M483">
        <v>2026</v>
      </c>
      <c r="N483" t="s">
        <v>1238</v>
      </c>
      <c r="O483" t="s">
        <v>1253</v>
      </c>
      <c r="P483" t="s">
        <v>21</v>
      </c>
      <c r="Q483" t="s">
        <v>21</v>
      </c>
      <c r="R483" t="s">
        <v>1298</v>
      </c>
      <c r="S483" t="s">
        <v>1298</v>
      </c>
      <c r="T483" t="s">
        <v>410</v>
      </c>
      <c r="U483" t="s">
        <v>1348</v>
      </c>
      <c r="V483" t="s">
        <v>1748</v>
      </c>
      <c r="W483" t="s">
        <v>1537</v>
      </c>
    </row>
    <row r="484" spans="1:23" x14ac:dyDescent="0.35">
      <c r="A484">
        <v>33</v>
      </c>
      <c r="B484">
        <v>2033</v>
      </c>
      <c r="C484">
        <v>2033</v>
      </c>
      <c r="D484" t="s">
        <v>23</v>
      </c>
      <c r="E484" t="s">
        <v>143</v>
      </c>
      <c r="F484" t="s">
        <v>290</v>
      </c>
      <c r="G484" t="s">
        <v>409</v>
      </c>
      <c r="H484" t="s">
        <v>410</v>
      </c>
      <c r="I484" t="s">
        <v>23</v>
      </c>
      <c r="J484" t="s">
        <v>443</v>
      </c>
      <c r="K484" t="s">
        <v>484</v>
      </c>
      <c r="L484" t="s">
        <v>960</v>
      </c>
      <c r="M484">
        <v>2028</v>
      </c>
      <c r="N484" t="s">
        <v>1237</v>
      </c>
      <c r="O484" t="s">
        <v>1253</v>
      </c>
      <c r="P484" t="s">
        <v>21</v>
      </c>
      <c r="Q484" t="s">
        <v>21</v>
      </c>
      <c r="R484" t="s">
        <v>1302</v>
      </c>
      <c r="S484" t="s">
        <v>1302</v>
      </c>
      <c r="T484" t="s">
        <v>1337</v>
      </c>
      <c r="U484" t="s">
        <v>1348</v>
      </c>
      <c r="V484" t="s">
        <v>1747</v>
      </c>
      <c r="W484" t="s">
        <v>1536</v>
      </c>
    </row>
    <row r="485" spans="1:23" x14ac:dyDescent="0.35">
      <c r="A485">
        <v>40</v>
      </c>
      <c r="B485">
        <v>2035</v>
      </c>
      <c r="C485">
        <v>2035</v>
      </c>
      <c r="D485" t="s">
        <v>23</v>
      </c>
      <c r="E485" t="s">
        <v>144</v>
      </c>
      <c r="F485" t="s">
        <v>291</v>
      </c>
      <c r="G485" t="s">
        <v>409</v>
      </c>
      <c r="H485" t="s">
        <v>410</v>
      </c>
      <c r="I485" t="s">
        <v>23</v>
      </c>
      <c r="J485" t="s">
        <v>443</v>
      </c>
      <c r="K485" t="s">
        <v>484</v>
      </c>
      <c r="L485" t="s">
        <v>961</v>
      </c>
      <c r="M485">
        <v>2029</v>
      </c>
      <c r="N485" t="s">
        <v>1237</v>
      </c>
      <c r="O485" t="s">
        <v>1253</v>
      </c>
      <c r="P485" t="s">
        <v>21</v>
      </c>
      <c r="Q485" t="s">
        <v>21</v>
      </c>
      <c r="R485" t="s">
        <v>1308</v>
      </c>
      <c r="S485" t="s">
        <v>1308</v>
      </c>
      <c r="T485" t="s">
        <v>1346</v>
      </c>
      <c r="U485" t="s">
        <v>1348</v>
      </c>
      <c r="V485" t="s">
        <v>1749</v>
      </c>
      <c r="W485" t="s">
        <v>1538</v>
      </c>
    </row>
    <row r="486" spans="1:23" x14ac:dyDescent="0.35">
      <c r="A486">
        <v>41</v>
      </c>
      <c r="B486">
        <v>2036</v>
      </c>
      <c r="C486">
        <v>2036</v>
      </c>
      <c r="D486" t="s">
        <v>23</v>
      </c>
      <c r="E486" t="s">
        <v>145</v>
      </c>
      <c r="F486" t="s">
        <v>292</v>
      </c>
      <c r="G486" t="s">
        <v>409</v>
      </c>
      <c r="H486" t="s">
        <v>410</v>
      </c>
      <c r="I486" t="s">
        <v>23</v>
      </c>
      <c r="J486" t="s">
        <v>440</v>
      </c>
      <c r="K486" t="s">
        <v>483</v>
      </c>
      <c r="L486" t="s">
        <v>962</v>
      </c>
      <c r="M486">
        <v>2027</v>
      </c>
      <c r="N486" t="s">
        <v>1238</v>
      </c>
      <c r="O486" t="s">
        <v>1253</v>
      </c>
      <c r="P486" t="s">
        <v>21</v>
      </c>
      <c r="Q486" t="s">
        <v>21</v>
      </c>
      <c r="R486" t="s">
        <v>1309</v>
      </c>
      <c r="S486" t="s">
        <v>1309</v>
      </c>
      <c r="T486" t="s">
        <v>410</v>
      </c>
      <c r="U486" t="s">
        <v>1348</v>
      </c>
      <c r="V486" t="s">
        <v>1750</v>
      </c>
      <c r="W486" t="s">
        <v>1539</v>
      </c>
    </row>
    <row r="487" spans="1:23" x14ac:dyDescent="0.35">
      <c r="A487">
        <v>42</v>
      </c>
      <c r="B487">
        <v>2036</v>
      </c>
      <c r="C487">
        <v>2036</v>
      </c>
      <c r="D487" t="s">
        <v>23</v>
      </c>
      <c r="E487" t="s">
        <v>145</v>
      </c>
      <c r="F487" t="s">
        <v>292</v>
      </c>
      <c r="G487" t="s">
        <v>409</v>
      </c>
      <c r="H487" t="s">
        <v>410</v>
      </c>
      <c r="I487" t="s">
        <v>23</v>
      </c>
      <c r="J487" t="s">
        <v>443</v>
      </c>
      <c r="K487" t="s">
        <v>484</v>
      </c>
      <c r="L487" t="s">
        <v>963</v>
      </c>
      <c r="M487">
        <v>2030</v>
      </c>
      <c r="N487" t="s">
        <v>1237</v>
      </c>
      <c r="O487" t="s">
        <v>1253</v>
      </c>
      <c r="P487" t="s">
        <v>21</v>
      </c>
      <c r="Q487" t="s">
        <v>21</v>
      </c>
      <c r="R487" t="s">
        <v>1310</v>
      </c>
      <c r="S487" t="s">
        <v>1310</v>
      </c>
      <c r="T487" t="s">
        <v>1338</v>
      </c>
      <c r="U487" t="s">
        <v>1348</v>
      </c>
      <c r="V487" t="s">
        <v>1751</v>
      </c>
      <c r="W487" t="s">
        <v>1540</v>
      </c>
    </row>
    <row r="488" spans="1:23" x14ac:dyDescent="0.35">
      <c r="A488">
        <v>43</v>
      </c>
      <c r="B488">
        <v>2037</v>
      </c>
      <c r="C488">
        <v>2037</v>
      </c>
      <c r="D488" t="s">
        <v>23</v>
      </c>
      <c r="E488" t="s">
        <v>146</v>
      </c>
      <c r="F488" t="s">
        <v>293</v>
      </c>
      <c r="G488" t="s">
        <v>409</v>
      </c>
      <c r="H488" t="s">
        <v>410</v>
      </c>
      <c r="I488" t="s">
        <v>23</v>
      </c>
      <c r="J488" t="s">
        <v>443</v>
      </c>
      <c r="K488" t="s">
        <v>484</v>
      </c>
      <c r="L488" t="s">
        <v>964</v>
      </c>
      <c r="M488">
        <v>2030</v>
      </c>
      <c r="N488" t="s">
        <v>1237</v>
      </c>
      <c r="O488" t="s">
        <v>1253</v>
      </c>
      <c r="P488" t="s">
        <v>21</v>
      </c>
      <c r="Q488" t="s">
        <v>21</v>
      </c>
      <c r="R488" t="s">
        <v>1311</v>
      </c>
      <c r="S488" t="s">
        <v>1311</v>
      </c>
      <c r="T488" t="s">
        <v>1338</v>
      </c>
      <c r="U488" t="s">
        <v>1348</v>
      </c>
      <c r="V488" t="s">
        <v>1752</v>
      </c>
      <c r="W488" t="s">
        <v>1540</v>
      </c>
    </row>
    <row r="489" spans="1:23" x14ac:dyDescent="0.35">
      <c r="A489">
        <v>44</v>
      </c>
      <c r="B489">
        <v>2038</v>
      </c>
      <c r="C489">
        <v>2038</v>
      </c>
      <c r="D489" t="s">
        <v>23</v>
      </c>
      <c r="E489" t="s">
        <v>147</v>
      </c>
      <c r="F489" t="s">
        <v>294</v>
      </c>
      <c r="G489" t="s">
        <v>409</v>
      </c>
      <c r="H489" t="s">
        <v>410</v>
      </c>
      <c r="I489" t="s">
        <v>23</v>
      </c>
      <c r="J489" t="s">
        <v>440</v>
      </c>
      <c r="K489" t="s">
        <v>483</v>
      </c>
      <c r="L489" t="s">
        <v>965</v>
      </c>
      <c r="M489">
        <v>2032</v>
      </c>
      <c r="N489" t="s">
        <v>1238</v>
      </c>
      <c r="O489" t="s">
        <v>1253</v>
      </c>
      <c r="P489" t="s">
        <v>21</v>
      </c>
      <c r="Q489" t="s">
        <v>21</v>
      </c>
      <c r="R489" t="s">
        <v>1268</v>
      </c>
      <c r="S489" t="s">
        <v>1268</v>
      </c>
      <c r="T489" t="s">
        <v>1336</v>
      </c>
      <c r="U489" t="s">
        <v>1348</v>
      </c>
      <c r="V489" t="s">
        <v>1753</v>
      </c>
      <c r="W489" t="s">
        <v>1541</v>
      </c>
    </row>
    <row r="490" spans="1:23" x14ac:dyDescent="0.35">
      <c r="A490">
        <v>45</v>
      </c>
      <c r="B490">
        <v>2039</v>
      </c>
      <c r="C490">
        <v>2039</v>
      </c>
      <c r="D490" t="s">
        <v>23</v>
      </c>
      <c r="E490" t="s">
        <v>148</v>
      </c>
      <c r="F490" t="s">
        <v>295</v>
      </c>
      <c r="G490" t="s">
        <v>409</v>
      </c>
      <c r="H490" t="s">
        <v>410</v>
      </c>
      <c r="I490" t="s">
        <v>23</v>
      </c>
      <c r="J490" t="s">
        <v>440</v>
      </c>
      <c r="K490" t="s">
        <v>483</v>
      </c>
      <c r="L490" t="s">
        <v>966</v>
      </c>
      <c r="M490">
        <v>2032</v>
      </c>
      <c r="N490" t="s">
        <v>1238</v>
      </c>
      <c r="O490" t="s">
        <v>1253</v>
      </c>
      <c r="P490" t="s">
        <v>21</v>
      </c>
      <c r="Q490" t="s">
        <v>21</v>
      </c>
      <c r="R490" t="s">
        <v>1308</v>
      </c>
      <c r="S490" t="s">
        <v>1308</v>
      </c>
      <c r="T490" t="s">
        <v>1346</v>
      </c>
      <c r="U490" t="s">
        <v>1348</v>
      </c>
      <c r="V490" t="s">
        <v>1754</v>
      </c>
      <c r="W490" t="s">
        <v>1542</v>
      </c>
    </row>
    <row r="491" spans="1:23" x14ac:dyDescent="0.35">
      <c r="A491">
        <v>46</v>
      </c>
      <c r="B491">
        <v>2040</v>
      </c>
      <c r="C491">
        <v>2040</v>
      </c>
      <c r="D491" t="s">
        <v>23</v>
      </c>
      <c r="E491" t="s">
        <v>118</v>
      </c>
      <c r="F491" t="s">
        <v>260</v>
      </c>
      <c r="G491" t="s">
        <v>409</v>
      </c>
      <c r="H491" t="s">
        <v>410</v>
      </c>
      <c r="I491" t="s">
        <v>23</v>
      </c>
      <c r="J491" t="s">
        <v>440</v>
      </c>
      <c r="K491" t="s">
        <v>483</v>
      </c>
      <c r="L491" t="s">
        <v>967</v>
      </c>
      <c r="M491">
        <v>2034</v>
      </c>
      <c r="N491" t="s">
        <v>1238</v>
      </c>
      <c r="O491" t="s">
        <v>1253</v>
      </c>
      <c r="P491" t="s">
        <v>21</v>
      </c>
      <c r="Q491" t="s">
        <v>21</v>
      </c>
      <c r="R491" t="s">
        <v>1302</v>
      </c>
      <c r="S491" t="s">
        <v>1302</v>
      </c>
      <c r="T491" t="s">
        <v>1337</v>
      </c>
      <c r="U491" t="s">
        <v>1348</v>
      </c>
      <c r="V491" t="s">
        <v>1755</v>
      </c>
      <c r="W491" t="s">
        <v>1543</v>
      </c>
    </row>
    <row r="492" spans="1:23" x14ac:dyDescent="0.35">
      <c r="A492">
        <v>47</v>
      </c>
      <c r="B492">
        <v>2040</v>
      </c>
      <c r="C492">
        <v>2040</v>
      </c>
      <c r="D492" t="s">
        <v>23</v>
      </c>
      <c r="E492" t="s">
        <v>118</v>
      </c>
      <c r="F492" t="s">
        <v>260</v>
      </c>
      <c r="G492" t="s">
        <v>409</v>
      </c>
      <c r="H492" t="s">
        <v>410</v>
      </c>
      <c r="I492" t="s">
        <v>23</v>
      </c>
      <c r="J492" t="s">
        <v>440</v>
      </c>
      <c r="K492" t="s">
        <v>483</v>
      </c>
      <c r="L492" t="s">
        <v>968</v>
      </c>
      <c r="M492">
        <v>2024</v>
      </c>
      <c r="N492" t="s">
        <v>1238</v>
      </c>
      <c r="O492" t="s">
        <v>1253</v>
      </c>
      <c r="P492" t="s">
        <v>21</v>
      </c>
      <c r="Q492" t="s">
        <v>21</v>
      </c>
      <c r="R492" t="s">
        <v>1255</v>
      </c>
      <c r="S492" t="s">
        <v>1255</v>
      </c>
      <c r="T492" t="s">
        <v>1278</v>
      </c>
      <c r="U492" t="s">
        <v>1348</v>
      </c>
      <c r="V492" t="s">
        <v>1756</v>
      </c>
      <c r="W492" t="s">
        <v>1544</v>
      </c>
    </row>
    <row r="493" spans="1:23" x14ac:dyDescent="0.35">
      <c r="A493">
        <v>48</v>
      </c>
      <c r="B493">
        <v>2041</v>
      </c>
      <c r="C493">
        <v>2041</v>
      </c>
      <c r="D493" t="s">
        <v>23</v>
      </c>
      <c r="E493" t="s">
        <v>149</v>
      </c>
      <c r="F493" t="s">
        <v>296</v>
      </c>
      <c r="G493" t="s">
        <v>409</v>
      </c>
      <c r="H493" t="s">
        <v>410</v>
      </c>
      <c r="I493" t="s">
        <v>23</v>
      </c>
      <c r="J493" t="s">
        <v>440</v>
      </c>
      <c r="K493" t="s">
        <v>483</v>
      </c>
      <c r="L493" t="s">
        <v>969</v>
      </c>
      <c r="M493">
        <v>2036</v>
      </c>
      <c r="N493" t="s">
        <v>1238</v>
      </c>
      <c r="O493" t="s">
        <v>1253</v>
      </c>
      <c r="P493" t="s">
        <v>21</v>
      </c>
      <c r="Q493" t="s">
        <v>21</v>
      </c>
      <c r="R493" t="s">
        <v>1298</v>
      </c>
      <c r="S493" t="s">
        <v>1298</v>
      </c>
      <c r="T493" t="s">
        <v>410</v>
      </c>
      <c r="U493" t="s">
        <v>1348</v>
      </c>
      <c r="V493" t="s">
        <v>1757</v>
      </c>
      <c r="W493" t="s">
        <v>1545</v>
      </c>
    </row>
    <row r="494" spans="1:23" x14ac:dyDescent="0.35">
      <c r="A494">
        <v>49</v>
      </c>
      <c r="B494">
        <v>2041</v>
      </c>
      <c r="C494">
        <v>2041</v>
      </c>
      <c r="D494" t="s">
        <v>23</v>
      </c>
      <c r="E494" t="s">
        <v>149</v>
      </c>
      <c r="F494" t="s">
        <v>296</v>
      </c>
      <c r="G494" t="s">
        <v>409</v>
      </c>
      <c r="H494" t="s">
        <v>410</v>
      </c>
      <c r="I494" t="s">
        <v>23</v>
      </c>
      <c r="J494" t="s">
        <v>443</v>
      </c>
      <c r="K494" t="s">
        <v>484</v>
      </c>
      <c r="L494" t="s">
        <v>970</v>
      </c>
      <c r="M494">
        <v>2037</v>
      </c>
      <c r="N494" t="s">
        <v>1237</v>
      </c>
      <c r="O494" t="s">
        <v>1253</v>
      </c>
      <c r="P494" t="s">
        <v>21</v>
      </c>
      <c r="Q494" t="s">
        <v>21</v>
      </c>
      <c r="R494" t="s">
        <v>1302</v>
      </c>
      <c r="S494" t="s">
        <v>1302</v>
      </c>
      <c r="T494" t="s">
        <v>1337</v>
      </c>
      <c r="U494" t="s">
        <v>1348</v>
      </c>
      <c r="V494" t="s">
        <v>1758</v>
      </c>
      <c r="W494" t="s">
        <v>1546</v>
      </c>
    </row>
    <row r="495" spans="1:23" x14ac:dyDescent="0.35">
      <c r="A495">
        <v>50</v>
      </c>
      <c r="B495">
        <v>2043</v>
      </c>
      <c r="C495">
        <v>2043</v>
      </c>
      <c r="D495" t="s">
        <v>23</v>
      </c>
      <c r="E495" t="s">
        <v>150</v>
      </c>
      <c r="F495" t="s">
        <v>297</v>
      </c>
      <c r="G495" t="s">
        <v>409</v>
      </c>
      <c r="H495" t="s">
        <v>410</v>
      </c>
      <c r="I495" t="s">
        <v>23</v>
      </c>
      <c r="J495" t="s">
        <v>440</v>
      </c>
      <c r="K495" t="s">
        <v>483</v>
      </c>
      <c r="L495" t="s">
        <v>971</v>
      </c>
      <c r="M495">
        <v>2039</v>
      </c>
      <c r="N495" t="s">
        <v>1238</v>
      </c>
      <c r="O495" t="s">
        <v>1253</v>
      </c>
      <c r="P495" t="s">
        <v>21</v>
      </c>
      <c r="Q495" t="s">
        <v>21</v>
      </c>
      <c r="R495" t="s">
        <v>1302</v>
      </c>
      <c r="S495" t="s">
        <v>1302</v>
      </c>
      <c r="T495" t="s">
        <v>1337</v>
      </c>
      <c r="U495" t="s">
        <v>1348</v>
      </c>
      <c r="V495" t="s">
        <v>1759</v>
      </c>
      <c r="W495" t="s">
        <v>1546</v>
      </c>
    </row>
    <row r="496" spans="1:23" x14ac:dyDescent="0.35">
      <c r="A496">
        <v>51</v>
      </c>
      <c r="B496">
        <v>2043</v>
      </c>
      <c r="C496">
        <v>2043</v>
      </c>
      <c r="D496" t="s">
        <v>23</v>
      </c>
      <c r="E496" t="s">
        <v>151</v>
      </c>
      <c r="F496" t="s">
        <v>298</v>
      </c>
      <c r="G496" t="s">
        <v>409</v>
      </c>
      <c r="H496" t="s">
        <v>410</v>
      </c>
      <c r="I496" t="s">
        <v>23</v>
      </c>
      <c r="J496" t="s">
        <v>440</v>
      </c>
      <c r="K496" t="s">
        <v>483</v>
      </c>
      <c r="L496" t="s">
        <v>972</v>
      </c>
      <c r="M496">
        <v>2039</v>
      </c>
      <c r="N496" t="s">
        <v>1238</v>
      </c>
      <c r="O496" t="s">
        <v>1253</v>
      </c>
      <c r="P496" t="s">
        <v>21</v>
      </c>
      <c r="Q496" t="s">
        <v>21</v>
      </c>
      <c r="R496" t="s">
        <v>1302</v>
      </c>
      <c r="S496" t="s">
        <v>1302</v>
      </c>
      <c r="T496" t="s">
        <v>1337</v>
      </c>
      <c r="U496" t="s">
        <v>1348</v>
      </c>
      <c r="V496" t="s">
        <v>1759</v>
      </c>
      <c r="W496" t="s">
        <v>1546</v>
      </c>
    </row>
    <row r="497" spans="1:23" x14ac:dyDescent="0.35">
      <c r="A497">
        <v>52</v>
      </c>
      <c r="B497">
        <v>2049</v>
      </c>
      <c r="C497">
        <v>2049</v>
      </c>
      <c r="D497" t="s">
        <v>23</v>
      </c>
      <c r="E497" t="s">
        <v>152</v>
      </c>
      <c r="F497" t="s">
        <v>299</v>
      </c>
      <c r="G497" t="s">
        <v>409</v>
      </c>
      <c r="H497" t="s">
        <v>410</v>
      </c>
      <c r="I497" t="s">
        <v>23</v>
      </c>
      <c r="J497" t="s">
        <v>443</v>
      </c>
      <c r="K497" t="s">
        <v>484</v>
      </c>
      <c r="L497" t="s">
        <v>973</v>
      </c>
      <c r="M497">
        <v>2041</v>
      </c>
      <c r="N497" t="s">
        <v>1237</v>
      </c>
      <c r="O497" t="s">
        <v>1253</v>
      </c>
      <c r="P497" t="s">
        <v>21</v>
      </c>
      <c r="Q497" t="s">
        <v>21</v>
      </c>
      <c r="R497" t="s">
        <v>1278</v>
      </c>
      <c r="S497" t="s">
        <v>1278</v>
      </c>
      <c r="T497" t="s">
        <v>1278</v>
      </c>
      <c r="U497" t="s">
        <v>1348</v>
      </c>
      <c r="V497" t="s">
        <v>1760</v>
      </c>
      <c r="W497" t="s">
        <v>1547</v>
      </c>
    </row>
    <row r="498" spans="1:23" x14ac:dyDescent="0.35">
      <c r="A498">
        <v>53</v>
      </c>
      <c r="B498">
        <v>2049</v>
      </c>
      <c r="C498">
        <v>2049</v>
      </c>
      <c r="D498" t="s">
        <v>23</v>
      </c>
      <c r="E498" t="s">
        <v>152</v>
      </c>
      <c r="F498" t="s">
        <v>299</v>
      </c>
      <c r="G498" t="s">
        <v>409</v>
      </c>
      <c r="H498" t="s">
        <v>410</v>
      </c>
      <c r="I498" t="s">
        <v>23</v>
      </c>
      <c r="J498" t="s">
        <v>443</v>
      </c>
      <c r="K498" t="s">
        <v>484</v>
      </c>
      <c r="L498" t="s">
        <v>974</v>
      </c>
      <c r="M498">
        <v>2042</v>
      </c>
      <c r="N498" t="s">
        <v>1237</v>
      </c>
      <c r="O498" t="s">
        <v>1253</v>
      </c>
      <c r="P498" t="s">
        <v>21</v>
      </c>
      <c r="Q498" t="s">
        <v>21</v>
      </c>
      <c r="R498" t="s">
        <v>1268</v>
      </c>
      <c r="S498" t="s">
        <v>1268</v>
      </c>
      <c r="T498" t="s">
        <v>1336</v>
      </c>
      <c r="U498" t="s">
        <v>1348</v>
      </c>
      <c r="V498" t="s">
        <v>1761</v>
      </c>
      <c r="W498" t="s">
        <v>1548</v>
      </c>
    </row>
    <row r="499" spans="1:23" x14ac:dyDescent="0.35">
      <c r="A499">
        <v>54</v>
      </c>
      <c r="B499">
        <v>2052</v>
      </c>
      <c r="C499">
        <v>2052</v>
      </c>
      <c r="D499" t="s">
        <v>23</v>
      </c>
      <c r="E499" t="s">
        <v>120</v>
      </c>
      <c r="F499" t="s">
        <v>262</v>
      </c>
      <c r="G499" t="s">
        <v>409</v>
      </c>
      <c r="H499" t="s">
        <v>410</v>
      </c>
      <c r="I499" t="s">
        <v>23</v>
      </c>
      <c r="J499" t="s">
        <v>443</v>
      </c>
      <c r="K499" t="s">
        <v>484</v>
      </c>
      <c r="L499" t="s">
        <v>975</v>
      </c>
      <c r="M499">
        <v>2042</v>
      </c>
      <c r="N499" t="s">
        <v>1237</v>
      </c>
      <c r="O499" t="s">
        <v>1253</v>
      </c>
      <c r="P499" t="s">
        <v>21</v>
      </c>
      <c r="Q499" t="s">
        <v>21</v>
      </c>
      <c r="R499" t="s">
        <v>1312</v>
      </c>
      <c r="S499" t="s">
        <v>1312</v>
      </c>
      <c r="T499" t="s">
        <v>410</v>
      </c>
      <c r="U499" t="s">
        <v>1348</v>
      </c>
      <c r="V499" t="s">
        <v>1762</v>
      </c>
      <c r="W499" t="s">
        <v>1549</v>
      </c>
    </row>
    <row r="500" spans="1:23" x14ac:dyDescent="0.35">
      <c r="A500">
        <v>55</v>
      </c>
      <c r="B500">
        <v>2101</v>
      </c>
      <c r="C500">
        <v>2101</v>
      </c>
      <c r="D500" t="s">
        <v>23</v>
      </c>
      <c r="E500" t="s">
        <v>35</v>
      </c>
      <c r="F500" t="s">
        <v>300</v>
      </c>
      <c r="G500" t="s">
        <v>409</v>
      </c>
      <c r="H500" t="s">
        <v>410</v>
      </c>
      <c r="I500" t="s">
        <v>23</v>
      </c>
      <c r="J500" t="s">
        <v>443</v>
      </c>
      <c r="K500" t="s">
        <v>484</v>
      </c>
      <c r="L500" t="s">
        <v>976</v>
      </c>
      <c r="M500">
        <v>2042</v>
      </c>
      <c r="N500" t="s">
        <v>1237</v>
      </c>
      <c r="O500" t="s">
        <v>1253</v>
      </c>
      <c r="P500" t="s">
        <v>21</v>
      </c>
      <c r="Q500" t="s">
        <v>21</v>
      </c>
      <c r="R500" t="s">
        <v>1302</v>
      </c>
      <c r="S500" t="s">
        <v>1302</v>
      </c>
      <c r="T500" t="s">
        <v>1337</v>
      </c>
      <c r="U500" t="s">
        <v>1348</v>
      </c>
      <c r="V500" t="s">
        <v>1763</v>
      </c>
      <c r="W500" t="s">
        <v>1450</v>
      </c>
    </row>
    <row r="501" spans="1:23" x14ac:dyDescent="0.35">
      <c r="A501">
        <v>56</v>
      </c>
      <c r="B501">
        <v>2101</v>
      </c>
      <c r="C501">
        <v>2101</v>
      </c>
      <c r="D501" t="s">
        <v>23</v>
      </c>
      <c r="E501" t="s">
        <v>35</v>
      </c>
      <c r="F501" t="s">
        <v>300</v>
      </c>
      <c r="G501" t="s">
        <v>409</v>
      </c>
      <c r="H501" t="s">
        <v>410</v>
      </c>
      <c r="I501" t="s">
        <v>23</v>
      </c>
      <c r="J501" t="s">
        <v>443</v>
      </c>
      <c r="K501" t="s">
        <v>484</v>
      </c>
      <c r="L501" t="s">
        <v>977</v>
      </c>
      <c r="M501">
        <v>2047</v>
      </c>
      <c r="N501" t="s">
        <v>1237</v>
      </c>
      <c r="O501" t="s">
        <v>1253</v>
      </c>
      <c r="P501" t="s">
        <v>21</v>
      </c>
      <c r="Q501" t="s">
        <v>21</v>
      </c>
      <c r="R501" t="s">
        <v>1302</v>
      </c>
      <c r="S501" t="s">
        <v>1302</v>
      </c>
      <c r="T501" t="s">
        <v>1337</v>
      </c>
      <c r="U501" t="s">
        <v>1348</v>
      </c>
      <c r="V501" t="s">
        <v>1763</v>
      </c>
      <c r="W501" t="s">
        <v>1450</v>
      </c>
    </row>
    <row r="502" spans="1:23" x14ac:dyDescent="0.35">
      <c r="A502">
        <v>57</v>
      </c>
      <c r="B502">
        <v>2103</v>
      </c>
      <c r="C502">
        <v>2103</v>
      </c>
      <c r="D502" t="s">
        <v>23</v>
      </c>
      <c r="E502" t="s">
        <v>41</v>
      </c>
      <c r="F502" t="s">
        <v>301</v>
      </c>
      <c r="G502" t="s">
        <v>409</v>
      </c>
      <c r="H502" t="s">
        <v>410</v>
      </c>
      <c r="I502" t="s">
        <v>23</v>
      </c>
      <c r="J502" t="s">
        <v>443</v>
      </c>
      <c r="K502" t="s">
        <v>484</v>
      </c>
      <c r="L502" t="s">
        <v>978</v>
      </c>
      <c r="M502">
        <v>2048</v>
      </c>
      <c r="N502" t="s">
        <v>1237</v>
      </c>
      <c r="O502" t="s">
        <v>1253</v>
      </c>
      <c r="P502" t="s">
        <v>21</v>
      </c>
      <c r="Q502" t="s">
        <v>21</v>
      </c>
      <c r="R502" t="s">
        <v>1302</v>
      </c>
      <c r="S502" t="s">
        <v>1302</v>
      </c>
      <c r="T502" t="s">
        <v>1337</v>
      </c>
      <c r="U502" t="s">
        <v>1348</v>
      </c>
      <c r="V502" t="s">
        <v>1619</v>
      </c>
      <c r="W502" t="s">
        <v>1450</v>
      </c>
    </row>
    <row r="503" spans="1:23" x14ac:dyDescent="0.35">
      <c r="A503">
        <v>58</v>
      </c>
      <c r="B503">
        <v>2104</v>
      </c>
      <c r="C503">
        <v>2104</v>
      </c>
      <c r="D503" t="s">
        <v>23</v>
      </c>
      <c r="E503" t="s">
        <v>47</v>
      </c>
      <c r="F503" t="s">
        <v>302</v>
      </c>
      <c r="G503" t="s">
        <v>409</v>
      </c>
      <c r="H503" t="s">
        <v>410</v>
      </c>
      <c r="I503" t="s">
        <v>23</v>
      </c>
      <c r="J503" t="s">
        <v>440</v>
      </c>
      <c r="K503" t="s">
        <v>483</v>
      </c>
      <c r="L503" t="s">
        <v>979</v>
      </c>
      <c r="M503">
        <v>2051</v>
      </c>
      <c r="N503" t="s">
        <v>1238</v>
      </c>
      <c r="O503" t="s">
        <v>1253</v>
      </c>
      <c r="P503" t="s">
        <v>21</v>
      </c>
      <c r="Q503" t="s">
        <v>21</v>
      </c>
      <c r="R503" t="s">
        <v>1278</v>
      </c>
      <c r="S503" t="s">
        <v>1278</v>
      </c>
      <c r="T503" t="s">
        <v>1278</v>
      </c>
      <c r="U503" t="s">
        <v>1348</v>
      </c>
      <c r="V503" t="s">
        <v>1764</v>
      </c>
      <c r="W503" t="s">
        <v>1459</v>
      </c>
    </row>
    <row r="504" spans="1:23" x14ac:dyDescent="0.35">
      <c r="A504">
        <v>59</v>
      </c>
      <c r="B504">
        <v>2106</v>
      </c>
      <c r="C504">
        <v>2106</v>
      </c>
      <c r="D504" t="s">
        <v>23</v>
      </c>
      <c r="E504" t="s">
        <v>153</v>
      </c>
      <c r="F504" t="s">
        <v>303</v>
      </c>
      <c r="G504" t="s">
        <v>409</v>
      </c>
      <c r="H504" t="s">
        <v>410</v>
      </c>
      <c r="I504" t="s">
        <v>23</v>
      </c>
      <c r="J504" t="s">
        <v>443</v>
      </c>
      <c r="K504" t="s">
        <v>484</v>
      </c>
      <c r="L504" t="s">
        <v>980</v>
      </c>
      <c r="M504">
        <v>2101</v>
      </c>
      <c r="N504" t="s">
        <v>1237</v>
      </c>
      <c r="O504" t="s">
        <v>1253</v>
      </c>
      <c r="P504" t="s">
        <v>21</v>
      </c>
      <c r="Q504" t="s">
        <v>21</v>
      </c>
      <c r="R504" t="s">
        <v>1300</v>
      </c>
      <c r="S504" t="s">
        <v>1300</v>
      </c>
      <c r="T504" t="s">
        <v>1344</v>
      </c>
      <c r="U504" t="s">
        <v>1348</v>
      </c>
      <c r="V504" t="s">
        <v>1765</v>
      </c>
      <c r="W504" t="s">
        <v>1550</v>
      </c>
    </row>
    <row r="505" spans="1:23" x14ac:dyDescent="0.35">
      <c r="A505">
        <v>60</v>
      </c>
      <c r="B505">
        <v>2106</v>
      </c>
      <c r="C505">
        <v>2106</v>
      </c>
      <c r="D505" t="s">
        <v>23</v>
      </c>
      <c r="E505" t="s">
        <v>153</v>
      </c>
      <c r="F505" t="s">
        <v>303</v>
      </c>
      <c r="G505" t="s">
        <v>409</v>
      </c>
      <c r="H505" t="s">
        <v>410</v>
      </c>
      <c r="I505" t="s">
        <v>23</v>
      </c>
      <c r="J505" t="s">
        <v>443</v>
      </c>
      <c r="K505" t="s">
        <v>484</v>
      </c>
      <c r="L505" t="s">
        <v>981</v>
      </c>
      <c r="M505">
        <v>2101</v>
      </c>
      <c r="N505" t="s">
        <v>1237</v>
      </c>
      <c r="O505" t="s">
        <v>1253</v>
      </c>
      <c r="P505" t="s">
        <v>21</v>
      </c>
      <c r="Q505" t="s">
        <v>21</v>
      </c>
      <c r="R505" t="s">
        <v>1302</v>
      </c>
      <c r="S505" t="s">
        <v>1302</v>
      </c>
      <c r="T505" t="s">
        <v>1337</v>
      </c>
      <c r="U505" t="s">
        <v>1348</v>
      </c>
      <c r="V505" t="s">
        <v>1766</v>
      </c>
      <c r="W505" t="s">
        <v>1551</v>
      </c>
    </row>
    <row r="506" spans="1:23" x14ac:dyDescent="0.35">
      <c r="A506">
        <v>61</v>
      </c>
      <c r="B506">
        <v>2106</v>
      </c>
      <c r="C506">
        <v>2106</v>
      </c>
      <c r="D506" t="s">
        <v>23</v>
      </c>
      <c r="E506" t="s">
        <v>153</v>
      </c>
      <c r="F506" t="s">
        <v>303</v>
      </c>
      <c r="G506" t="s">
        <v>409</v>
      </c>
      <c r="H506" t="s">
        <v>410</v>
      </c>
      <c r="I506" t="s">
        <v>23</v>
      </c>
      <c r="J506" t="s">
        <v>443</v>
      </c>
      <c r="K506" t="s">
        <v>484</v>
      </c>
      <c r="L506" t="s">
        <v>982</v>
      </c>
      <c r="M506">
        <v>2101</v>
      </c>
      <c r="N506" t="s">
        <v>1237</v>
      </c>
      <c r="O506" t="s">
        <v>1253</v>
      </c>
      <c r="P506" t="s">
        <v>21</v>
      </c>
      <c r="Q506" t="s">
        <v>21</v>
      </c>
      <c r="R506" t="s">
        <v>1313</v>
      </c>
      <c r="S506" t="s">
        <v>1313</v>
      </c>
      <c r="T506" t="s">
        <v>1339</v>
      </c>
      <c r="U506" t="s">
        <v>1348</v>
      </c>
      <c r="V506" t="s">
        <v>1767</v>
      </c>
      <c r="W506" t="s">
        <v>1465</v>
      </c>
    </row>
    <row r="507" spans="1:23" x14ac:dyDescent="0.35">
      <c r="A507">
        <v>62</v>
      </c>
      <c r="B507">
        <v>2108</v>
      </c>
      <c r="C507">
        <v>2108</v>
      </c>
      <c r="D507" t="s">
        <v>23</v>
      </c>
      <c r="E507" t="s">
        <v>154</v>
      </c>
      <c r="F507" t="s">
        <v>304</v>
      </c>
      <c r="G507" t="s">
        <v>409</v>
      </c>
      <c r="H507" t="s">
        <v>410</v>
      </c>
      <c r="I507" t="s">
        <v>23</v>
      </c>
      <c r="J507" t="s">
        <v>443</v>
      </c>
      <c r="K507" t="s">
        <v>484</v>
      </c>
      <c r="L507" t="s">
        <v>983</v>
      </c>
      <c r="M507">
        <v>2104</v>
      </c>
      <c r="N507" t="s">
        <v>1237</v>
      </c>
      <c r="O507" t="s">
        <v>1253</v>
      </c>
      <c r="P507" t="s">
        <v>21</v>
      </c>
      <c r="Q507" t="s">
        <v>21</v>
      </c>
      <c r="R507" t="s">
        <v>1308</v>
      </c>
      <c r="S507" t="s">
        <v>1306</v>
      </c>
      <c r="T507" t="s">
        <v>1346</v>
      </c>
      <c r="U507" t="s">
        <v>1348</v>
      </c>
      <c r="V507" t="s">
        <v>1768</v>
      </c>
      <c r="W507" t="s">
        <v>1522</v>
      </c>
    </row>
    <row r="508" spans="1:23" x14ac:dyDescent="0.35">
      <c r="A508">
        <v>63</v>
      </c>
      <c r="B508">
        <v>2109</v>
      </c>
      <c r="C508">
        <v>2109</v>
      </c>
      <c r="D508" t="s">
        <v>23</v>
      </c>
      <c r="E508" t="s">
        <v>155</v>
      </c>
      <c r="F508" t="s">
        <v>305</v>
      </c>
      <c r="G508" t="s">
        <v>409</v>
      </c>
      <c r="H508" t="s">
        <v>410</v>
      </c>
      <c r="I508" t="s">
        <v>23</v>
      </c>
      <c r="J508" t="s">
        <v>443</v>
      </c>
      <c r="K508" t="s">
        <v>484</v>
      </c>
      <c r="L508" t="s">
        <v>984</v>
      </c>
      <c r="M508">
        <v>2103</v>
      </c>
      <c r="N508" t="s">
        <v>1237</v>
      </c>
      <c r="O508" t="s">
        <v>1253</v>
      </c>
      <c r="P508" t="s">
        <v>21</v>
      </c>
      <c r="Q508" t="s">
        <v>21</v>
      </c>
      <c r="R508" t="s">
        <v>1278</v>
      </c>
      <c r="S508" t="s">
        <v>1278</v>
      </c>
      <c r="T508" t="s">
        <v>1278</v>
      </c>
      <c r="U508" t="s">
        <v>1348</v>
      </c>
      <c r="V508" t="s">
        <v>1769</v>
      </c>
      <c r="W508" t="s">
        <v>1468</v>
      </c>
    </row>
    <row r="509" spans="1:23" x14ac:dyDescent="0.35">
      <c r="A509">
        <v>64</v>
      </c>
      <c r="B509">
        <v>2112</v>
      </c>
      <c r="C509">
        <v>2112</v>
      </c>
      <c r="D509" t="s">
        <v>23</v>
      </c>
      <c r="E509" t="s">
        <v>156</v>
      </c>
      <c r="F509" t="s">
        <v>306</v>
      </c>
      <c r="G509" t="s">
        <v>409</v>
      </c>
      <c r="H509" t="s">
        <v>410</v>
      </c>
      <c r="I509" t="s">
        <v>23</v>
      </c>
      <c r="J509" t="s">
        <v>443</v>
      </c>
      <c r="K509" t="s">
        <v>484</v>
      </c>
      <c r="L509" t="s">
        <v>985</v>
      </c>
      <c r="M509">
        <v>2102</v>
      </c>
      <c r="N509" t="s">
        <v>1237</v>
      </c>
      <c r="O509" t="s">
        <v>1253</v>
      </c>
      <c r="P509" t="s">
        <v>21</v>
      </c>
      <c r="Q509" t="s">
        <v>21</v>
      </c>
      <c r="R509" t="s">
        <v>1270</v>
      </c>
      <c r="S509" t="s">
        <v>1270</v>
      </c>
      <c r="T509" t="s">
        <v>1346</v>
      </c>
      <c r="U509" t="s">
        <v>1348</v>
      </c>
      <c r="V509" t="s">
        <v>1770</v>
      </c>
      <c r="W509" t="s">
        <v>1552</v>
      </c>
    </row>
    <row r="510" spans="1:23" x14ac:dyDescent="0.35">
      <c r="A510">
        <v>65</v>
      </c>
      <c r="B510">
        <v>2112</v>
      </c>
      <c r="C510">
        <v>2112</v>
      </c>
      <c r="D510" t="s">
        <v>23</v>
      </c>
      <c r="E510" t="s">
        <v>67</v>
      </c>
      <c r="F510" t="s">
        <v>307</v>
      </c>
      <c r="G510" t="s">
        <v>409</v>
      </c>
      <c r="H510" t="s">
        <v>410</v>
      </c>
      <c r="I510" t="s">
        <v>23</v>
      </c>
      <c r="J510" t="s">
        <v>443</v>
      </c>
      <c r="K510" t="s">
        <v>484</v>
      </c>
      <c r="L510" t="s">
        <v>986</v>
      </c>
      <c r="M510">
        <v>2103</v>
      </c>
      <c r="N510" t="s">
        <v>1237</v>
      </c>
      <c r="O510" t="s">
        <v>1253</v>
      </c>
      <c r="P510" t="s">
        <v>21</v>
      </c>
      <c r="Q510" t="s">
        <v>21</v>
      </c>
      <c r="R510" t="s">
        <v>1308</v>
      </c>
      <c r="S510" t="s">
        <v>1306</v>
      </c>
      <c r="T510" t="s">
        <v>1346</v>
      </c>
      <c r="U510" t="s">
        <v>1348</v>
      </c>
      <c r="V510" t="s">
        <v>1770</v>
      </c>
      <c r="W510" t="s">
        <v>1552</v>
      </c>
    </row>
    <row r="511" spans="1:23" x14ac:dyDescent="0.35">
      <c r="A511">
        <v>66</v>
      </c>
      <c r="B511">
        <v>2112</v>
      </c>
      <c r="C511">
        <v>2112</v>
      </c>
      <c r="D511" t="s">
        <v>23</v>
      </c>
      <c r="E511" t="s">
        <v>67</v>
      </c>
      <c r="F511" t="s">
        <v>307</v>
      </c>
      <c r="G511" t="s">
        <v>409</v>
      </c>
      <c r="H511" t="s">
        <v>410</v>
      </c>
      <c r="I511" t="s">
        <v>23</v>
      </c>
      <c r="J511" t="s">
        <v>443</v>
      </c>
      <c r="K511" t="s">
        <v>484</v>
      </c>
      <c r="L511" t="s">
        <v>987</v>
      </c>
      <c r="M511">
        <v>2103</v>
      </c>
      <c r="N511" t="s">
        <v>1237</v>
      </c>
      <c r="O511" t="s">
        <v>1253</v>
      </c>
      <c r="P511" t="s">
        <v>21</v>
      </c>
      <c r="Q511" t="s">
        <v>21</v>
      </c>
      <c r="R511" t="s">
        <v>1302</v>
      </c>
      <c r="S511" t="s">
        <v>1302</v>
      </c>
      <c r="T511" t="s">
        <v>1337</v>
      </c>
      <c r="U511" t="s">
        <v>1348</v>
      </c>
      <c r="V511" t="s">
        <v>1771</v>
      </c>
      <c r="W511" t="s">
        <v>1471</v>
      </c>
    </row>
    <row r="512" spans="1:23" x14ac:dyDescent="0.35">
      <c r="A512">
        <v>67</v>
      </c>
      <c r="B512">
        <v>2113</v>
      </c>
      <c r="C512">
        <v>2113</v>
      </c>
      <c r="D512" t="s">
        <v>23</v>
      </c>
      <c r="E512" t="s">
        <v>70</v>
      </c>
      <c r="F512" t="s">
        <v>308</v>
      </c>
      <c r="G512" t="s">
        <v>409</v>
      </c>
      <c r="H512" t="s">
        <v>410</v>
      </c>
      <c r="I512" t="s">
        <v>23</v>
      </c>
      <c r="J512" t="s">
        <v>443</v>
      </c>
      <c r="K512" t="s">
        <v>484</v>
      </c>
      <c r="L512" t="s">
        <v>988</v>
      </c>
      <c r="M512">
        <v>2108</v>
      </c>
      <c r="N512" t="s">
        <v>1237</v>
      </c>
      <c r="O512" t="s">
        <v>1253</v>
      </c>
      <c r="P512" t="s">
        <v>21</v>
      </c>
      <c r="Q512" t="s">
        <v>21</v>
      </c>
      <c r="R512" t="s">
        <v>1268</v>
      </c>
      <c r="S512" t="s">
        <v>1268</v>
      </c>
      <c r="T512" t="s">
        <v>1336</v>
      </c>
      <c r="U512" t="s">
        <v>1348</v>
      </c>
      <c r="V512" t="s">
        <v>1772</v>
      </c>
      <c r="W512" t="s">
        <v>1553</v>
      </c>
    </row>
    <row r="513" spans="1:23" x14ac:dyDescent="0.35">
      <c r="A513">
        <v>68</v>
      </c>
      <c r="B513">
        <v>2113</v>
      </c>
      <c r="C513">
        <v>2113</v>
      </c>
      <c r="D513" t="s">
        <v>23</v>
      </c>
      <c r="E513" t="s">
        <v>70</v>
      </c>
      <c r="F513" t="s">
        <v>308</v>
      </c>
      <c r="G513" t="s">
        <v>409</v>
      </c>
      <c r="H513" t="s">
        <v>410</v>
      </c>
      <c r="I513" t="s">
        <v>23</v>
      </c>
      <c r="J513" t="s">
        <v>443</v>
      </c>
      <c r="K513" t="s">
        <v>484</v>
      </c>
      <c r="L513" t="s">
        <v>989</v>
      </c>
      <c r="M513">
        <v>2107</v>
      </c>
      <c r="N513" t="s">
        <v>1237</v>
      </c>
      <c r="O513" t="s">
        <v>1253</v>
      </c>
      <c r="P513" t="s">
        <v>21</v>
      </c>
      <c r="Q513" t="s">
        <v>21</v>
      </c>
      <c r="R513" t="s">
        <v>1302</v>
      </c>
      <c r="S513" t="s">
        <v>1302</v>
      </c>
      <c r="T513" t="s">
        <v>1337</v>
      </c>
      <c r="U513" t="s">
        <v>1348</v>
      </c>
      <c r="V513" t="s">
        <v>1773</v>
      </c>
      <c r="W513" t="s">
        <v>1471</v>
      </c>
    </row>
    <row r="514" spans="1:23" x14ac:dyDescent="0.35">
      <c r="A514">
        <v>69</v>
      </c>
      <c r="B514">
        <v>2115</v>
      </c>
      <c r="C514">
        <v>2115</v>
      </c>
      <c r="D514" t="s">
        <v>23</v>
      </c>
      <c r="E514" t="s">
        <v>157</v>
      </c>
      <c r="F514" t="s">
        <v>309</v>
      </c>
      <c r="G514" t="s">
        <v>409</v>
      </c>
      <c r="H514" t="s">
        <v>410</v>
      </c>
      <c r="I514" t="s">
        <v>23</v>
      </c>
      <c r="J514" t="s">
        <v>443</v>
      </c>
      <c r="K514" t="s">
        <v>484</v>
      </c>
      <c r="L514" t="s">
        <v>990</v>
      </c>
      <c r="M514">
        <v>2104</v>
      </c>
      <c r="N514" t="s">
        <v>1237</v>
      </c>
      <c r="O514" t="s">
        <v>1253</v>
      </c>
      <c r="P514" t="s">
        <v>21</v>
      </c>
      <c r="Q514" t="s">
        <v>21</v>
      </c>
      <c r="R514" t="s">
        <v>1314</v>
      </c>
      <c r="S514" t="s">
        <v>1314</v>
      </c>
      <c r="T514" t="s">
        <v>1341</v>
      </c>
      <c r="U514" t="s">
        <v>1348</v>
      </c>
      <c r="V514" t="s">
        <v>1774</v>
      </c>
      <c r="W514" t="s">
        <v>1477</v>
      </c>
    </row>
    <row r="515" spans="1:23" x14ac:dyDescent="0.35">
      <c r="A515">
        <v>70</v>
      </c>
      <c r="B515">
        <v>2115</v>
      </c>
      <c r="C515">
        <v>2115</v>
      </c>
      <c r="D515" t="s">
        <v>23</v>
      </c>
      <c r="E515" t="s">
        <v>157</v>
      </c>
      <c r="F515" t="s">
        <v>309</v>
      </c>
      <c r="G515" t="s">
        <v>409</v>
      </c>
      <c r="H515" t="s">
        <v>410</v>
      </c>
      <c r="I515" t="s">
        <v>23</v>
      </c>
      <c r="J515" t="s">
        <v>443</v>
      </c>
      <c r="K515" t="s">
        <v>484</v>
      </c>
      <c r="L515" t="s">
        <v>991</v>
      </c>
      <c r="M515">
        <v>2104</v>
      </c>
      <c r="N515" t="s">
        <v>1237</v>
      </c>
      <c r="O515" t="s">
        <v>1253</v>
      </c>
      <c r="P515" t="s">
        <v>21</v>
      </c>
      <c r="Q515" t="s">
        <v>21</v>
      </c>
      <c r="R515" t="s">
        <v>1298</v>
      </c>
      <c r="S515" t="s">
        <v>1298</v>
      </c>
      <c r="T515" t="s">
        <v>410</v>
      </c>
      <c r="U515" t="s">
        <v>1348</v>
      </c>
      <c r="V515" t="s">
        <v>1775</v>
      </c>
      <c r="W515" t="s">
        <v>1476</v>
      </c>
    </row>
    <row r="516" spans="1:23" x14ac:dyDescent="0.35">
      <c r="A516">
        <v>71</v>
      </c>
      <c r="B516">
        <v>2115</v>
      </c>
      <c r="C516">
        <v>2117</v>
      </c>
      <c r="D516" t="s">
        <v>23</v>
      </c>
      <c r="E516" t="s">
        <v>73</v>
      </c>
      <c r="F516" t="s">
        <v>309</v>
      </c>
      <c r="G516" t="s">
        <v>409</v>
      </c>
      <c r="H516" t="s">
        <v>410</v>
      </c>
      <c r="I516" t="s">
        <v>23</v>
      </c>
      <c r="J516" t="s">
        <v>443</v>
      </c>
      <c r="K516" t="s">
        <v>484</v>
      </c>
      <c r="L516" t="s">
        <v>992</v>
      </c>
      <c r="M516">
        <v>2109</v>
      </c>
      <c r="N516" t="s">
        <v>1237</v>
      </c>
      <c r="O516" t="s">
        <v>1253</v>
      </c>
      <c r="P516" t="s">
        <v>21</v>
      </c>
      <c r="Q516" t="s">
        <v>21</v>
      </c>
      <c r="R516" t="s">
        <v>1314</v>
      </c>
      <c r="S516" t="s">
        <v>1314</v>
      </c>
      <c r="T516" t="s">
        <v>1341</v>
      </c>
      <c r="U516" t="s">
        <v>1348</v>
      </c>
      <c r="V516" t="s">
        <v>1774</v>
      </c>
      <c r="W516" t="s">
        <v>1477</v>
      </c>
    </row>
    <row r="517" spans="1:23" x14ac:dyDescent="0.35">
      <c r="A517">
        <v>72</v>
      </c>
      <c r="B517">
        <v>2125</v>
      </c>
      <c r="C517">
        <v>2125</v>
      </c>
      <c r="D517" t="s">
        <v>23</v>
      </c>
      <c r="E517" t="s">
        <v>121</v>
      </c>
      <c r="F517" t="s">
        <v>267</v>
      </c>
      <c r="G517" t="s">
        <v>409</v>
      </c>
      <c r="H517" t="s">
        <v>410</v>
      </c>
      <c r="I517" t="s">
        <v>23</v>
      </c>
      <c r="J517" t="s">
        <v>443</v>
      </c>
      <c r="K517" t="s">
        <v>484</v>
      </c>
      <c r="L517" t="s">
        <v>993</v>
      </c>
      <c r="M517">
        <v>2116</v>
      </c>
      <c r="N517" t="s">
        <v>1237</v>
      </c>
      <c r="O517" t="s">
        <v>1253</v>
      </c>
      <c r="P517" t="s">
        <v>21</v>
      </c>
      <c r="Q517" t="s">
        <v>21</v>
      </c>
      <c r="R517" t="s">
        <v>1315</v>
      </c>
      <c r="S517" t="s">
        <v>1315</v>
      </c>
      <c r="T517" t="s">
        <v>410</v>
      </c>
      <c r="U517" t="s">
        <v>1348</v>
      </c>
      <c r="V517" t="s">
        <v>1776</v>
      </c>
      <c r="W517" t="s">
        <v>1554</v>
      </c>
    </row>
    <row r="518" spans="1:23" x14ac:dyDescent="0.35">
      <c r="A518">
        <v>1</v>
      </c>
      <c r="B518">
        <v>2022</v>
      </c>
      <c r="C518">
        <v>2022</v>
      </c>
      <c r="D518" t="s">
        <v>23</v>
      </c>
      <c r="E518" t="s">
        <v>158</v>
      </c>
      <c r="F518" t="s">
        <v>310</v>
      </c>
      <c r="G518" t="s">
        <v>409</v>
      </c>
      <c r="H518" t="s">
        <v>410</v>
      </c>
      <c r="I518" t="s">
        <v>23</v>
      </c>
      <c r="J518" t="s">
        <v>439</v>
      </c>
      <c r="K518" t="s">
        <v>487</v>
      </c>
      <c r="L518" t="s">
        <v>994</v>
      </c>
      <c r="M518">
        <v>2009</v>
      </c>
      <c r="N518" t="s">
        <v>1239</v>
      </c>
      <c r="O518" t="s">
        <v>1253</v>
      </c>
      <c r="P518" t="s">
        <v>21</v>
      </c>
      <c r="Q518" t="s">
        <v>21</v>
      </c>
      <c r="R518" t="s">
        <v>1268</v>
      </c>
      <c r="S518" t="s">
        <v>1268</v>
      </c>
      <c r="T518" t="s">
        <v>1336</v>
      </c>
      <c r="U518" t="s">
        <v>1348</v>
      </c>
      <c r="V518" t="s">
        <v>1777</v>
      </c>
      <c r="W518" t="s">
        <v>1555</v>
      </c>
    </row>
    <row r="519" spans="1:23" x14ac:dyDescent="0.35">
      <c r="A519">
        <v>2</v>
      </c>
      <c r="B519">
        <v>2030</v>
      </c>
      <c r="C519">
        <v>2030</v>
      </c>
      <c r="D519" t="s">
        <v>21</v>
      </c>
      <c r="E519" t="s">
        <v>159</v>
      </c>
      <c r="F519" t="s">
        <v>311</v>
      </c>
      <c r="G519" t="s">
        <v>409</v>
      </c>
      <c r="H519" t="s">
        <v>410</v>
      </c>
      <c r="I519" t="s">
        <v>21</v>
      </c>
      <c r="J519" t="s">
        <v>439</v>
      </c>
      <c r="K519" t="s">
        <v>487</v>
      </c>
      <c r="L519" t="s">
        <v>995</v>
      </c>
      <c r="M519">
        <v>1947</v>
      </c>
      <c r="N519" t="s">
        <v>1239</v>
      </c>
      <c r="O519" t="s">
        <v>1253</v>
      </c>
      <c r="P519" t="s">
        <v>21</v>
      </c>
      <c r="Q519" t="s">
        <v>21</v>
      </c>
      <c r="R519" t="s">
        <v>1302</v>
      </c>
      <c r="S519" t="s">
        <v>1302</v>
      </c>
      <c r="T519" t="s">
        <v>1337</v>
      </c>
      <c r="U519" t="s">
        <v>1348</v>
      </c>
      <c r="V519" t="s">
        <v>1778</v>
      </c>
      <c r="W519" t="s">
        <v>1535</v>
      </c>
    </row>
    <row r="520" spans="1:23" x14ac:dyDescent="0.35">
      <c r="A520">
        <v>3</v>
      </c>
      <c r="B520">
        <v>2030</v>
      </c>
      <c r="C520">
        <v>2030</v>
      </c>
      <c r="D520" t="s">
        <v>21</v>
      </c>
      <c r="E520" t="s">
        <v>160</v>
      </c>
      <c r="F520" t="s">
        <v>312</v>
      </c>
      <c r="G520" t="s">
        <v>409</v>
      </c>
      <c r="H520" t="s">
        <v>410</v>
      </c>
      <c r="I520" t="s">
        <v>21</v>
      </c>
      <c r="J520" t="s">
        <v>439</v>
      </c>
      <c r="K520" t="s">
        <v>487</v>
      </c>
      <c r="L520" t="s">
        <v>996</v>
      </c>
      <c r="M520">
        <v>2022</v>
      </c>
      <c r="N520" t="s">
        <v>1239</v>
      </c>
      <c r="O520" t="s">
        <v>1253</v>
      </c>
      <c r="P520" t="s">
        <v>21</v>
      </c>
      <c r="Q520" t="s">
        <v>21</v>
      </c>
      <c r="R520" t="s">
        <v>1310</v>
      </c>
      <c r="S520" t="s">
        <v>1311</v>
      </c>
      <c r="T520" t="s">
        <v>1338</v>
      </c>
      <c r="U520" t="s">
        <v>1348</v>
      </c>
      <c r="V520" t="s">
        <v>1779</v>
      </c>
      <c r="W520" t="s">
        <v>1556</v>
      </c>
    </row>
    <row r="521" spans="1:23" x14ac:dyDescent="0.35">
      <c r="A521">
        <v>4</v>
      </c>
      <c r="B521">
        <v>2032</v>
      </c>
      <c r="C521">
        <v>2032</v>
      </c>
      <c r="D521" t="s">
        <v>23</v>
      </c>
      <c r="E521" t="s">
        <v>140</v>
      </c>
      <c r="F521" t="s">
        <v>287</v>
      </c>
      <c r="G521" t="s">
        <v>409</v>
      </c>
      <c r="H521" t="s">
        <v>410</v>
      </c>
      <c r="I521" t="s">
        <v>23</v>
      </c>
      <c r="J521" t="s">
        <v>439</v>
      </c>
      <c r="K521" t="s">
        <v>487</v>
      </c>
      <c r="L521" t="s">
        <v>997</v>
      </c>
      <c r="M521">
        <v>2027</v>
      </c>
      <c r="N521" t="s">
        <v>1239</v>
      </c>
      <c r="O521" t="s">
        <v>1253</v>
      </c>
      <c r="P521" t="s">
        <v>21</v>
      </c>
      <c r="Q521" t="s">
        <v>21</v>
      </c>
      <c r="R521" t="s">
        <v>1268</v>
      </c>
      <c r="S521" t="s">
        <v>1268</v>
      </c>
      <c r="T521" t="s">
        <v>1336</v>
      </c>
      <c r="U521" t="s">
        <v>1348</v>
      </c>
      <c r="V521" t="s">
        <v>1780</v>
      </c>
      <c r="W521" t="s">
        <v>1557</v>
      </c>
    </row>
    <row r="522" spans="1:23" x14ac:dyDescent="0.35">
      <c r="A522">
        <v>5</v>
      </c>
      <c r="B522">
        <v>2034</v>
      </c>
      <c r="C522">
        <v>2034</v>
      </c>
      <c r="D522" t="s">
        <v>23</v>
      </c>
      <c r="E522" t="s">
        <v>161</v>
      </c>
      <c r="F522" t="s">
        <v>313</v>
      </c>
      <c r="G522" t="s">
        <v>409</v>
      </c>
      <c r="H522" t="s">
        <v>410</v>
      </c>
      <c r="I522" t="s">
        <v>23</v>
      </c>
      <c r="J522" t="s">
        <v>439</v>
      </c>
      <c r="K522" t="s">
        <v>487</v>
      </c>
      <c r="L522" t="s">
        <v>998</v>
      </c>
      <c r="M522">
        <v>2028</v>
      </c>
      <c r="N522" t="s">
        <v>1239</v>
      </c>
      <c r="O522" t="s">
        <v>1253</v>
      </c>
      <c r="P522" t="s">
        <v>21</v>
      </c>
      <c r="Q522" t="s">
        <v>21</v>
      </c>
      <c r="R522" t="s">
        <v>1311</v>
      </c>
      <c r="S522" t="s">
        <v>1311</v>
      </c>
      <c r="T522" t="s">
        <v>1338</v>
      </c>
      <c r="U522" t="s">
        <v>1348</v>
      </c>
      <c r="V522" t="s">
        <v>1781</v>
      </c>
      <c r="W522" t="s">
        <v>1558</v>
      </c>
    </row>
    <row r="523" spans="1:23" x14ac:dyDescent="0.35">
      <c r="A523">
        <v>6</v>
      </c>
      <c r="B523">
        <v>2034</v>
      </c>
      <c r="C523">
        <v>2034</v>
      </c>
      <c r="D523" t="s">
        <v>23</v>
      </c>
      <c r="E523" t="s">
        <v>161</v>
      </c>
      <c r="F523" t="s">
        <v>313</v>
      </c>
      <c r="G523" t="s">
        <v>409</v>
      </c>
      <c r="H523" t="s">
        <v>410</v>
      </c>
      <c r="I523" t="s">
        <v>23</v>
      </c>
      <c r="J523" t="s">
        <v>439</v>
      </c>
      <c r="K523" t="s">
        <v>487</v>
      </c>
      <c r="L523" t="s">
        <v>999</v>
      </c>
      <c r="M523">
        <v>2028</v>
      </c>
      <c r="N523" t="s">
        <v>1239</v>
      </c>
      <c r="O523" t="s">
        <v>1253</v>
      </c>
      <c r="P523" t="s">
        <v>21</v>
      </c>
      <c r="Q523" t="s">
        <v>21</v>
      </c>
      <c r="R523" t="s">
        <v>1309</v>
      </c>
      <c r="S523" t="s">
        <v>1309</v>
      </c>
      <c r="T523" t="s">
        <v>410</v>
      </c>
      <c r="U523" t="s">
        <v>1348</v>
      </c>
      <c r="V523" t="s">
        <v>1782</v>
      </c>
      <c r="W523" t="s">
        <v>1537</v>
      </c>
    </row>
    <row r="524" spans="1:23" x14ac:dyDescent="0.35">
      <c r="A524">
        <v>7</v>
      </c>
      <c r="B524">
        <v>2036</v>
      </c>
      <c r="C524">
        <v>2036</v>
      </c>
      <c r="D524" t="s">
        <v>23</v>
      </c>
      <c r="E524" t="s">
        <v>162</v>
      </c>
      <c r="F524" t="s">
        <v>314</v>
      </c>
      <c r="G524" t="s">
        <v>409</v>
      </c>
      <c r="H524" t="s">
        <v>410</v>
      </c>
      <c r="I524" t="s">
        <v>23</v>
      </c>
      <c r="J524" t="s">
        <v>439</v>
      </c>
      <c r="K524" t="s">
        <v>487</v>
      </c>
      <c r="L524" t="s">
        <v>1000</v>
      </c>
      <c r="M524">
        <v>2032</v>
      </c>
      <c r="N524" t="s">
        <v>1239</v>
      </c>
      <c r="O524" t="s">
        <v>1253</v>
      </c>
      <c r="P524" t="s">
        <v>21</v>
      </c>
      <c r="Q524" t="s">
        <v>21</v>
      </c>
      <c r="R524" t="s">
        <v>1309</v>
      </c>
      <c r="S524" t="s">
        <v>1309</v>
      </c>
      <c r="T524" t="s">
        <v>410</v>
      </c>
      <c r="U524" t="s">
        <v>1348</v>
      </c>
      <c r="V524" t="s">
        <v>1750</v>
      </c>
      <c r="W524" t="s">
        <v>1539</v>
      </c>
    </row>
    <row r="525" spans="1:23" x14ac:dyDescent="0.35">
      <c r="A525">
        <v>8</v>
      </c>
      <c r="B525">
        <v>2038</v>
      </c>
      <c r="C525">
        <v>2038</v>
      </c>
      <c r="D525" t="s">
        <v>23</v>
      </c>
      <c r="E525" t="s">
        <v>163</v>
      </c>
      <c r="F525" t="s">
        <v>315</v>
      </c>
      <c r="G525" t="s">
        <v>409</v>
      </c>
      <c r="H525" t="s">
        <v>410</v>
      </c>
      <c r="I525" t="s">
        <v>23</v>
      </c>
      <c r="J525" t="s">
        <v>439</v>
      </c>
      <c r="K525" t="s">
        <v>487</v>
      </c>
      <c r="L525" t="s">
        <v>1001</v>
      </c>
      <c r="M525">
        <v>2033</v>
      </c>
      <c r="N525" t="s">
        <v>1239</v>
      </c>
      <c r="O525" t="s">
        <v>1253</v>
      </c>
      <c r="P525" t="s">
        <v>21</v>
      </c>
      <c r="Q525" t="s">
        <v>21</v>
      </c>
      <c r="R525" t="s">
        <v>1302</v>
      </c>
      <c r="S525" t="s">
        <v>1302</v>
      </c>
      <c r="T525" t="s">
        <v>1337</v>
      </c>
      <c r="U525" t="s">
        <v>1348</v>
      </c>
      <c r="V525" t="s">
        <v>1783</v>
      </c>
      <c r="W525" t="s">
        <v>1543</v>
      </c>
    </row>
    <row r="526" spans="1:23" x14ac:dyDescent="0.35">
      <c r="A526">
        <v>9</v>
      </c>
      <c r="B526">
        <v>2038</v>
      </c>
      <c r="C526">
        <v>2038</v>
      </c>
      <c r="D526" t="s">
        <v>23</v>
      </c>
      <c r="E526" t="s">
        <v>163</v>
      </c>
      <c r="F526" t="s">
        <v>315</v>
      </c>
      <c r="G526" t="s">
        <v>409</v>
      </c>
      <c r="H526" t="s">
        <v>410</v>
      </c>
      <c r="I526" t="s">
        <v>23</v>
      </c>
      <c r="J526" t="s">
        <v>439</v>
      </c>
      <c r="K526" t="s">
        <v>487</v>
      </c>
      <c r="L526" t="s">
        <v>1002</v>
      </c>
      <c r="M526">
        <v>2033</v>
      </c>
      <c r="N526" t="s">
        <v>1239</v>
      </c>
      <c r="O526" t="s">
        <v>1253</v>
      </c>
      <c r="P526" t="s">
        <v>21</v>
      </c>
      <c r="Q526" t="s">
        <v>21</v>
      </c>
      <c r="R526" t="s">
        <v>1298</v>
      </c>
      <c r="S526" t="s">
        <v>1298</v>
      </c>
      <c r="T526" t="s">
        <v>410</v>
      </c>
      <c r="U526" t="s">
        <v>1348</v>
      </c>
      <c r="V526" t="s">
        <v>1784</v>
      </c>
      <c r="W526" t="s">
        <v>1539</v>
      </c>
    </row>
    <row r="527" spans="1:23" x14ac:dyDescent="0.35">
      <c r="A527">
        <v>10</v>
      </c>
      <c r="B527">
        <v>2049</v>
      </c>
      <c r="C527">
        <v>2049</v>
      </c>
      <c r="D527" t="s">
        <v>23</v>
      </c>
      <c r="E527" t="s">
        <v>164</v>
      </c>
      <c r="F527" t="s">
        <v>316</v>
      </c>
      <c r="G527" t="s">
        <v>409</v>
      </c>
      <c r="H527" t="s">
        <v>410</v>
      </c>
      <c r="I527" t="s">
        <v>23</v>
      </c>
      <c r="J527" t="s">
        <v>439</v>
      </c>
      <c r="K527" t="s">
        <v>487</v>
      </c>
      <c r="L527" t="s">
        <v>1003</v>
      </c>
      <c r="M527">
        <v>2039</v>
      </c>
      <c r="N527" t="s">
        <v>1239</v>
      </c>
      <c r="O527" t="s">
        <v>1253</v>
      </c>
      <c r="P527" t="s">
        <v>21</v>
      </c>
      <c r="Q527" t="s">
        <v>21</v>
      </c>
      <c r="R527" t="s">
        <v>1309</v>
      </c>
      <c r="S527" t="s">
        <v>1309</v>
      </c>
      <c r="T527" t="s">
        <v>410</v>
      </c>
      <c r="U527" t="s">
        <v>1348</v>
      </c>
      <c r="V527" t="s">
        <v>1785</v>
      </c>
      <c r="W527" t="s">
        <v>1549</v>
      </c>
    </row>
    <row r="528" spans="1:23" x14ac:dyDescent="0.35">
      <c r="A528">
        <v>11</v>
      </c>
      <c r="B528">
        <v>2049</v>
      </c>
      <c r="C528">
        <v>2049</v>
      </c>
      <c r="D528" t="s">
        <v>23</v>
      </c>
      <c r="E528" t="s">
        <v>164</v>
      </c>
      <c r="F528" t="s">
        <v>316</v>
      </c>
      <c r="G528" t="s">
        <v>409</v>
      </c>
      <c r="H528" t="s">
        <v>410</v>
      </c>
      <c r="I528" t="s">
        <v>23</v>
      </c>
      <c r="J528" t="s">
        <v>439</v>
      </c>
      <c r="K528" t="s">
        <v>487</v>
      </c>
      <c r="L528" t="s">
        <v>1004</v>
      </c>
      <c r="M528">
        <v>2039</v>
      </c>
      <c r="N528" t="s">
        <v>1239</v>
      </c>
      <c r="O528" t="s">
        <v>1253</v>
      </c>
      <c r="P528" t="s">
        <v>21</v>
      </c>
      <c r="Q528" t="s">
        <v>21</v>
      </c>
      <c r="R528" t="s">
        <v>1309</v>
      </c>
      <c r="S528" t="s">
        <v>1309</v>
      </c>
      <c r="T528" t="s">
        <v>410</v>
      </c>
      <c r="U528" t="s">
        <v>1348</v>
      </c>
      <c r="V528" t="s">
        <v>1785</v>
      </c>
      <c r="W528" t="s">
        <v>1549</v>
      </c>
    </row>
    <row r="529" spans="1:23" x14ac:dyDescent="0.35">
      <c r="A529">
        <v>12</v>
      </c>
      <c r="B529">
        <v>2049</v>
      </c>
      <c r="C529">
        <v>2049</v>
      </c>
      <c r="D529" t="s">
        <v>23</v>
      </c>
      <c r="E529" t="s">
        <v>164</v>
      </c>
      <c r="F529" t="s">
        <v>316</v>
      </c>
      <c r="G529" t="s">
        <v>409</v>
      </c>
      <c r="H529" t="s">
        <v>410</v>
      </c>
      <c r="I529" t="s">
        <v>23</v>
      </c>
      <c r="J529" t="s">
        <v>439</v>
      </c>
      <c r="K529" t="s">
        <v>487</v>
      </c>
      <c r="L529" t="s">
        <v>1005</v>
      </c>
      <c r="M529">
        <v>2039</v>
      </c>
      <c r="N529" t="s">
        <v>1239</v>
      </c>
      <c r="O529" t="s">
        <v>1253</v>
      </c>
      <c r="P529" t="s">
        <v>21</v>
      </c>
      <c r="Q529" t="s">
        <v>21</v>
      </c>
      <c r="R529" t="s">
        <v>1309</v>
      </c>
      <c r="S529" t="s">
        <v>1309</v>
      </c>
      <c r="T529" t="s">
        <v>410</v>
      </c>
      <c r="U529" t="s">
        <v>1348</v>
      </c>
      <c r="V529" t="s">
        <v>1785</v>
      </c>
      <c r="W529" t="s">
        <v>1549</v>
      </c>
    </row>
    <row r="530" spans="1:23" x14ac:dyDescent="0.35">
      <c r="A530">
        <v>13</v>
      </c>
      <c r="B530">
        <v>2049</v>
      </c>
      <c r="C530">
        <v>2049</v>
      </c>
      <c r="D530" t="s">
        <v>23</v>
      </c>
      <c r="E530" t="s">
        <v>164</v>
      </c>
      <c r="F530" t="s">
        <v>316</v>
      </c>
      <c r="G530" t="s">
        <v>409</v>
      </c>
      <c r="H530" t="s">
        <v>410</v>
      </c>
      <c r="I530" t="s">
        <v>23</v>
      </c>
      <c r="J530" t="s">
        <v>439</v>
      </c>
      <c r="K530" t="s">
        <v>487</v>
      </c>
      <c r="L530" t="s">
        <v>1006</v>
      </c>
      <c r="M530">
        <v>2039</v>
      </c>
      <c r="N530" t="s">
        <v>1239</v>
      </c>
      <c r="O530" t="s">
        <v>1253</v>
      </c>
      <c r="P530" t="s">
        <v>21</v>
      </c>
      <c r="Q530" t="s">
        <v>21</v>
      </c>
      <c r="R530" t="s">
        <v>1309</v>
      </c>
      <c r="S530" t="s">
        <v>1309</v>
      </c>
      <c r="T530" t="s">
        <v>410</v>
      </c>
      <c r="U530" t="s">
        <v>1348</v>
      </c>
      <c r="V530" t="s">
        <v>1785</v>
      </c>
      <c r="W530" t="s">
        <v>1549</v>
      </c>
    </row>
    <row r="531" spans="1:23" x14ac:dyDescent="0.35">
      <c r="A531">
        <v>14</v>
      </c>
      <c r="B531">
        <v>2051</v>
      </c>
      <c r="C531">
        <v>2051</v>
      </c>
      <c r="D531" t="s">
        <v>23</v>
      </c>
      <c r="E531" t="s">
        <v>165</v>
      </c>
      <c r="F531" t="s">
        <v>317</v>
      </c>
      <c r="G531" t="s">
        <v>409</v>
      </c>
      <c r="H531" t="s">
        <v>410</v>
      </c>
      <c r="I531" t="s">
        <v>23</v>
      </c>
      <c r="J531" t="s">
        <v>439</v>
      </c>
      <c r="K531" t="s">
        <v>487</v>
      </c>
      <c r="L531" t="s">
        <v>1007</v>
      </c>
      <c r="M531">
        <v>2045</v>
      </c>
      <c r="N531" t="s">
        <v>1239</v>
      </c>
      <c r="O531" t="s">
        <v>1253</v>
      </c>
      <c r="P531" t="s">
        <v>21</v>
      </c>
      <c r="Q531" t="s">
        <v>21</v>
      </c>
      <c r="R531" t="s">
        <v>1278</v>
      </c>
      <c r="S531" t="s">
        <v>1278</v>
      </c>
      <c r="T531" t="s">
        <v>1278</v>
      </c>
      <c r="U531" t="s">
        <v>1348</v>
      </c>
      <c r="V531" t="s">
        <v>1786</v>
      </c>
      <c r="W531" t="s">
        <v>1547</v>
      </c>
    </row>
    <row r="532" spans="1:23" x14ac:dyDescent="0.35">
      <c r="A532">
        <v>15</v>
      </c>
      <c r="B532">
        <v>2051</v>
      </c>
      <c r="C532">
        <v>2051</v>
      </c>
      <c r="D532" t="s">
        <v>23</v>
      </c>
      <c r="E532" t="s">
        <v>165</v>
      </c>
      <c r="F532" t="s">
        <v>317</v>
      </c>
      <c r="G532" t="s">
        <v>409</v>
      </c>
      <c r="H532" t="s">
        <v>410</v>
      </c>
      <c r="I532" t="s">
        <v>23</v>
      </c>
      <c r="J532" t="s">
        <v>439</v>
      </c>
      <c r="K532" t="s">
        <v>487</v>
      </c>
      <c r="L532" t="s">
        <v>1008</v>
      </c>
      <c r="M532">
        <v>2045</v>
      </c>
      <c r="N532" t="s">
        <v>1239</v>
      </c>
      <c r="O532" t="s">
        <v>1253</v>
      </c>
      <c r="P532" t="s">
        <v>21</v>
      </c>
      <c r="Q532" t="s">
        <v>21</v>
      </c>
      <c r="R532" t="s">
        <v>1308</v>
      </c>
      <c r="S532" t="s">
        <v>1308</v>
      </c>
      <c r="T532" t="s">
        <v>1346</v>
      </c>
      <c r="U532" t="s">
        <v>1348</v>
      </c>
      <c r="V532" t="s">
        <v>1787</v>
      </c>
      <c r="W532" t="s">
        <v>1521</v>
      </c>
    </row>
    <row r="533" spans="1:23" x14ac:dyDescent="0.35">
      <c r="A533">
        <v>16</v>
      </c>
      <c r="B533">
        <v>2112</v>
      </c>
      <c r="C533">
        <v>2112</v>
      </c>
      <c r="D533" t="s">
        <v>23</v>
      </c>
      <c r="E533" t="s">
        <v>67</v>
      </c>
      <c r="F533" t="s">
        <v>307</v>
      </c>
      <c r="G533" t="s">
        <v>409</v>
      </c>
      <c r="H533" t="s">
        <v>410</v>
      </c>
      <c r="I533" t="s">
        <v>23</v>
      </c>
      <c r="J533" t="s">
        <v>439</v>
      </c>
      <c r="K533" t="s">
        <v>487</v>
      </c>
      <c r="L533" t="s">
        <v>1009</v>
      </c>
      <c r="M533">
        <v>2108</v>
      </c>
      <c r="N533" t="s">
        <v>1239</v>
      </c>
      <c r="O533" t="s">
        <v>1253</v>
      </c>
      <c r="P533" t="s">
        <v>21</v>
      </c>
      <c r="Q533" t="s">
        <v>21</v>
      </c>
      <c r="R533" t="s">
        <v>1268</v>
      </c>
      <c r="S533" t="s">
        <v>1268</v>
      </c>
      <c r="T533" t="s">
        <v>1336</v>
      </c>
      <c r="U533" t="s">
        <v>1348</v>
      </c>
      <c r="V533" t="s">
        <v>1788</v>
      </c>
      <c r="W533" t="s">
        <v>1553</v>
      </c>
    </row>
    <row r="534" spans="1:23" x14ac:dyDescent="0.35">
      <c r="A534">
        <v>17</v>
      </c>
      <c r="B534">
        <v>2113</v>
      </c>
      <c r="C534">
        <v>2113</v>
      </c>
      <c r="D534" t="s">
        <v>23</v>
      </c>
      <c r="E534" t="s">
        <v>166</v>
      </c>
      <c r="F534" t="s">
        <v>318</v>
      </c>
      <c r="G534" t="s">
        <v>409</v>
      </c>
      <c r="H534" t="s">
        <v>410</v>
      </c>
      <c r="I534" t="s">
        <v>23</v>
      </c>
      <c r="J534" t="s">
        <v>439</v>
      </c>
      <c r="K534" t="s">
        <v>487</v>
      </c>
      <c r="L534" t="s">
        <v>1010</v>
      </c>
      <c r="M534">
        <v>2107</v>
      </c>
      <c r="N534" t="s">
        <v>1239</v>
      </c>
      <c r="O534" t="s">
        <v>1253</v>
      </c>
      <c r="P534" t="s">
        <v>21</v>
      </c>
      <c r="Q534" t="s">
        <v>21</v>
      </c>
      <c r="R534" t="s">
        <v>1306</v>
      </c>
      <c r="S534" t="s">
        <v>1306</v>
      </c>
      <c r="T534" t="s">
        <v>1346</v>
      </c>
      <c r="U534" t="s">
        <v>1348</v>
      </c>
      <c r="V534" t="s">
        <v>1789</v>
      </c>
      <c r="W534" t="s">
        <v>1552</v>
      </c>
    </row>
    <row r="535" spans="1:23" x14ac:dyDescent="0.35">
      <c r="A535">
        <v>18</v>
      </c>
      <c r="B535">
        <v>2121</v>
      </c>
      <c r="C535">
        <v>2121</v>
      </c>
      <c r="D535" t="s">
        <v>23</v>
      </c>
      <c r="E535" t="s">
        <v>82</v>
      </c>
      <c r="F535" t="s">
        <v>319</v>
      </c>
      <c r="G535" t="s">
        <v>409</v>
      </c>
      <c r="H535" t="s">
        <v>410</v>
      </c>
      <c r="I535" t="s">
        <v>23</v>
      </c>
      <c r="J535" t="s">
        <v>439</v>
      </c>
      <c r="K535" t="s">
        <v>487</v>
      </c>
      <c r="L535" t="s">
        <v>1011</v>
      </c>
      <c r="M535">
        <v>2115</v>
      </c>
      <c r="N535" t="s">
        <v>1239</v>
      </c>
      <c r="O535" t="s">
        <v>1253</v>
      </c>
      <c r="P535" t="s">
        <v>21</v>
      </c>
      <c r="Q535" t="s">
        <v>21</v>
      </c>
      <c r="R535" t="s">
        <v>1316</v>
      </c>
      <c r="S535" t="s">
        <v>1316</v>
      </c>
      <c r="T535" t="s">
        <v>410</v>
      </c>
      <c r="U535" t="s">
        <v>1348</v>
      </c>
      <c r="V535" t="s">
        <v>1790</v>
      </c>
      <c r="W535" t="s">
        <v>1479</v>
      </c>
    </row>
    <row r="536" spans="1:23" x14ac:dyDescent="0.35">
      <c r="A536">
        <v>1</v>
      </c>
      <c r="B536">
        <v>2031</v>
      </c>
      <c r="C536">
        <v>2031</v>
      </c>
      <c r="D536" t="s">
        <v>23</v>
      </c>
      <c r="E536" t="s">
        <v>139</v>
      </c>
      <c r="F536" t="s">
        <v>286</v>
      </c>
      <c r="G536" t="s">
        <v>409</v>
      </c>
      <c r="H536" t="s">
        <v>410</v>
      </c>
      <c r="I536" t="s">
        <v>23</v>
      </c>
      <c r="J536" t="s">
        <v>445</v>
      </c>
      <c r="K536" t="s">
        <v>488</v>
      </c>
      <c r="L536" t="s">
        <v>1012</v>
      </c>
      <c r="M536">
        <v>2024</v>
      </c>
      <c r="N536" t="s">
        <v>1240</v>
      </c>
      <c r="O536" t="s">
        <v>1253</v>
      </c>
      <c r="P536" t="s">
        <v>21</v>
      </c>
      <c r="Q536" t="s">
        <v>21</v>
      </c>
      <c r="R536" t="s">
        <v>1310</v>
      </c>
      <c r="S536" t="s">
        <v>1310</v>
      </c>
      <c r="T536" t="s">
        <v>1338</v>
      </c>
      <c r="U536" t="s">
        <v>1348</v>
      </c>
      <c r="V536" t="s">
        <v>1791</v>
      </c>
      <c r="W536" t="s">
        <v>1556</v>
      </c>
    </row>
    <row r="537" spans="1:23" x14ac:dyDescent="0.35">
      <c r="A537">
        <v>2</v>
      </c>
      <c r="B537">
        <v>2032</v>
      </c>
      <c r="C537">
        <v>2032</v>
      </c>
      <c r="D537" t="s">
        <v>23</v>
      </c>
      <c r="E537" t="s">
        <v>167</v>
      </c>
      <c r="F537" t="s">
        <v>320</v>
      </c>
      <c r="G537" t="s">
        <v>409</v>
      </c>
      <c r="H537" t="s">
        <v>410</v>
      </c>
      <c r="I537" t="s">
        <v>23</v>
      </c>
      <c r="J537" t="s">
        <v>446</v>
      </c>
      <c r="K537" t="s">
        <v>489</v>
      </c>
      <c r="L537" t="s">
        <v>1013</v>
      </c>
      <c r="M537">
        <v>2023</v>
      </c>
      <c r="N537" t="s">
        <v>1241</v>
      </c>
      <c r="O537">
        <v>0</v>
      </c>
      <c r="P537" t="s">
        <v>21</v>
      </c>
      <c r="Q537" t="s">
        <v>21</v>
      </c>
      <c r="R537" t="s">
        <v>1310</v>
      </c>
      <c r="S537" t="s">
        <v>1310</v>
      </c>
      <c r="T537" t="s">
        <v>1338</v>
      </c>
      <c r="U537" t="s">
        <v>1348</v>
      </c>
      <c r="V537" t="s">
        <v>1792</v>
      </c>
      <c r="W537" t="s">
        <v>1558</v>
      </c>
    </row>
    <row r="538" spans="1:23" x14ac:dyDescent="0.35">
      <c r="A538">
        <v>3</v>
      </c>
      <c r="B538">
        <v>2032</v>
      </c>
      <c r="C538">
        <v>2032</v>
      </c>
      <c r="D538" t="s">
        <v>23</v>
      </c>
      <c r="E538" t="s">
        <v>168</v>
      </c>
      <c r="F538" t="s">
        <v>321</v>
      </c>
      <c r="G538" t="s">
        <v>409</v>
      </c>
      <c r="H538" t="s">
        <v>410</v>
      </c>
      <c r="I538" t="s">
        <v>23</v>
      </c>
      <c r="J538" t="s">
        <v>446</v>
      </c>
      <c r="K538" t="s">
        <v>489</v>
      </c>
      <c r="L538" t="s">
        <v>1014</v>
      </c>
      <c r="M538">
        <v>2023</v>
      </c>
      <c r="N538" t="s">
        <v>1241</v>
      </c>
      <c r="O538">
        <v>0</v>
      </c>
      <c r="P538" t="s">
        <v>21</v>
      </c>
      <c r="Q538" t="s">
        <v>21</v>
      </c>
      <c r="R538" t="s">
        <v>1309</v>
      </c>
      <c r="S538" t="s">
        <v>1309</v>
      </c>
      <c r="T538" t="s">
        <v>410</v>
      </c>
      <c r="U538" t="s">
        <v>1348</v>
      </c>
      <c r="V538" t="s">
        <v>1793</v>
      </c>
      <c r="W538" t="s">
        <v>1537</v>
      </c>
    </row>
    <row r="539" spans="1:23" x14ac:dyDescent="0.35">
      <c r="A539">
        <v>4</v>
      </c>
      <c r="B539">
        <v>2032</v>
      </c>
      <c r="C539">
        <v>2032</v>
      </c>
      <c r="D539" t="s">
        <v>23</v>
      </c>
      <c r="E539" t="s">
        <v>140</v>
      </c>
      <c r="F539" t="s">
        <v>287</v>
      </c>
      <c r="G539" t="s">
        <v>409</v>
      </c>
      <c r="H539" t="s">
        <v>410</v>
      </c>
      <c r="I539" t="s">
        <v>23</v>
      </c>
      <c r="J539" t="s">
        <v>446</v>
      </c>
      <c r="K539" t="s">
        <v>489</v>
      </c>
      <c r="L539" t="s">
        <v>1015</v>
      </c>
      <c r="M539">
        <v>2023</v>
      </c>
      <c r="N539" t="s">
        <v>1241</v>
      </c>
      <c r="O539">
        <v>0</v>
      </c>
      <c r="P539" t="s">
        <v>21</v>
      </c>
      <c r="Q539" t="s">
        <v>21</v>
      </c>
      <c r="R539" t="s">
        <v>1310</v>
      </c>
      <c r="S539" t="s">
        <v>1310</v>
      </c>
      <c r="T539" t="s">
        <v>1338</v>
      </c>
      <c r="U539" t="s">
        <v>1348</v>
      </c>
      <c r="V539" t="s">
        <v>1792</v>
      </c>
      <c r="W539" t="s">
        <v>1558</v>
      </c>
    </row>
    <row r="540" spans="1:23" x14ac:dyDescent="0.35">
      <c r="A540">
        <v>6</v>
      </c>
      <c r="B540">
        <v>2033</v>
      </c>
      <c r="C540">
        <v>2033</v>
      </c>
      <c r="D540" t="s">
        <v>23</v>
      </c>
      <c r="E540" t="s">
        <v>143</v>
      </c>
      <c r="F540" t="s">
        <v>290</v>
      </c>
      <c r="G540" t="s">
        <v>409</v>
      </c>
      <c r="H540" t="s">
        <v>410</v>
      </c>
      <c r="I540" t="s">
        <v>23</v>
      </c>
      <c r="J540" t="s">
        <v>446</v>
      </c>
      <c r="K540" t="s">
        <v>489</v>
      </c>
      <c r="L540" t="s">
        <v>1016</v>
      </c>
      <c r="M540">
        <v>2028</v>
      </c>
      <c r="N540" t="s">
        <v>1241</v>
      </c>
      <c r="O540">
        <v>0</v>
      </c>
      <c r="P540" t="s">
        <v>21</v>
      </c>
      <c r="Q540" t="s">
        <v>21</v>
      </c>
      <c r="R540" t="s">
        <v>1309</v>
      </c>
      <c r="S540" t="s">
        <v>1309</v>
      </c>
      <c r="T540" t="s">
        <v>410</v>
      </c>
      <c r="U540" t="s">
        <v>1348</v>
      </c>
      <c r="V540" t="s">
        <v>1748</v>
      </c>
      <c r="W540" t="s">
        <v>1537</v>
      </c>
    </row>
    <row r="541" spans="1:23" x14ac:dyDescent="0.35">
      <c r="A541">
        <v>8</v>
      </c>
      <c r="B541">
        <v>2033</v>
      </c>
      <c r="C541">
        <v>2033</v>
      </c>
      <c r="D541" t="s">
        <v>23</v>
      </c>
      <c r="E541" t="s">
        <v>143</v>
      </c>
      <c r="F541" t="s">
        <v>290</v>
      </c>
      <c r="G541" t="s">
        <v>409</v>
      </c>
      <c r="H541" t="s">
        <v>410</v>
      </c>
      <c r="I541" t="s">
        <v>23</v>
      </c>
      <c r="J541" t="s">
        <v>446</v>
      </c>
      <c r="K541" t="s">
        <v>489</v>
      </c>
      <c r="L541" t="s">
        <v>1017</v>
      </c>
      <c r="M541">
        <v>2028</v>
      </c>
      <c r="N541" t="s">
        <v>1241</v>
      </c>
      <c r="O541">
        <v>0</v>
      </c>
      <c r="P541" t="s">
        <v>21</v>
      </c>
      <c r="Q541" t="s">
        <v>21</v>
      </c>
      <c r="R541" t="s">
        <v>1298</v>
      </c>
      <c r="S541" t="s">
        <v>1298</v>
      </c>
      <c r="T541" t="s">
        <v>410</v>
      </c>
      <c r="U541" t="s">
        <v>1348</v>
      </c>
      <c r="V541" t="s">
        <v>1748</v>
      </c>
      <c r="W541" t="s">
        <v>1537</v>
      </c>
    </row>
    <row r="542" spans="1:23" x14ac:dyDescent="0.35">
      <c r="A542">
        <v>9</v>
      </c>
      <c r="B542">
        <v>2033</v>
      </c>
      <c r="C542">
        <v>2033</v>
      </c>
      <c r="D542" t="s">
        <v>23</v>
      </c>
      <c r="E542" t="s">
        <v>169</v>
      </c>
      <c r="F542" t="s">
        <v>322</v>
      </c>
      <c r="G542" t="s">
        <v>409</v>
      </c>
      <c r="H542" t="s">
        <v>410</v>
      </c>
      <c r="I542" t="s">
        <v>23</v>
      </c>
      <c r="J542" t="s">
        <v>446</v>
      </c>
      <c r="K542" t="s">
        <v>489</v>
      </c>
      <c r="L542" t="s">
        <v>1018</v>
      </c>
      <c r="M542">
        <v>2029</v>
      </c>
      <c r="N542" t="s">
        <v>1241</v>
      </c>
      <c r="O542">
        <v>0</v>
      </c>
      <c r="P542" t="s">
        <v>21</v>
      </c>
      <c r="Q542" t="s">
        <v>21</v>
      </c>
      <c r="R542" t="s">
        <v>1317</v>
      </c>
      <c r="S542" t="s">
        <v>1295</v>
      </c>
      <c r="T542" t="s">
        <v>1346</v>
      </c>
      <c r="U542" t="s">
        <v>1348</v>
      </c>
      <c r="V542" t="s">
        <v>1794</v>
      </c>
      <c r="W542" t="s">
        <v>1538</v>
      </c>
    </row>
    <row r="543" spans="1:23" x14ac:dyDescent="0.35">
      <c r="A543">
        <v>10</v>
      </c>
      <c r="B543">
        <v>2034</v>
      </c>
      <c r="C543">
        <v>2034</v>
      </c>
      <c r="D543" t="s">
        <v>23</v>
      </c>
      <c r="E543" t="s">
        <v>170</v>
      </c>
      <c r="F543" t="s">
        <v>323</v>
      </c>
      <c r="G543" t="s">
        <v>409</v>
      </c>
      <c r="H543" t="s">
        <v>410</v>
      </c>
      <c r="I543" t="s">
        <v>23</v>
      </c>
      <c r="J543" t="s">
        <v>446</v>
      </c>
      <c r="K543" t="s">
        <v>489</v>
      </c>
      <c r="L543" t="s">
        <v>1019</v>
      </c>
      <c r="M543">
        <v>2030</v>
      </c>
      <c r="N543" t="s">
        <v>1241</v>
      </c>
      <c r="O543">
        <v>0</v>
      </c>
      <c r="P543" t="s">
        <v>21</v>
      </c>
      <c r="Q543" t="s">
        <v>21</v>
      </c>
      <c r="R543" t="s">
        <v>1309</v>
      </c>
      <c r="S543" t="s">
        <v>1309</v>
      </c>
      <c r="T543" t="s">
        <v>410</v>
      </c>
      <c r="U543" t="s">
        <v>1348</v>
      </c>
      <c r="V543" t="s">
        <v>1782</v>
      </c>
      <c r="W543" t="s">
        <v>1537</v>
      </c>
    </row>
    <row r="544" spans="1:23" x14ac:dyDescent="0.35">
      <c r="A544">
        <v>11</v>
      </c>
      <c r="B544">
        <v>2034</v>
      </c>
      <c r="C544">
        <v>2034</v>
      </c>
      <c r="D544" t="s">
        <v>23</v>
      </c>
      <c r="E544" t="s">
        <v>171</v>
      </c>
      <c r="F544" t="s">
        <v>324</v>
      </c>
      <c r="G544" t="s">
        <v>409</v>
      </c>
      <c r="H544" t="s">
        <v>410</v>
      </c>
      <c r="I544" t="s">
        <v>23</v>
      </c>
      <c r="J544" t="s">
        <v>446</v>
      </c>
      <c r="K544" t="s">
        <v>489</v>
      </c>
      <c r="L544" t="s">
        <v>1020</v>
      </c>
      <c r="M544">
        <v>2030</v>
      </c>
      <c r="N544" t="s">
        <v>1241</v>
      </c>
      <c r="O544">
        <v>0</v>
      </c>
      <c r="P544" t="s">
        <v>21</v>
      </c>
      <c r="Q544" t="s">
        <v>21</v>
      </c>
      <c r="R544" t="s">
        <v>1318</v>
      </c>
      <c r="S544" t="s">
        <v>1318</v>
      </c>
      <c r="T544" t="s">
        <v>1341</v>
      </c>
      <c r="U544" t="s">
        <v>1348</v>
      </c>
      <c r="V544" t="s">
        <v>1795</v>
      </c>
      <c r="W544" t="s">
        <v>1559</v>
      </c>
    </row>
    <row r="545" spans="1:23" x14ac:dyDescent="0.35">
      <c r="A545">
        <v>12</v>
      </c>
      <c r="B545">
        <v>2034</v>
      </c>
      <c r="C545">
        <v>2034</v>
      </c>
      <c r="D545" t="s">
        <v>23</v>
      </c>
      <c r="E545" t="s">
        <v>171</v>
      </c>
      <c r="F545" t="s">
        <v>324</v>
      </c>
      <c r="G545" t="s">
        <v>409</v>
      </c>
      <c r="H545" t="s">
        <v>410</v>
      </c>
      <c r="I545" t="s">
        <v>23</v>
      </c>
      <c r="J545" t="s">
        <v>446</v>
      </c>
      <c r="K545" t="s">
        <v>489</v>
      </c>
      <c r="L545" t="s">
        <v>1021</v>
      </c>
      <c r="M545">
        <v>2030</v>
      </c>
      <c r="N545" t="s">
        <v>1241</v>
      </c>
      <c r="O545">
        <v>0</v>
      </c>
      <c r="P545" t="s">
        <v>21</v>
      </c>
      <c r="Q545" t="s">
        <v>21</v>
      </c>
      <c r="R545" t="s">
        <v>1318</v>
      </c>
      <c r="S545" t="s">
        <v>1318</v>
      </c>
      <c r="T545" t="s">
        <v>1341</v>
      </c>
      <c r="U545" t="s">
        <v>1348</v>
      </c>
      <c r="V545" t="s">
        <v>1795</v>
      </c>
      <c r="W545" t="s">
        <v>1559</v>
      </c>
    </row>
    <row r="546" spans="1:23" x14ac:dyDescent="0.35">
      <c r="A546">
        <v>13</v>
      </c>
      <c r="B546">
        <v>2034</v>
      </c>
      <c r="C546">
        <v>2034</v>
      </c>
      <c r="D546" t="s">
        <v>23</v>
      </c>
      <c r="E546" t="s">
        <v>171</v>
      </c>
      <c r="F546" t="s">
        <v>324</v>
      </c>
      <c r="G546" t="s">
        <v>409</v>
      </c>
      <c r="H546" t="s">
        <v>410</v>
      </c>
      <c r="I546" t="s">
        <v>23</v>
      </c>
      <c r="J546" t="s">
        <v>446</v>
      </c>
      <c r="K546" t="s">
        <v>489</v>
      </c>
      <c r="L546" t="s">
        <v>1022</v>
      </c>
      <c r="M546">
        <v>2030</v>
      </c>
      <c r="N546" t="s">
        <v>1241</v>
      </c>
      <c r="O546">
        <v>0</v>
      </c>
      <c r="P546" t="s">
        <v>21</v>
      </c>
      <c r="Q546" t="s">
        <v>21</v>
      </c>
      <c r="R546" t="s">
        <v>1318</v>
      </c>
      <c r="S546" t="s">
        <v>1318</v>
      </c>
      <c r="T546" t="s">
        <v>1341</v>
      </c>
      <c r="U546" t="s">
        <v>1348</v>
      </c>
      <c r="V546" t="s">
        <v>1795</v>
      </c>
      <c r="W546" t="s">
        <v>1559</v>
      </c>
    </row>
    <row r="547" spans="1:23" x14ac:dyDescent="0.35">
      <c r="A547">
        <v>14</v>
      </c>
      <c r="B547">
        <v>2034</v>
      </c>
      <c r="C547">
        <v>2034</v>
      </c>
      <c r="D547" t="s">
        <v>23</v>
      </c>
      <c r="E547" t="s">
        <v>171</v>
      </c>
      <c r="F547" t="s">
        <v>324</v>
      </c>
      <c r="G547" t="s">
        <v>409</v>
      </c>
      <c r="H547" t="s">
        <v>410</v>
      </c>
      <c r="I547" t="s">
        <v>23</v>
      </c>
      <c r="J547" t="s">
        <v>446</v>
      </c>
      <c r="K547" t="s">
        <v>489</v>
      </c>
      <c r="L547" t="s">
        <v>1023</v>
      </c>
      <c r="M547">
        <v>2030</v>
      </c>
      <c r="N547" t="s">
        <v>1241</v>
      </c>
      <c r="O547">
        <v>0</v>
      </c>
      <c r="P547" t="s">
        <v>21</v>
      </c>
      <c r="Q547" t="s">
        <v>21</v>
      </c>
      <c r="R547" t="s">
        <v>1298</v>
      </c>
      <c r="S547" t="s">
        <v>1298</v>
      </c>
      <c r="T547" t="s">
        <v>410</v>
      </c>
      <c r="U547" t="s">
        <v>1348</v>
      </c>
      <c r="V547" t="s">
        <v>1782</v>
      </c>
      <c r="W547" t="s">
        <v>1537</v>
      </c>
    </row>
    <row r="548" spans="1:23" x14ac:dyDescent="0.35">
      <c r="A548">
        <v>15</v>
      </c>
      <c r="B548">
        <v>2034</v>
      </c>
      <c r="C548">
        <v>2034</v>
      </c>
      <c r="D548" t="s">
        <v>23</v>
      </c>
      <c r="E548" t="s">
        <v>172</v>
      </c>
      <c r="F548" t="s">
        <v>325</v>
      </c>
      <c r="G548" t="s">
        <v>409</v>
      </c>
      <c r="H548" t="s">
        <v>410</v>
      </c>
      <c r="I548" t="s">
        <v>23</v>
      </c>
      <c r="J548" t="s">
        <v>446</v>
      </c>
      <c r="K548" t="s">
        <v>489</v>
      </c>
      <c r="L548" t="s">
        <v>1024</v>
      </c>
      <c r="M548">
        <v>2030</v>
      </c>
      <c r="N548" t="s">
        <v>1241</v>
      </c>
      <c r="O548">
        <v>0</v>
      </c>
      <c r="P548" t="s">
        <v>21</v>
      </c>
      <c r="Q548" t="s">
        <v>21</v>
      </c>
      <c r="R548" t="s">
        <v>1309</v>
      </c>
      <c r="S548" t="s">
        <v>1309</v>
      </c>
      <c r="T548" t="s">
        <v>410</v>
      </c>
      <c r="U548" t="s">
        <v>1348</v>
      </c>
      <c r="V548" t="s">
        <v>1782</v>
      </c>
      <c r="W548" t="s">
        <v>1537</v>
      </c>
    </row>
    <row r="549" spans="1:23" x14ac:dyDescent="0.35">
      <c r="A549">
        <v>16</v>
      </c>
      <c r="B549">
        <v>2035</v>
      </c>
      <c r="C549">
        <v>2035</v>
      </c>
      <c r="D549" t="s">
        <v>23</v>
      </c>
      <c r="E549" t="s">
        <v>173</v>
      </c>
      <c r="F549" t="s">
        <v>326</v>
      </c>
      <c r="G549" t="s">
        <v>409</v>
      </c>
      <c r="H549" t="s">
        <v>410</v>
      </c>
      <c r="I549" t="s">
        <v>23</v>
      </c>
      <c r="J549" t="s">
        <v>446</v>
      </c>
      <c r="K549" t="s">
        <v>489</v>
      </c>
      <c r="L549" t="s">
        <v>1025</v>
      </c>
      <c r="M549">
        <v>2030</v>
      </c>
      <c r="N549" t="s">
        <v>1241</v>
      </c>
      <c r="O549">
        <v>0</v>
      </c>
      <c r="P549" t="s">
        <v>21</v>
      </c>
      <c r="Q549" t="s">
        <v>21</v>
      </c>
      <c r="R549" t="s">
        <v>1309</v>
      </c>
      <c r="S549" t="s">
        <v>1309</v>
      </c>
      <c r="T549" t="s">
        <v>410</v>
      </c>
      <c r="U549" t="s">
        <v>1348</v>
      </c>
      <c r="V549" t="s">
        <v>1796</v>
      </c>
      <c r="W549" t="s">
        <v>1537</v>
      </c>
    </row>
    <row r="550" spans="1:23" x14ac:dyDescent="0.35">
      <c r="A550">
        <v>17</v>
      </c>
      <c r="B550">
        <v>2037</v>
      </c>
      <c r="C550">
        <v>2037</v>
      </c>
      <c r="D550" t="s">
        <v>23</v>
      </c>
      <c r="E550" t="s">
        <v>174</v>
      </c>
      <c r="F550" t="s">
        <v>327</v>
      </c>
      <c r="G550" t="s">
        <v>409</v>
      </c>
      <c r="H550" t="s">
        <v>410</v>
      </c>
      <c r="I550" t="s">
        <v>23</v>
      </c>
      <c r="J550" t="s">
        <v>446</v>
      </c>
      <c r="K550" t="s">
        <v>489</v>
      </c>
      <c r="L550" t="s">
        <v>1026</v>
      </c>
      <c r="M550">
        <v>2032</v>
      </c>
      <c r="N550" t="s">
        <v>1241</v>
      </c>
      <c r="O550">
        <v>0</v>
      </c>
      <c r="P550" t="s">
        <v>21</v>
      </c>
      <c r="Q550" t="s">
        <v>21</v>
      </c>
      <c r="R550" t="s">
        <v>1302</v>
      </c>
      <c r="S550" t="s">
        <v>1302</v>
      </c>
      <c r="T550" t="s">
        <v>1337</v>
      </c>
      <c r="U550" t="s">
        <v>1348</v>
      </c>
      <c r="V550" t="s">
        <v>1797</v>
      </c>
      <c r="W550" t="s">
        <v>1543</v>
      </c>
    </row>
    <row r="551" spans="1:23" x14ac:dyDescent="0.35">
      <c r="A551">
        <v>18</v>
      </c>
      <c r="B551">
        <v>2042</v>
      </c>
      <c r="C551">
        <v>2042</v>
      </c>
      <c r="D551" t="s">
        <v>23</v>
      </c>
      <c r="E551" t="s">
        <v>175</v>
      </c>
      <c r="F551" t="s">
        <v>328</v>
      </c>
      <c r="G551" t="s">
        <v>409</v>
      </c>
      <c r="H551" t="s">
        <v>410</v>
      </c>
      <c r="I551" t="s">
        <v>23</v>
      </c>
      <c r="J551" t="s">
        <v>446</v>
      </c>
      <c r="K551" t="s">
        <v>489</v>
      </c>
      <c r="L551" t="s">
        <v>1027</v>
      </c>
      <c r="M551">
        <v>2038</v>
      </c>
      <c r="N551" t="s">
        <v>1241</v>
      </c>
      <c r="O551">
        <v>0</v>
      </c>
      <c r="P551" t="s">
        <v>21</v>
      </c>
      <c r="Q551" t="s">
        <v>21</v>
      </c>
      <c r="R551" t="s">
        <v>1309</v>
      </c>
      <c r="S551" t="s">
        <v>1309</v>
      </c>
      <c r="T551" t="s">
        <v>410</v>
      </c>
      <c r="U551" t="s">
        <v>1348</v>
      </c>
      <c r="V551" t="s">
        <v>1798</v>
      </c>
      <c r="W551" t="s">
        <v>1545</v>
      </c>
    </row>
    <row r="552" spans="1:23" x14ac:dyDescent="0.35">
      <c r="A552">
        <v>19</v>
      </c>
      <c r="B552">
        <v>2043</v>
      </c>
      <c r="C552">
        <v>2043</v>
      </c>
      <c r="D552" t="s">
        <v>23</v>
      </c>
      <c r="E552" t="s">
        <v>150</v>
      </c>
      <c r="F552" t="s">
        <v>297</v>
      </c>
      <c r="G552" t="s">
        <v>409</v>
      </c>
      <c r="H552" t="s">
        <v>410</v>
      </c>
      <c r="I552" t="s">
        <v>23</v>
      </c>
      <c r="J552" t="s">
        <v>446</v>
      </c>
      <c r="K552" t="s">
        <v>489</v>
      </c>
      <c r="L552" t="s">
        <v>1028</v>
      </c>
      <c r="M552">
        <v>2040</v>
      </c>
      <c r="N552" t="s">
        <v>1241</v>
      </c>
      <c r="O552">
        <v>0</v>
      </c>
      <c r="P552" t="s">
        <v>21</v>
      </c>
      <c r="Q552" t="s">
        <v>21</v>
      </c>
      <c r="R552" t="s">
        <v>1268</v>
      </c>
      <c r="S552" t="s">
        <v>1268</v>
      </c>
      <c r="T552" t="s">
        <v>1336</v>
      </c>
      <c r="U552" t="s">
        <v>1348</v>
      </c>
      <c r="V552" t="s">
        <v>1799</v>
      </c>
      <c r="W552" t="s">
        <v>1560</v>
      </c>
    </row>
    <row r="553" spans="1:23" x14ac:dyDescent="0.35">
      <c r="A553">
        <v>20</v>
      </c>
      <c r="B553">
        <v>2102</v>
      </c>
      <c r="C553">
        <v>2102</v>
      </c>
      <c r="D553" t="s">
        <v>23</v>
      </c>
      <c r="E553" t="s">
        <v>37</v>
      </c>
      <c r="F553" t="s">
        <v>263</v>
      </c>
      <c r="G553" t="s">
        <v>409</v>
      </c>
      <c r="H553" t="s">
        <v>410</v>
      </c>
      <c r="I553" t="s">
        <v>23</v>
      </c>
      <c r="J553" t="s">
        <v>446</v>
      </c>
      <c r="K553" t="s">
        <v>489</v>
      </c>
      <c r="L553" t="s">
        <v>1029</v>
      </c>
      <c r="M553">
        <v>2043</v>
      </c>
      <c r="N553" t="s">
        <v>1241</v>
      </c>
      <c r="O553">
        <v>0</v>
      </c>
      <c r="P553" t="s">
        <v>21</v>
      </c>
      <c r="Q553" t="s">
        <v>21</v>
      </c>
      <c r="R553" t="s">
        <v>1318</v>
      </c>
      <c r="S553" t="s">
        <v>1318</v>
      </c>
      <c r="T553" t="s">
        <v>1341</v>
      </c>
      <c r="U553" t="s">
        <v>1348</v>
      </c>
      <c r="V553" t="s">
        <v>1800</v>
      </c>
      <c r="W553" t="s">
        <v>1456</v>
      </c>
    </row>
    <row r="554" spans="1:23" x14ac:dyDescent="0.35">
      <c r="A554">
        <v>21</v>
      </c>
      <c r="B554">
        <v>2102</v>
      </c>
      <c r="C554">
        <v>2102</v>
      </c>
      <c r="D554" t="s">
        <v>23</v>
      </c>
      <c r="E554" t="s">
        <v>37</v>
      </c>
      <c r="F554" t="s">
        <v>263</v>
      </c>
      <c r="G554" t="s">
        <v>409</v>
      </c>
      <c r="H554" t="s">
        <v>410</v>
      </c>
      <c r="I554" t="s">
        <v>23</v>
      </c>
      <c r="J554" t="s">
        <v>446</v>
      </c>
      <c r="K554" t="s">
        <v>489</v>
      </c>
      <c r="L554" t="s">
        <v>1030</v>
      </c>
      <c r="M554">
        <v>2049</v>
      </c>
      <c r="N554" t="s">
        <v>1241</v>
      </c>
      <c r="O554">
        <v>0</v>
      </c>
      <c r="P554" t="s">
        <v>21</v>
      </c>
      <c r="Q554" t="s">
        <v>21</v>
      </c>
      <c r="R554" t="s">
        <v>1268</v>
      </c>
      <c r="S554" t="s">
        <v>1268</v>
      </c>
      <c r="T554" t="s">
        <v>1336</v>
      </c>
      <c r="U554" t="s">
        <v>1348</v>
      </c>
      <c r="V554" t="s">
        <v>1618</v>
      </c>
      <c r="W554" t="s">
        <v>1454</v>
      </c>
    </row>
    <row r="555" spans="1:23" x14ac:dyDescent="0.35">
      <c r="A555">
        <v>22</v>
      </c>
      <c r="B555">
        <v>2102</v>
      </c>
      <c r="C555">
        <v>2102</v>
      </c>
      <c r="D555" t="s">
        <v>23</v>
      </c>
      <c r="E555" t="s">
        <v>37</v>
      </c>
      <c r="F555" t="s">
        <v>263</v>
      </c>
      <c r="G555" t="s">
        <v>409</v>
      </c>
      <c r="H555" t="s">
        <v>410</v>
      </c>
      <c r="I555" t="s">
        <v>23</v>
      </c>
      <c r="J555" t="s">
        <v>446</v>
      </c>
      <c r="K555" t="s">
        <v>489</v>
      </c>
      <c r="L555" t="s">
        <v>1031</v>
      </c>
      <c r="M555">
        <v>2050</v>
      </c>
      <c r="N555" t="s">
        <v>1241</v>
      </c>
      <c r="O555">
        <v>0</v>
      </c>
      <c r="P555" t="s">
        <v>21</v>
      </c>
      <c r="Q555" t="s">
        <v>21</v>
      </c>
      <c r="R555" t="s">
        <v>1309</v>
      </c>
      <c r="S555" t="s">
        <v>1309</v>
      </c>
      <c r="T555" t="s">
        <v>410</v>
      </c>
      <c r="U555" t="s">
        <v>1348</v>
      </c>
      <c r="V555" t="s">
        <v>1613</v>
      </c>
      <c r="W555" t="s">
        <v>1447</v>
      </c>
    </row>
    <row r="556" spans="1:23" x14ac:dyDescent="0.35">
      <c r="A556">
        <v>23</v>
      </c>
      <c r="B556">
        <v>2108</v>
      </c>
      <c r="C556">
        <v>2108</v>
      </c>
      <c r="D556" t="s">
        <v>23</v>
      </c>
      <c r="E556" t="s">
        <v>176</v>
      </c>
      <c r="F556" t="s">
        <v>329</v>
      </c>
      <c r="G556" t="s">
        <v>409</v>
      </c>
      <c r="H556" t="s">
        <v>410</v>
      </c>
      <c r="I556" t="s">
        <v>23</v>
      </c>
      <c r="J556" t="s">
        <v>446</v>
      </c>
      <c r="K556" t="s">
        <v>489</v>
      </c>
      <c r="L556" t="s">
        <v>1032</v>
      </c>
      <c r="M556">
        <v>2103</v>
      </c>
      <c r="N556" t="s">
        <v>1241</v>
      </c>
      <c r="O556">
        <v>0</v>
      </c>
      <c r="P556" t="s">
        <v>21</v>
      </c>
      <c r="Q556" t="s">
        <v>21</v>
      </c>
      <c r="R556" t="s">
        <v>1309</v>
      </c>
      <c r="S556" t="s">
        <v>1309</v>
      </c>
      <c r="T556" t="s">
        <v>410</v>
      </c>
      <c r="U556" t="s">
        <v>1348</v>
      </c>
      <c r="V556" t="s">
        <v>1801</v>
      </c>
      <c r="W556" t="s">
        <v>1463</v>
      </c>
    </row>
    <row r="557" spans="1:23" x14ac:dyDescent="0.35">
      <c r="A557">
        <v>24</v>
      </c>
      <c r="B557">
        <v>2108</v>
      </c>
      <c r="C557">
        <v>2108</v>
      </c>
      <c r="D557" t="s">
        <v>23</v>
      </c>
      <c r="E557" t="s">
        <v>154</v>
      </c>
      <c r="F557" t="s">
        <v>304</v>
      </c>
      <c r="G557" t="s">
        <v>409</v>
      </c>
      <c r="H557" t="s">
        <v>410</v>
      </c>
      <c r="I557" t="s">
        <v>23</v>
      </c>
      <c r="J557" t="s">
        <v>446</v>
      </c>
      <c r="K557" t="s">
        <v>489</v>
      </c>
      <c r="L557" t="s">
        <v>1033</v>
      </c>
      <c r="M557">
        <v>2103</v>
      </c>
      <c r="N557" t="s">
        <v>1241</v>
      </c>
      <c r="O557">
        <v>0</v>
      </c>
      <c r="P557" t="s">
        <v>21</v>
      </c>
      <c r="Q557" t="s">
        <v>21</v>
      </c>
      <c r="R557" t="s">
        <v>1268</v>
      </c>
      <c r="S557" t="s">
        <v>1268</v>
      </c>
      <c r="T557" t="s">
        <v>1336</v>
      </c>
      <c r="U557" t="s">
        <v>1348</v>
      </c>
      <c r="V557" t="s">
        <v>1802</v>
      </c>
      <c r="W557" t="s">
        <v>1464</v>
      </c>
    </row>
    <row r="558" spans="1:23" x14ac:dyDescent="0.35">
      <c r="A558">
        <v>25</v>
      </c>
      <c r="B558">
        <v>2108</v>
      </c>
      <c r="C558">
        <v>2108</v>
      </c>
      <c r="D558" t="s">
        <v>23</v>
      </c>
      <c r="E558" t="s">
        <v>154</v>
      </c>
      <c r="F558" t="s">
        <v>304</v>
      </c>
      <c r="G558" t="s">
        <v>409</v>
      </c>
      <c r="H558" t="s">
        <v>410</v>
      </c>
      <c r="I558" t="s">
        <v>23</v>
      </c>
      <c r="J558" t="s">
        <v>446</v>
      </c>
      <c r="K558" t="s">
        <v>489</v>
      </c>
      <c r="L558" t="s">
        <v>1034</v>
      </c>
      <c r="M558">
        <v>2051</v>
      </c>
      <c r="N558" t="s">
        <v>1241</v>
      </c>
      <c r="O558">
        <v>0</v>
      </c>
      <c r="P558" t="s">
        <v>21</v>
      </c>
      <c r="Q558" t="s">
        <v>21</v>
      </c>
      <c r="R558" t="s">
        <v>1270</v>
      </c>
      <c r="S558" t="s">
        <v>1270</v>
      </c>
      <c r="T558" t="s">
        <v>1346</v>
      </c>
      <c r="U558" t="s">
        <v>1348</v>
      </c>
      <c r="V558" t="s">
        <v>1768</v>
      </c>
      <c r="W558" t="s">
        <v>1522</v>
      </c>
    </row>
    <row r="559" spans="1:23" x14ac:dyDescent="0.35">
      <c r="A559">
        <v>26</v>
      </c>
      <c r="B559">
        <v>2111</v>
      </c>
      <c r="C559">
        <v>2111</v>
      </c>
      <c r="D559" t="s">
        <v>23</v>
      </c>
      <c r="E559" t="s">
        <v>177</v>
      </c>
      <c r="F559" t="s">
        <v>330</v>
      </c>
      <c r="G559" t="s">
        <v>409</v>
      </c>
      <c r="H559" t="s">
        <v>410</v>
      </c>
      <c r="I559" t="s">
        <v>23</v>
      </c>
      <c r="J559" t="s">
        <v>446</v>
      </c>
      <c r="K559" t="s">
        <v>489</v>
      </c>
      <c r="L559" t="s">
        <v>1035</v>
      </c>
      <c r="M559">
        <v>2108</v>
      </c>
      <c r="N559" t="s">
        <v>1241</v>
      </c>
      <c r="O559">
        <v>0</v>
      </c>
      <c r="P559" t="s">
        <v>21</v>
      </c>
      <c r="Q559" t="s">
        <v>21</v>
      </c>
      <c r="R559" t="s">
        <v>1270</v>
      </c>
      <c r="S559" t="s">
        <v>1270</v>
      </c>
      <c r="T559" t="s">
        <v>1346</v>
      </c>
      <c r="U559" t="s">
        <v>1348</v>
      </c>
      <c r="V559" t="s">
        <v>1803</v>
      </c>
      <c r="W559" t="s">
        <v>1552</v>
      </c>
    </row>
    <row r="560" spans="1:23" x14ac:dyDescent="0.35">
      <c r="A560">
        <v>27</v>
      </c>
      <c r="B560">
        <v>2113</v>
      </c>
      <c r="C560">
        <v>2113</v>
      </c>
      <c r="D560" t="s">
        <v>23</v>
      </c>
      <c r="E560" t="s">
        <v>178</v>
      </c>
      <c r="F560" t="s">
        <v>331</v>
      </c>
      <c r="G560" t="s">
        <v>409</v>
      </c>
      <c r="H560" t="s">
        <v>410</v>
      </c>
      <c r="I560" t="s">
        <v>23</v>
      </c>
      <c r="J560" t="s">
        <v>446</v>
      </c>
      <c r="K560" t="s">
        <v>489</v>
      </c>
      <c r="L560" t="s">
        <v>1036</v>
      </c>
      <c r="M560">
        <v>2105</v>
      </c>
      <c r="N560" t="s">
        <v>1241</v>
      </c>
      <c r="O560">
        <v>0</v>
      </c>
      <c r="P560" t="s">
        <v>21</v>
      </c>
      <c r="Q560" t="s">
        <v>21</v>
      </c>
      <c r="R560" t="s">
        <v>1319</v>
      </c>
      <c r="S560" t="s">
        <v>1319</v>
      </c>
      <c r="T560" t="s">
        <v>1342</v>
      </c>
      <c r="U560" t="s">
        <v>1348</v>
      </c>
      <c r="V560" t="s">
        <v>1804</v>
      </c>
      <c r="W560" t="s">
        <v>1561</v>
      </c>
    </row>
    <row r="561" spans="1:23" x14ac:dyDescent="0.35">
      <c r="A561">
        <v>28</v>
      </c>
      <c r="B561">
        <v>2118</v>
      </c>
      <c r="C561">
        <v>2118</v>
      </c>
      <c r="D561" t="s">
        <v>23</v>
      </c>
      <c r="E561" t="s">
        <v>74</v>
      </c>
      <c r="F561" t="s">
        <v>332</v>
      </c>
      <c r="G561" t="s">
        <v>409</v>
      </c>
      <c r="H561" t="s">
        <v>410</v>
      </c>
      <c r="I561" t="s">
        <v>23</v>
      </c>
      <c r="J561" t="s">
        <v>446</v>
      </c>
      <c r="K561" t="s">
        <v>489</v>
      </c>
      <c r="L561" t="s">
        <v>1037</v>
      </c>
      <c r="M561">
        <v>2111</v>
      </c>
      <c r="N561" t="s">
        <v>1241</v>
      </c>
      <c r="O561">
        <v>0</v>
      </c>
      <c r="P561" t="s">
        <v>21</v>
      </c>
      <c r="Q561" t="s">
        <v>21</v>
      </c>
      <c r="R561" t="s">
        <v>1310</v>
      </c>
      <c r="S561" t="s">
        <v>1318</v>
      </c>
      <c r="T561" t="s">
        <v>1341</v>
      </c>
      <c r="U561" t="s">
        <v>1348</v>
      </c>
      <c r="V561" t="s">
        <v>1660</v>
      </c>
      <c r="W561" t="s">
        <v>1477</v>
      </c>
    </row>
    <row r="562" spans="1:23" x14ac:dyDescent="0.35">
      <c r="A562">
        <v>29</v>
      </c>
      <c r="B562">
        <v>2122</v>
      </c>
      <c r="C562">
        <v>2122</v>
      </c>
      <c r="D562" t="s">
        <v>23</v>
      </c>
      <c r="E562" t="s">
        <v>84</v>
      </c>
      <c r="F562" t="s">
        <v>333</v>
      </c>
      <c r="G562" t="s">
        <v>409</v>
      </c>
      <c r="H562" t="s">
        <v>410</v>
      </c>
      <c r="I562" t="s">
        <v>23</v>
      </c>
      <c r="J562" t="s">
        <v>446</v>
      </c>
      <c r="K562" t="s">
        <v>489</v>
      </c>
      <c r="L562" t="s">
        <v>1038</v>
      </c>
      <c r="M562">
        <v>2115</v>
      </c>
      <c r="N562" t="s">
        <v>1241</v>
      </c>
      <c r="O562">
        <v>0</v>
      </c>
      <c r="P562" t="s">
        <v>21</v>
      </c>
      <c r="Q562" t="s">
        <v>21</v>
      </c>
      <c r="R562" t="s">
        <v>1320</v>
      </c>
      <c r="S562" t="s">
        <v>1320</v>
      </c>
      <c r="T562" t="s">
        <v>1342</v>
      </c>
      <c r="U562" t="s">
        <v>1348</v>
      </c>
      <c r="V562" t="s">
        <v>1672</v>
      </c>
      <c r="W562" t="s">
        <v>1487</v>
      </c>
    </row>
    <row r="563" spans="1:23" x14ac:dyDescent="0.35">
      <c r="A563">
        <v>30</v>
      </c>
      <c r="B563">
        <v>2122</v>
      </c>
      <c r="C563">
        <v>2122</v>
      </c>
      <c r="D563" t="s">
        <v>23</v>
      </c>
      <c r="E563" t="s">
        <v>84</v>
      </c>
      <c r="F563" t="s">
        <v>333</v>
      </c>
      <c r="G563" t="s">
        <v>409</v>
      </c>
      <c r="H563" t="s">
        <v>410</v>
      </c>
      <c r="I563" t="s">
        <v>23</v>
      </c>
      <c r="J563" t="s">
        <v>445</v>
      </c>
      <c r="K563" t="s">
        <v>488</v>
      </c>
      <c r="L563" t="s">
        <v>1039</v>
      </c>
      <c r="M563">
        <v>2051</v>
      </c>
      <c r="N563" t="s">
        <v>1240</v>
      </c>
      <c r="O563" t="s">
        <v>1253</v>
      </c>
      <c r="P563" t="s">
        <v>21</v>
      </c>
      <c r="Q563" t="s">
        <v>21</v>
      </c>
      <c r="R563" t="s">
        <v>1320</v>
      </c>
      <c r="S563" t="s">
        <v>1320</v>
      </c>
      <c r="T563" t="s">
        <v>1342</v>
      </c>
      <c r="U563" t="s">
        <v>1348</v>
      </c>
      <c r="V563" t="s">
        <v>1672</v>
      </c>
      <c r="W563" t="s">
        <v>1487</v>
      </c>
    </row>
    <row r="564" spans="1:23" x14ac:dyDescent="0.35">
      <c r="A564">
        <v>31</v>
      </c>
      <c r="B564">
        <v>2130</v>
      </c>
      <c r="C564">
        <v>2130</v>
      </c>
      <c r="D564" t="s">
        <v>23</v>
      </c>
      <c r="E564" t="s">
        <v>179</v>
      </c>
      <c r="F564" t="s">
        <v>334</v>
      </c>
      <c r="G564" t="s">
        <v>409</v>
      </c>
      <c r="H564" t="s">
        <v>410</v>
      </c>
      <c r="I564" t="s">
        <v>23</v>
      </c>
      <c r="J564" t="s">
        <v>446</v>
      </c>
      <c r="K564" t="s">
        <v>489</v>
      </c>
      <c r="L564" t="s">
        <v>1040</v>
      </c>
      <c r="M564">
        <v>2122</v>
      </c>
      <c r="N564" t="s">
        <v>1241</v>
      </c>
      <c r="O564">
        <v>0</v>
      </c>
      <c r="P564" t="s">
        <v>21</v>
      </c>
      <c r="Q564" t="s">
        <v>21</v>
      </c>
      <c r="R564" t="s">
        <v>1309</v>
      </c>
      <c r="S564" t="s">
        <v>1309</v>
      </c>
      <c r="T564" t="s">
        <v>410</v>
      </c>
      <c r="U564" t="s">
        <v>1348</v>
      </c>
      <c r="V564" t="s">
        <v>1805</v>
      </c>
      <c r="W564" t="s">
        <v>1562</v>
      </c>
    </row>
    <row r="565" spans="1:23" x14ac:dyDescent="0.35">
      <c r="A565">
        <v>1</v>
      </c>
      <c r="B565">
        <v>2129</v>
      </c>
      <c r="C565">
        <v>2129</v>
      </c>
      <c r="D565" t="s">
        <v>23</v>
      </c>
      <c r="E565" t="s">
        <v>103</v>
      </c>
      <c r="F565" t="s">
        <v>249</v>
      </c>
      <c r="G565" t="s">
        <v>409</v>
      </c>
      <c r="H565" t="s">
        <v>410</v>
      </c>
      <c r="I565" t="s">
        <v>23</v>
      </c>
      <c r="J565" t="s">
        <v>451</v>
      </c>
      <c r="K565" t="s">
        <v>457</v>
      </c>
      <c r="L565" t="s">
        <v>1041</v>
      </c>
      <c r="M565">
        <v>2120</v>
      </c>
      <c r="N565" t="s">
        <v>1242</v>
      </c>
      <c r="O565" t="s">
        <v>1253</v>
      </c>
      <c r="P565" t="s">
        <v>21</v>
      </c>
      <c r="Q565" t="s">
        <v>21</v>
      </c>
      <c r="R565" t="s">
        <v>1302</v>
      </c>
      <c r="S565" t="s">
        <v>1302</v>
      </c>
      <c r="T565" t="s">
        <v>1337</v>
      </c>
      <c r="U565" t="s">
        <v>1347</v>
      </c>
      <c r="V565" t="s">
        <v>1698</v>
      </c>
      <c r="W565" t="s">
        <v>1499</v>
      </c>
    </row>
    <row r="566" spans="1:23" x14ac:dyDescent="0.35">
      <c r="A566">
        <v>1</v>
      </c>
      <c r="B566">
        <v>2121</v>
      </c>
      <c r="C566">
        <v>2121</v>
      </c>
      <c r="D566" t="s">
        <v>23</v>
      </c>
      <c r="E566" t="s">
        <v>81</v>
      </c>
      <c r="F566" t="s">
        <v>335</v>
      </c>
      <c r="G566" t="s">
        <v>409</v>
      </c>
      <c r="H566" t="s">
        <v>410</v>
      </c>
      <c r="I566" t="s">
        <v>23</v>
      </c>
      <c r="J566" t="s">
        <v>449</v>
      </c>
      <c r="K566" t="s">
        <v>486</v>
      </c>
      <c r="L566" t="s">
        <v>1042</v>
      </c>
      <c r="M566">
        <v>2117</v>
      </c>
      <c r="N566" t="s">
        <v>1243</v>
      </c>
      <c r="O566" t="s">
        <v>1253</v>
      </c>
      <c r="P566" t="s">
        <v>21</v>
      </c>
      <c r="Q566" t="s">
        <v>21</v>
      </c>
      <c r="R566" t="s">
        <v>1321</v>
      </c>
      <c r="S566" t="s">
        <v>1321</v>
      </c>
      <c r="T566" t="s">
        <v>1342</v>
      </c>
      <c r="U566" t="s">
        <v>1347</v>
      </c>
      <c r="V566" t="s">
        <v>1806</v>
      </c>
      <c r="W566" t="s">
        <v>1563</v>
      </c>
    </row>
    <row r="567" spans="1:23" x14ac:dyDescent="0.35">
      <c r="A567">
        <v>2</v>
      </c>
      <c r="B567">
        <v>2125</v>
      </c>
      <c r="C567">
        <v>2125</v>
      </c>
      <c r="D567" t="s">
        <v>23</v>
      </c>
      <c r="E567" t="s">
        <v>121</v>
      </c>
      <c r="F567" t="s">
        <v>267</v>
      </c>
      <c r="G567" t="s">
        <v>409</v>
      </c>
      <c r="H567" t="s">
        <v>410</v>
      </c>
      <c r="I567" t="s">
        <v>23</v>
      </c>
      <c r="J567" t="s">
        <v>449</v>
      </c>
      <c r="K567" t="s">
        <v>486</v>
      </c>
      <c r="L567" t="s">
        <v>1043</v>
      </c>
      <c r="M567">
        <v>2120</v>
      </c>
      <c r="N567" t="s">
        <v>1244</v>
      </c>
      <c r="O567" t="s">
        <v>1253</v>
      </c>
      <c r="P567" t="s">
        <v>21</v>
      </c>
      <c r="Q567" t="s">
        <v>21</v>
      </c>
      <c r="R567" t="s">
        <v>1305</v>
      </c>
      <c r="S567" t="s">
        <v>1305</v>
      </c>
      <c r="T567" t="s">
        <v>410</v>
      </c>
      <c r="U567" t="s">
        <v>1347</v>
      </c>
      <c r="V567" t="s">
        <v>1807</v>
      </c>
      <c r="W567" t="s">
        <v>1438</v>
      </c>
    </row>
    <row r="568" spans="1:23" x14ac:dyDescent="0.35">
      <c r="A568">
        <v>3</v>
      </c>
      <c r="B568">
        <v>2130</v>
      </c>
      <c r="C568">
        <v>2130</v>
      </c>
      <c r="D568" t="s">
        <v>23</v>
      </c>
      <c r="E568" t="s">
        <v>180</v>
      </c>
      <c r="F568" t="s">
        <v>336</v>
      </c>
      <c r="G568" t="s">
        <v>409</v>
      </c>
      <c r="H568" t="s">
        <v>410</v>
      </c>
      <c r="I568" t="s">
        <v>23</v>
      </c>
      <c r="J568" t="s">
        <v>449</v>
      </c>
      <c r="K568" t="s">
        <v>486</v>
      </c>
      <c r="L568" t="s">
        <v>1044</v>
      </c>
      <c r="M568">
        <v>2121</v>
      </c>
      <c r="N568" t="s">
        <v>1244</v>
      </c>
      <c r="O568" t="s">
        <v>1253</v>
      </c>
      <c r="P568" t="s">
        <v>21</v>
      </c>
      <c r="Q568" t="s">
        <v>21</v>
      </c>
      <c r="R568" t="s">
        <v>1302</v>
      </c>
      <c r="S568" t="s">
        <v>1302</v>
      </c>
      <c r="T568" t="s">
        <v>1337</v>
      </c>
      <c r="U568" t="s">
        <v>1347</v>
      </c>
      <c r="V568" t="s">
        <v>1808</v>
      </c>
      <c r="W568" t="s">
        <v>1499</v>
      </c>
    </row>
    <row r="569" spans="1:23" x14ac:dyDescent="0.35">
      <c r="A569">
        <v>4</v>
      </c>
      <c r="B569">
        <v>2130</v>
      </c>
      <c r="C569">
        <v>2130</v>
      </c>
      <c r="D569" t="s">
        <v>23</v>
      </c>
      <c r="E569" t="s">
        <v>180</v>
      </c>
      <c r="F569" t="s">
        <v>336</v>
      </c>
      <c r="G569" t="s">
        <v>409</v>
      </c>
      <c r="H569" t="s">
        <v>410</v>
      </c>
      <c r="I569" t="s">
        <v>23</v>
      </c>
      <c r="J569" t="s">
        <v>449</v>
      </c>
      <c r="K569" t="s">
        <v>486</v>
      </c>
      <c r="L569" t="s">
        <v>1045</v>
      </c>
      <c r="M569">
        <v>2121</v>
      </c>
      <c r="N569" t="s">
        <v>1244</v>
      </c>
      <c r="O569" t="s">
        <v>1253</v>
      </c>
      <c r="P569" t="s">
        <v>21</v>
      </c>
      <c r="Q569" t="s">
        <v>21</v>
      </c>
      <c r="R569" t="s">
        <v>1302</v>
      </c>
      <c r="S569" t="s">
        <v>1302</v>
      </c>
      <c r="T569" t="s">
        <v>1337</v>
      </c>
      <c r="U569" t="s">
        <v>1347</v>
      </c>
      <c r="V569" t="s">
        <v>1808</v>
      </c>
      <c r="W569" t="s">
        <v>1499</v>
      </c>
    </row>
    <row r="570" spans="1:23" x14ac:dyDescent="0.35">
      <c r="A570">
        <v>5</v>
      </c>
      <c r="B570">
        <v>2130</v>
      </c>
      <c r="C570">
        <v>2130</v>
      </c>
      <c r="D570" t="s">
        <v>23</v>
      </c>
      <c r="E570" t="s">
        <v>180</v>
      </c>
      <c r="F570" t="s">
        <v>336</v>
      </c>
      <c r="G570" t="s">
        <v>409</v>
      </c>
      <c r="H570" t="s">
        <v>410</v>
      </c>
      <c r="I570" t="s">
        <v>23</v>
      </c>
      <c r="J570" t="s">
        <v>449</v>
      </c>
      <c r="K570" t="s">
        <v>486</v>
      </c>
      <c r="L570" t="s">
        <v>1046</v>
      </c>
      <c r="M570">
        <v>2121</v>
      </c>
      <c r="N570" t="s">
        <v>1244</v>
      </c>
      <c r="O570" t="s">
        <v>1253</v>
      </c>
      <c r="P570" t="s">
        <v>21</v>
      </c>
      <c r="Q570" t="s">
        <v>21</v>
      </c>
      <c r="R570" t="s">
        <v>1302</v>
      </c>
      <c r="S570" t="s">
        <v>1302</v>
      </c>
      <c r="T570" t="s">
        <v>1337</v>
      </c>
      <c r="U570" t="s">
        <v>1347</v>
      </c>
      <c r="V570" t="s">
        <v>1808</v>
      </c>
      <c r="W570" t="s">
        <v>1499</v>
      </c>
    </row>
    <row r="571" spans="1:23" x14ac:dyDescent="0.35">
      <c r="A571">
        <v>6</v>
      </c>
      <c r="B571">
        <v>2130</v>
      </c>
      <c r="C571">
        <v>2130</v>
      </c>
      <c r="D571" t="s">
        <v>23</v>
      </c>
      <c r="E571" t="s">
        <v>180</v>
      </c>
      <c r="F571" t="s">
        <v>336</v>
      </c>
      <c r="G571" t="s">
        <v>409</v>
      </c>
      <c r="H571" t="s">
        <v>410</v>
      </c>
      <c r="I571" t="s">
        <v>23</v>
      </c>
      <c r="J571" t="s">
        <v>449</v>
      </c>
      <c r="K571" t="s">
        <v>486</v>
      </c>
      <c r="L571" t="s">
        <v>1047</v>
      </c>
      <c r="M571">
        <v>2121</v>
      </c>
      <c r="N571" t="s">
        <v>1244</v>
      </c>
      <c r="O571" t="s">
        <v>1253</v>
      </c>
      <c r="P571" t="s">
        <v>21</v>
      </c>
      <c r="Q571" t="s">
        <v>21</v>
      </c>
      <c r="R571" t="s">
        <v>1306</v>
      </c>
      <c r="S571" t="s">
        <v>1306</v>
      </c>
      <c r="T571" t="s">
        <v>1346</v>
      </c>
      <c r="U571" t="s">
        <v>1347</v>
      </c>
      <c r="V571" t="s">
        <v>1729</v>
      </c>
      <c r="W571" t="s">
        <v>1526</v>
      </c>
    </row>
    <row r="572" spans="1:23" x14ac:dyDescent="0.35">
      <c r="A572">
        <v>7</v>
      </c>
      <c r="B572">
        <v>2130</v>
      </c>
      <c r="C572">
        <v>2130</v>
      </c>
      <c r="D572" t="s">
        <v>23</v>
      </c>
      <c r="E572" t="s">
        <v>180</v>
      </c>
      <c r="F572" t="s">
        <v>336</v>
      </c>
      <c r="G572" t="s">
        <v>409</v>
      </c>
      <c r="H572" t="s">
        <v>410</v>
      </c>
      <c r="I572" t="s">
        <v>23</v>
      </c>
      <c r="J572" t="s">
        <v>449</v>
      </c>
      <c r="K572" t="s">
        <v>486</v>
      </c>
      <c r="L572" t="s">
        <v>1048</v>
      </c>
      <c r="M572">
        <v>2121</v>
      </c>
      <c r="N572" t="s">
        <v>1244</v>
      </c>
      <c r="O572" t="s">
        <v>1253</v>
      </c>
      <c r="P572" t="s">
        <v>21</v>
      </c>
      <c r="Q572" t="s">
        <v>21</v>
      </c>
      <c r="R572" t="s">
        <v>1283</v>
      </c>
      <c r="S572" t="s">
        <v>1283</v>
      </c>
      <c r="T572" t="s">
        <v>1346</v>
      </c>
      <c r="U572" t="s">
        <v>1347</v>
      </c>
      <c r="V572" t="s">
        <v>1729</v>
      </c>
      <c r="W572" t="s">
        <v>1526</v>
      </c>
    </row>
    <row r="573" spans="1:23" x14ac:dyDescent="0.35">
      <c r="A573">
        <v>8</v>
      </c>
      <c r="B573">
        <v>2131</v>
      </c>
      <c r="C573">
        <v>2131</v>
      </c>
      <c r="D573" t="s">
        <v>23</v>
      </c>
      <c r="E573" t="s">
        <v>181</v>
      </c>
      <c r="F573" t="s">
        <v>337</v>
      </c>
      <c r="G573" t="s">
        <v>409</v>
      </c>
      <c r="H573" t="s">
        <v>410</v>
      </c>
      <c r="I573" t="s">
        <v>23</v>
      </c>
      <c r="J573" t="s">
        <v>449</v>
      </c>
      <c r="K573" t="s">
        <v>486</v>
      </c>
      <c r="L573" t="s">
        <v>1049</v>
      </c>
      <c r="M573">
        <v>2124</v>
      </c>
      <c r="N573" t="s">
        <v>1244</v>
      </c>
      <c r="O573" t="s">
        <v>1253</v>
      </c>
      <c r="P573" t="s">
        <v>21</v>
      </c>
      <c r="Q573" t="s">
        <v>21</v>
      </c>
      <c r="R573" t="s">
        <v>1312</v>
      </c>
      <c r="S573" t="s">
        <v>1312</v>
      </c>
      <c r="T573" t="s">
        <v>410</v>
      </c>
      <c r="U573" t="s">
        <v>1347</v>
      </c>
      <c r="V573" t="s">
        <v>1809</v>
      </c>
      <c r="W573" t="s">
        <v>1498</v>
      </c>
    </row>
    <row r="574" spans="1:23" x14ac:dyDescent="0.35">
      <c r="A574">
        <v>9</v>
      </c>
      <c r="B574">
        <v>2131</v>
      </c>
      <c r="C574">
        <v>2131</v>
      </c>
      <c r="D574" t="s">
        <v>23</v>
      </c>
      <c r="E574" t="s">
        <v>181</v>
      </c>
      <c r="F574" t="s">
        <v>337</v>
      </c>
      <c r="G574" t="s">
        <v>409</v>
      </c>
      <c r="H574" t="s">
        <v>410</v>
      </c>
      <c r="I574" t="s">
        <v>23</v>
      </c>
      <c r="J574" t="s">
        <v>449</v>
      </c>
      <c r="K574" t="s">
        <v>486</v>
      </c>
      <c r="L574" t="s">
        <v>1050</v>
      </c>
      <c r="M574">
        <v>2124</v>
      </c>
      <c r="N574" t="s">
        <v>1244</v>
      </c>
      <c r="O574" t="s">
        <v>1253</v>
      </c>
      <c r="P574" t="s">
        <v>21</v>
      </c>
      <c r="Q574" t="s">
        <v>21</v>
      </c>
      <c r="R574" t="s">
        <v>1322</v>
      </c>
      <c r="S574" t="s">
        <v>1322</v>
      </c>
      <c r="T574" t="s">
        <v>1342</v>
      </c>
      <c r="U574" t="s">
        <v>1347</v>
      </c>
      <c r="V574" t="s">
        <v>1810</v>
      </c>
      <c r="W574" t="s">
        <v>1502</v>
      </c>
    </row>
    <row r="575" spans="1:23" x14ac:dyDescent="0.35">
      <c r="A575">
        <v>1</v>
      </c>
      <c r="B575">
        <v>2115</v>
      </c>
      <c r="C575">
        <v>2115</v>
      </c>
      <c r="D575" t="s">
        <v>23</v>
      </c>
      <c r="E575" t="s">
        <v>182</v>
      </c>
      <c r="F575" t="s">
        <v>338</v>
      </c>
      <c r="G575" t="s">
        <v>409</v>
      </c>
      <c r="H575" t="s">
        <v>410</v>
      </c>
      <c r="I575" t="s">
        <v>23</v>
      </c>
      <c r="J575" t="s">
        <v>450</v>
      </c>
      <c r="K575" t="s">
        <v>490</v>
      </c>
      <c r="L575" t="s">
        <v>1051</v>
      </c>
      <c r="M575">
        <v>2110</v>
      </c>
      <c r="N575" t="s">
        <v>1245</v>
      </c>
      <c r="O575" t="s">
        <v>1253</v>
      </c>
      <c r="P575" t="s">
        <v>21</v>
      </c>
      <c r="Q575" t="s">
        <v>21</v>
      </c>
      <c r="R575" t="s">
        <v>1281</v>
      </c>
      <c r="S575" t="s">
        <v>1281</v>
      </c>
      <c r="T575" t="s">
        <v>1340</v>
      </c>
      <c r="U575" t="s">
        <v>1347</v>
      </c>
      <c r="V575" t="s">
        <v>1811</v>
      </c>
      <c r="W575" t="s">
        <v>1564</v>
      </c>
    </row>
    <row r="576" spans="1:23" x14ac:dyDescent="0.35">
      <c r="A576">
        <v>2</v>
      </c>
      <c r="B576">
        <v>2115</v>
      </c>
      <c r="C576">
        <v>2115</v>
      </c>
      <c r="D576" t="s">
        <v>23</v>
      </c>
      <c r="E576" t="s">
        <v>182</v>
      </c>
      <c r="F576" t="s">
        <v>338</v>
      </c>
      <c r="G576" t="s">
        <v>409</v>
      </c>
      <c r="H576" t="s">
        <v>410</v>
      </c>
      <c r="I576" t="s">
        <v>23</v>
      </c>
      <c r="J576" t="s">
        <v>450</v>
      </c>
      <c r="K576" t="s">
        <v>490</v>
      </c>
      <c r="L576" t="s">
        <v>1052</v>
      </c>
      <c r="M576">
        <v>2110</v>
      </c>
      <c r="N576" t="s">
        <v>1245</v>
      </c>
      <c r="O576" t="s">
        <v>1253</v>
      </c>
      <c r="P576" t="s">
        <v>21</v>
      </c>
      <c r="Q576" t="s">
        <v>21</v>
      </c>
      <c r="R576" t="s">
        <v>1320</v>
      </c>
      <c r="S576" t="s">
        <v>1320</v>
      </c>
      <c r="T576" t="s">
        <v>1342</v>
      </c>
      <c r="U576" t="s">
        <v>1347</v>
      </c>
      <c r="V576" t="s">
        <v>1812</v>
      </c>
      <c r="W576" t="s">
        <v>1565</v>
      </c>
    </row>
    <row r="577" spans="1:23" x14ac:dyDescent="0.35">
      <c r="A577">
        <v>3</v>
      </c>
      <c r="B577">
        <v>2118</v>
      </c>
      <c r="C577">
        <v>2118</v>
      </c>
      <c r="D577" t="s">
        <v>23</v>
      </c>
      <c r="E577" t="s">
        <v>183</v>
      </c>
      <c r="F577" t="s">
        <v>339</v>
      </c>
      <c r="G577" t="s">
        <v>409</v>
      </c>
      <c r="H577" t="s">
        <v>410</v>
      </c>
      <c r="I577" t="s">
        <v>23</v>
      </c>
      <c r="J577" t="s">
        <v>450</v>
      </c>
      <c r="K577" t="s">
        <v>490</v>
      </c>
      <c r="L577" t="s">
        <v>1053</v>
      </c>
      <c r="M577">
        <v>2114</v>
      </c>
      <c r="N577" t="s">
        <v>1245</v>
      </c>
      <c r="O577" t="s">
        <v>1253</v>
      </c>
      <c r="P577" t="s">
        <v>21</v>
      </c>
      <c r="Q577" t="s">
        <v>21</v>
      </c>
      <c r="R577" t="s">
        <v>1310</v>
      </c>
      <c r="S577" t="s">
        <v>1310</v>
      </c>
      <c r="T577" t="s">
        <v>1338</v>
      </c>
      <c r="U577" t="s">
        <v>1347</v>
      </c>
      <c r="V577" t="s">
        <v>1813</v>
      </c>
      <c r="W577" t="s">
        <v>1566</v>
      </c>
    </row>
    <row r="578" spans="1:23" x14ac:dyDescent="0.35">
      <c r="A578">
        <v>4</v>
      </c>
      <c r="B578">
        <v>2122</v>
      </c>
      <c r="C578">
        <v>2122</v>
      </c>
      <c r="D578" t="s">
        <v>23</v>
      </c>
      <c r="E578" t="s">
        <v>85</v>
      </c>
      <c r="F578" t="s">
        <v>340</v>
      </c>
      <c r="G578" t="s">
        <v>409</v>
      </c>
      <c r="H578" t="s">
        <v>410</v>
      </c>
      <c r="I578" t="s">
        <v>23</v>
      </c>
      <c r="J578" t="s">
        <v>450</v>
      </c>
      <c r="K578" t="s">
        <v>490</v>
      </c>
      <c r="L578" t="s">
        <v>1054</v>
      </c>
      <c r="M578">
        <v>2116</v>
      </c>
      <c r="N578" t="s">
        <v>1245</v>
      </c>
      <c r="O578" t="s">
        <v>1253</v>
      </c>
      <c r="P578" t="s">
        <v>21</v>
      </c>
      <c r="Q578" t="s">
        <v>21</v>
      </c>
      <c r="R578" t="s">
        <v>1302</v>
      </c>
      <c r="S578" t="s">
        <v>1302</v>
      </c>
      <c r="T578" t="s">
        <v>1337</v>
      </c>
      <c r="U578" t="s">
        <v>1347</v>
      </c>
      <c r="V578" t="s">
        <v>1670</v>
      </c>
      <c r="W578" t="s">
        <v>1480</v>
      </c>
    </row>
    <row r="579" spans="1:23" x14ac:dyDescent="0.35">
      <c r="A579">
        <v>5</v>
      </c>
      <c r="B579">
        <v>2122</v>
      </c>
      <c r="C579">
        <v>2122</v>
      </c>
      <c r="D579" t="s">
        <v>23</v>
      </c>
      <c r="E579" t="s">
        <v>184</v>
      </c>
      <c r="F579" t="s">
        <v>341</v>
      </c>
      <c r="G579" t="s">
        <v>409</v>
      </c>
      <c r="H579" t="s">
        <v>410</v>
      </c>
      <c r="I579" t="s">
        <v>23</v>
      </c>
      <c r="J579" t="s">
        <v>450</v>
      </c>
      <c r="K579" t="s">
        <v>490</v>
      </c>
      <c r="L579" t="s">
        <v>1055</v>
      </c>
      <c r="M579">
        <v>2117</v>
      </c>
      <c r="N579" t="s">
        <v>1245</v>
      </c>
      <c r="O579" t="s">
        <v>1253</v>
      </c>
      <c r="P579" t="s">
        <v>21</v>
      </c>
      <c r="Q579" t="s">
        <v>21</v>
      </c>
      <c r="R579" t="s">
        <v>1310</v>
      </c>
      <c r="S579" t="s">
        <v>1310</v>
      </c>
      <c r="T579" t="s">
        <v>1338</v>
      </c>
      <c r="U579" t="s">
        <v>1347</v>
      </c>
      <c r="V579" t="s">
        <v>1814</v>
      </c>
      <c r="W579" t="s">
        <v>1567</v>
      </c>
    </row>
    <row r="580" spans="1:23" x14ac:dyDescent="0.35">
      <c r="A580">
        <v>6</v>
      </c>
      <c r="B580">
        <v>2122</v>
      </c>
      <c r="C580">
        <v>2122</v>
      </c>
      <c r="D580" t="s">
        <v>23</v>
      </c>
      <c r="E580" t="s">
        <v>185</v>
      </c>
      <c r="F580" t="s">
        <v>342</v>
      </c>
      <c r="G580" t="s">
        <v>409</v>
      </c>
      <c r="H580" t="s">
        <v>410</v>
      </c>
      <c r="I580" t="s">
        <v>23</v>
      </c>
      <c r="J580" t="s">
        <v>450</v>
      </c>
      <c r="K580" t="s">
        <v>490</v>
      </c>
      <c r="L580" t="s">
        <v>1056</v>
      </c>
      <c r="M580">
        <v>2117</v>
      </c>
      <c r="N580" t="s">
        <v>1245</v>
      </c>
      <c r="O580" t="s">
        <v>1253</v>
      </c>
      <c r="P580" t="s">
        <v>21</v>
      </c>
      <c r="Q580" t="s">
        <v>21</v>
      </c>
      <c r="R580" t="s">
        <v>1323</v>
      </c>
      <c r="S580" t="s">
        <v>1323</v>
      </c>
      <c r="T580" t="s">
        <v>1335</v>
      </c>
      <c r="U580" t="s">
        <v>1347</v>
      </c>
      <c r="V580" t="s">
        <v>1815</v>
      </c>
      <c r="W580" t="s">
        <v>1568</v>
      </c>
    </row>
    <row r="581" spans="1:23" x14ac:dyDescent="0.35">
      <c r="A581">
        <v>7</v>
      </c>
      <c r="B581">
        <v>2122</v>
      </c>
      <c r="C581">
        <v>2122</v>
      </c>
      <c r="D581" t="s">
        <v>23</v>
      </c>
      <c r="E581" t="s">
        <v>185</v>
      </c>
      <c r="F581" t="s">
        <v>342</v>
      </c>
      <c r="G581" t="s">
        <v>409</v>
      </c>
      <c r="H581" t="s">
        <v>410</v>
      </c>
      <c r="I581" t="s">
        <v>23</v>
      </c>
      <c r="J581" t="s">
        <v>450</v>
      </c>
      <c r="K581" t="s">
        <v>490</v>
      </c>
      <c r="L581" t="s">
        <v>1057</v>
      </c>
      <c r="M581">
        <v>2115</v>
      </c>
      <c r="N581" t="s">
        <v>1245</v>
      </c>
      <c r="O581" t="s">
        <v>1253</v>
      </c>
      <c r="P581" t="s">
        <v>21</v>
      </c>
      <c r="Q581" t="s">
        <v>21</v>
      </c>
      <c r="R581" t="s">
        <v>1309</v>
      </c>
      <c r="S581" t="s">
        <v>1309</v>
      </c>
      <c r="T581" t="s">
        <v>410</v>
      </c>
      <c r="U581" t="s">
        <v>1347</v>
      </c>
      <c r="V581" t="s">
        <v>1816</v>
      </c>
      <c r="W581" t="s">
        <v>1569</v>
      </c>
    </row>
    <row r="582" spans="1:23" x14ac:dyDescent="0.35">
      <c r="A582">
        <v>8</v>
      </c>
      <c r="B582">
        <v>2122</v>
      </c>
      <c r="C582">
        <v>2122</v>
      </c>
      <c r="D582" t="s">
        <v>23</v>
      </c>
      <c r="E582" t="s">
        <v>186</v>
      </c>
      <c r="F582" t="s">
        <v>343</v>
      </c>
      <c r="G582" t="s">
        <v>409</v>
      </c>
      <c r="H582" t="s">
        <v>410</v>
      </c>
      <c r="I582" t="s">
        <v>23</v>
      </c>
      <c r="J582" t="s">
        <v>450</v>
      </c>
      <c r="K582" t="s">
        <v>490</v>
      </c>
      <c r="L582" t="s">
        <v>1058</v>
      </c>
      <c r="M582">
        <v>2117</v>
      </c>
      <c r="N582" t="s">
        <v>1245</v>
      </c>
      <c r="O582" t="s">
        <v>1253</v>
      </c>
      <c r="P582" t="s">
        <v>21</v>
      </c>
      <c r="Q582" t="s">
        <v>21</v>
      </c>
      <c r="R582" t="s">
        <v>1302</v>
      </c>
      <c r="S582" t="s">
        <v>1302</v>
      </c>
      <c r="T582" t="s">
        <v>1337</v>
      </c>
      <c r="U582" t="s">
        <v>1347</v>
      </c>
      <c r="V582" t="s">
        <v>1670</v>
      </c>
      <c r="W582" t="s">
        <v>1480</v>
      </c>
    </row>
    <row r="583" spans="1:23" x14ac:dyDescent="0.35">
      <c r="A583">
        <v>9</v>
      </c>
      <c r="B583">
        <v>2126</v>
      </c>
      <c r="C583">
        <v>2126</v>
      </c>
      <c r="D583" t="s">
        <v>23</v>
      </c>
      <c r="E583" t="s">
        <v>90</v>
      </c>
      <c r="F583" t="s">
        <v>266</v>
      </c>
      <c r="G583" t="s">
        <v>409</v>
      </c>
      <c r="H583" t="s">
        <v>410</v>
      </c>
      <c r="I583" t="s">
        <v>23</v>
      </c>
      <c r="J583" t="s">
        <v>450</v>
      </c>
      <c r="K583" t="s">
        <v>490</v>
      </c>
      <c r="L583" t="s">
        <v>1059</v>
      </c>
      <c r="M583">
        <v>2119</v>
      </c>
      <c r="N583" t="s">
        <v>1245</v>
      </c>
      <c r="O583" t="s">
        <v>1253</v>
      </c>
      <c r="P583" t="s">
        <v>21</v>
      </c>
      <c r="Q583" t="s">
        <v>21</v>
      </c>
      <c r="R583" t="s">
        <v>1268</v>
      </c>
      <c r="S583" t="s">
        <v>1268</v>
      </c>
      <c r="T583" t="s">
        <v>1336</v>
      </c>
      <c r="U583" t="s">
        <v>1347</v>
      </c>
      <c r="V583" t="s">
        <v>1683</v>
      </c>
      <c r="W583" t="s">
        <v>1491</v>
      </c>
    </row>
    <row r="584" spans="1:23" x14ac:dyDescent="0.35">
      <c r="A584">
        <v>10</v>
      </c>
      <c r="B584">
        <v>2126</v>
      </c>
      <c r="C584">
        <v>2126</v>
      </c>
      <c r="D584" t="s">
        <v>23</v>
      </c>
      <c r="E584" t="s">
        <v>90</v>
      </c>
      <c r="F584" t="s">
        <v>266</v>
      </c>
      <c r="G584" t="s">
        <v>409</v>
      </c>
      <c r="H584" t="s">
        <v>410</v>
      </c>
      <c r="I584" t="s">
        <v>23</v>
      </c>
      <c r="J584" t="s">
        <v>450</v>
      </c>
      <c r="K584" t="s">
        <v>490</v>
      </c>
      <c r="L584" t="s">
        <v>1060</v>
      </c>
      <c r="M584">
        <v>2020</v>
      </c>
      <c r="N584" t="s">
        <v>1245</v>
      </c>
      <c r="O584" t="s">
        <v>1253</v>
      </c>
      <c r="P584" t="s">
        <v>21</v>
      </c>
      <c r="Q584" t="s">
        <v>21</v>
      </c>
      <c r="R584" t="s">
        <v>1311</v>
      </c>
      <c r="S584" t="s">
        <v>1318</v>
      </c>
      <c r="T584" t="s">
        <v>1341</v>
      </c>
      <c r="U584" t="s">
        <v>1347</v>
      </c>
      <c r="V584" t="s">
        <v>1817</v>
      </c>
      <c r="W584" t="s">
        <v>1570</v>
      </c>
    </row>
    <row r="585" spans="1:23" x14ac:dyDescent="0.35">
      <c r="A585">
        <v>11</v>
      </c>
      <c r="B585">
        <v>2133</v>
      </c>
      <c r="C585">
        <v>2133</v>
      </c>
      <c r="D585" t="s">
        <v>23</v>
      </c>
      <c r="E585" t="s">
        <v>107</v>
      </c>
      <c r="F585" t="s">
        <v>344</v>
      </c>
      <c r="G585" t="s">
        <v>409</v>
      </c>
      <c r="H585" t="s">
        <v>410</v>
      </c>
      <c r="I585" t="s">
        <v>23</v>
      </c>
      <c r="J585" t="s">
        <v>450</v>
      </c>
      <c r="K585" t="s">
        <v>490</v>
      </c>
      <c r="L585" t="s">
        <v>1061</v>
      </c>
      <c r="M585">
        <v>2124</v>
      </c>
      <c r="N585" t="s">
        <v>1245</v>
      </c>
      <c r="O585" t="s">
        <v>1253</v>
      </c>
      <c r="P585" t="s">
        <v>21</v>
      </c>
      <c r="Q585" t="s">
        <v>21</v>
      </c>
      <c r="R585" t="s">
        <v>1311</v>
      </c>
      <c r="S585" t="s">
        <v>1257</v>
      </c>
      <c r="T585" t="s">
        <v>1336</v>
      </c>
      <c r="U585" t="s">
        <v>1347</v>
      </c>
      <c r="V585" t="s">
        <v>1818</v>
      </c>
      <c r="W585" t="s">
        <v>1506</v>
      </c>
    </row>
    <row r="586" spans="1:23" x14ac:dyDescent="0.35">
      <c r="A586">
        <v>1</v>
      </c>
      <c r="B586">
        <v>2037</v>
      </c>
      <c r="C586">
        <v>2037</v>
      </c>
      <c r="D586" t="s">
        <v>23</v>
      </c>
      <c r="E586" t="s">
        <v>146</v>
      </c>
      <c r="F586" t="s">
        <v>293</v>
      </c>
      <c r="G586" t="s">
        <v>409</v>
      </c>
      <c r="H586" t="s">
        <v>410</v>
      </c>
      <c r="I586" t="s">
        <v>23</v>
      </c>
      <c r="J586" t="s">
        <v>442</v>
      </c>
      <c r="K586" t="s">
        <v>491</v>
      </c>
      <c r="L586" t="s">
        <v>1062</v>
      </c>
      <c r="M586">
        <v>2032</v>
      </c>
      <c r="N586" t="s">
        <v>1246</v>
      </c>
      <c r="O586" t="s">
        <v>1253</v>
      </c>
      <c r="P586" t="s">
        <v>21</v>
      </c>
      <c r="Q586" t="s">
        <v>21</v>
      </c>
      <c r="R586" t="s">
        <v>1305</v>
      </c>
      <c r="S586" t="s">
        <v>1305</v>
      </c>
      <c r="T586" t="s">
        <v>410</v>
      </c>
      <c r="U586" t="s">
        <v>1348</v>
      </c>
      <c r="V586" t="s">
        <v>1819</v>
      </c>
      <c r="W586" t="s">
        <v>1539</v>
      </c>
    </row>
    <row r="587" spans="1:23" x14ac:dyDescent="0.35">
      <c r="A587">
        <v>2</v>
      </c>
      <c r="B587">
        <v>2038</v>
      </c>
      <c r="C587">
        <v>2038</v>
      </c>
      <c r="D587" t="s">
        <v>23</v>
      </c>
      <c r="E587" t="s">
        <v>147</v>
      </c>
      <c r="F587" t="s">
        <v>294</v>
      </c>
      <c r="G587" t="s">
        <v>409</v>
      </c>
      <c r="H587" t="s">
        <v>410</v>
      </c>
      <c r="I587" t="s">
        <v>23</v>
      </c>
      <c r="J587" t="s">
        <v>442</v>
      </c>
      <c r="K587" t="s">
        <v>491</v>
      </c>
      <c r="L587" t="s">
        <v>1063</v>
      </c>
      <c r="M587">
        <v>2033</v>
      </c>
      <c r="N587" t="s">
        <v>1246</v>
      </c>
      <c r="O587" t="s">
        <v>1253</v>
      </c>
      <c r="P587" t="s">
        <v>21</v>
      </c>
      <c r="Q587" t="s">
        <v>21</v>
      </c>
      <c r="R587" t="s">
        <v>1305</v>
      </c>
      <c r="S587" t="s">
        <v>1305</v>
      </c>
      <c r="T587" t="s">
        <v>410</v>
      </c>
      <c r="U587" t="s">
        <v>1348</v>
      </c>
      <c r="V587" t="s">
        <v>1784</v>
      </c>
      <c r="W587" t="s">
        <v>1539</v>
      </c>
    </row>
    <row r="588" spans="1:23" x14ac:dyDescent="0.35">
      <c r="A588">
        <v>3</v>
      </c>
      <c r="B588">
        <v>2040</v>
      </c>
      <c r="C588">
        <v>2040</v>
      </c>
      <c r="D588" t="s">
        <v>23</v>
      </c>
      <c r="E588" t="s">
        <v>187</v>
      </c>
      <c r="F588" t="s">
        <v>345</v>
      </c>
      <c r="G588" t="s">
        <v>409</v>
      </c>
      <c r="H588" t="s">
        <v>410</v>
      </c>
      <c r="I588" t="s">
        <v>23</v>
      </c>
      <c r="J588" t="s">
        <v>442</v>
      </c>
      <c r="K588" t="s">
        <v>491</v>
      </c>
      <c r="L588" t="s">
        <v>1064</v>
      </c>
      <c r="M588">
        <v>2036</v>
      </c>
      <c r="N588" t="s">
        <v>1246</v>
      </c>
      <c r="O588" t="s">
        <v>1253</v>
      </c>
      <c r="P588" t="s">
        <v>21</v>
      </c>
      <c r="Q588" t="s">
        <v>21</v>
      </c>
      <c r="R588" t="s">
        <v>1324</v>
      </c>
      <c r="S588" t="s">
        <v>1324</v>
      </c>
      <c r="T588" t="s">
        <v>410</v>
      </c>
      <c r="U588" t="s">
        <v>1348</v>
      </c>
      <c r="V588" t="s">
        <v>1820</v>
      </c>
      <c r="W588" t="s">
        <v>1539</v>
      </c>
    </row>
    <row r="589" spans="1:23" x14ac:dyDescent="0.35">
      <c r="A589">
        <v>4</v>
      </c>
      <c r="B589">
        <v>2040</v>
      </c>
      <c r="C589">
        <v>2040</v>
      </c>
      <c r="D589" t="s">
        <v>23</v>
      </c>
      <c r="E589" t="s">
        <v>187</v>
      </c>
      <c r="F589" t="s">
        <v>345</v>
      </c>
      <c r="G589" t="s">
        <v>409</v>
      </c>
      <c r="H589" t="s">
        <v>410</v>
      </c>
      <c r="I589" t="s">
        <v>23</v>
      </c>
      <c r="J589" t="s">
        <v>442</v>
      </c>
      <c r="K589" t="s">
        <v>491</v>
      </c>
      <c r="L589" t="s">
        <v>1065</v>
      </c>
      <c r="M589">
        <v>2036</v>
      </c>
      <c r="N589" t="s">
        <v>1246</v>
      </c>
      <c r="O589" t="s">
        <v>1253</v>
      </c>
      <c r="P589" t="s">
        <v>21</v>
      </c>
      <c r="Q589" t="s">
        <v>21</v>
      </c>
      <c r="R589" t="s">
        <v>1255</v>
      </c>
      <c r="S589" t="s">
        <v>1255</v>
      </c>
      <c r="T589" t="s">
        <v>1278</v>
      </c>
      <c r="U589" t="s">
        <v>1348</v>
      </c>
      <c r="V589" t="s">
        <v>1756</v>
      </c>
      <c r="W589" t="s">
        <v>1544</v>
      </c>
    </row>
    <row r="590" spans="1:23" x14ac:dyDescent="0.35">
      <c r="A590">
        <v>5</v>
      </c>
      <c r="B590">
        <v>2041</v>
      </c>
      <c r="C590">
        <v>2041</v>
      </c>
      <c r="D590" t="s">
        <v>23</v>
      </c>
      <c r="E590" t="s">
        <v>188</v>
      </c>
      <c r="F590" t="s">
        <v>346</v>
      </c>
      <c r="G590" t="s">
        <v>409</v>
      </c>
      <c r="H590" t="s">
        <v>410</v>
      </c>
      <c r="I590" t="s">
        <v>23</v>
      </c>
      <c r="J590" t="s">
        <v>442</v>
      </c>
      <c r="K590" t="s">
        <v>491</v>
      </c>
      <c r="L590" t="s">
        <v>1066</v>
      </c>
      <c r="M590">
        <v>2036</v>
      </c>
      <c r="N590" t="s">
        <v>1246</v>
      </c>
      <c r="O590" t="s">
        <v>1253</v>
      </c>
      <c r="P590" t="s">
        <v>21</v>
      </c>
      <c r="Q590" t="s">
        <v>21</v>
      </c>
      <c r="R590" t="s">
        <v>1268</v>
      </c>
      <c r="S590" t="s">
        <v>1268</v>
      </c>
      <c r="T590" t="s">
        <v>1336</v>
      </c>
      <c r="U590" t="s">
        <v>1348</v>
      </c>
      <c r="V590" t="s">
        <v>1821</v>
      </c>
      <c r="W590" t="s">
        <v>1560</v>
      </c>
    </row>
    <row r="591" spans="1:23" x14ac:dyDescent="0.35">
      <c r="A591">
        <v>6</v>
      </c>
      <c r="B591">
        <v>2041</v>
      </c>
      <c r="C591">
        <v>2041</v>
      </c>
      <c r="D591" t="s">
        <v>23</v>
      </c>
      <c r="E591" t="s">
        <v>189</v>
      </c>
      <c r="F591" t="s">
        <v>347</v>
      </c>
      <c r="G591" t="s">
        <v>409</v>
      </c>
      <c r="H591" t="s">
        <v>410</v>
      </c>
      <c r="I591" t="s">
        <v>23</v>
      </c>
      <c r="J591" t="s">
        <v>442</v>
      </c>
      <c r="K591" t="s">
        <v>491</v>
      </c>
      <c r="L591" t="s">
        <v>1067</v>
      </c>
      <c r="M591">
        <v>2036</v>
      </c>
      <c r="N591" t="s">
        <v>1246</v>
      </c>
      <c r="O591" t="s">
        <v>1253</v>
      </c>
      <c r="P591" t="s">
        <v>21</v>
      </c>
      <c r="Q591" t="s">
        <v>21</v>
      </c>
      <c r="R591" t="s">
        <v>1309</v>
      </c>
      <c r="S591" t="s">
        <v>1309</v>
      </c>
      <c r="T591" t="s">
        <v>410</v>
      </c>
      <c r="U591" t="s">
        <v>1348</v>
      </c>
      <c r="V591" t="s">
        <v>1757</v>
      </c>
      <c r="W591" t="s">
        <v>1545</v>
      </c>
    </row>
    <row r="592" spans="1:23" x14ac:dyDescent="0.35">
      <c r="A592">
        <v>7</v>
      </c>
      <c r="B592">
        <v>2041</v>
      </c>
      <c r="C592">
        <v>2041</v>
      </c>
      <c r="D592" t="s">
        <v>23</v>
      </c>
      <c r="E592" t="s">
        <v>189</v>
      </c>
      <c r="F592" t="s">
        <v>347</v>
      </c>
      <c r="G592" t="s">
        <v>409</v>
      </c>
      <c r="H592" t="s">
        <v>410</v>
      </c>
      <c r="I592" t="s">
        <v>23</v>
      </c>
      <c r="J592" t="s">
        <v>442</v>
      </c>
      <c r="K592" t="s">
        <v>491</v>
      </c>
      <c r="L592" t="s">
        <v>1068</v>
      </c>
      <c r="M592">
        <v>2036</v>
      </c>
      <c r="N592" t="s">
        <v>1246</v>
      </c>
      <c r="O592" t="s">
        <v>1253</v>
      </c>
      <c r="P592" t="s">
        <v>21</v>
      </c>
      <c r="Q592" t="s">
        <v>21</v>
      </c>
      <c r="R592" t="s">
        <v>1278</v>
      </c>
      <c r="S592" t="s">
        <v>1278</v>
      </c>
      <c r="T592" t="s">
        <v>1278</v>
      </c>
      <c r="U592" t="s">
        <v>1348</v>
      </c>
      <c r="V592" t="s">
        <v>1822</v>
      </c>
      <c r="W592" t="s">
        <v>1571</v>
      </c>
    </row>
    <row r="593" spans="1:23" x14ac:dyDescent="0.35">
      <c r="A593">
        <v>8</v>
      </c>
      <c r="B593">
        <v>2044</v>
      </c>
      <c r="C593">
        <v>2044</v>
      </c>
      <c r="D593" t="s">
        <v>23</v>
      </c>
      <c r="E593" t="s">
        <v>190</v>
      </c>
      <c r="F593" t="s">
        <v>348</v>
      </c>
      <c r="G593" t="s">
        <v>409</v>
      </c>
      <c r="H593" t="s">
        <v>410</v>
      </c>
      <c r="I593" t="s">
        <v>23</v>
      </c>
      <c r="J593" t="s">
        <v>442</v>
      </c>
      <c r="K593" t="s">
        <v>491</v>
      </c>
      <c r="L593" t="s">
        <v>1069</v>
      </c>
      <c r="M593">
        <v>2039</v>
      </c>
      <c r="N593" t="s">
        <v>1246</v>
      </c>
      <c r="O593" t="s">
        <v>1253</v>
      </c>
      <c r="P593" t="s">
        <v>21</v>
      </c>
      <c r="Q593" t="s">
        <v>21</v>
      </c>
      <c r="R593" t="s">
        <v>1305</v>
      </c>
      <c r="S593" t="s">
        <v>1305</v>
      </c>
      <c r="T593" t="s">
        <v>410</v>
      </c>
      <c r="U593" t="s">
        <v>1348</v>
      </c>
      <c r="V593" t="s">
        <v>1823</v>
      </c>
      <c r="W593" t="s">
        <v>1545</v>
      </c>
    </row>
    <row r="594" spans="1:23" x14ac:dyDescent="0.35">
      <c r="A594">
        <v>9</v>
      </c>
      <c r="B594">
        <v>2044</v>
      </c>
      <c r="C594">
        <v>2044</v>
      </c>
      <c r="D594" t="s">
        <v>23</v>
      </c>
      <c r="E594" t="s">
        <v>190</v>
      </c>
      <c r="F594" t="s">
        <v>348</v>
      </c>
      <c r="G594" t="s">
        <v>409</v>
      </c>
      <c r="H594" t="s">
        <v>410</v>
      </c>
      <c r="I594" t="s">
        <v>23</v>
      </c>
      <c r="J594" t="s">
        <v>442</v>
      </c>
      <c r="K594" t="s">
        <v>491</v>
      </c>
      <c r="L594" t="s">
        <v>1070</v>
      </c>
      <c r="M594">
        <v>2038</v>
      </c>
      <c r="N594" t="s">
        <v>1246</v>
      </c>
      <c r="O594" t="s">
        <v>1253</v>
      </c>
      <c r="P594" t="s">
        <v>21</v>
      </c>
      <c r="Q594" t="s">
        <v>21</v>
      </c>
      <c r="R594" t="s">
        <v>1325</v>
      </c>
      <c r="S594" t="s">
        <v>1314</v>
      </c>
      <c r="T594" t="s">
        <v>1341</v>
      </c>
      <c r="U594" t="s">
        <v>1348</v>
      </c>
      <c r="V594" t="s">
        <v>1824</v>
      </c>
      <c r="W594" t="s">
        <v>1572</v>
      </c>
    </row>
    <row r="595" spans="1:23" x14ac:dyDescent="0.35">
      <c r="A595">
        <v>10</v>
      </c>
      <c r="B595">
        <v>2049</v>
      </c>
      <c r="C595">
        <v>2049</v>
      </c>
      <c r="D595" t="s">
        <v>23</v>
      </c>
      <c r="E595" t="s">
        <v>152</v>
      </c>
      <c r="F595" t="s">
        <v>299</v>
      </c>
      <c r="G595" t="s">
        <v>409</v>
      </c>
      <c r="H595" t="s">
        <v>410</v>
      </c>
      <c r="I595" t="s">
        <v>23</v>
      </c>
      <c r="J595" t="s">
        <v>442</v>
      </c>
      <c r="K595" t="s">
        <v>491</v>
      </c>
      <c r="L595" t="s">
        <v>1071</v>
      </c>
      <c r="M595">
        <v>2039</v>
      </c>
      <c r="N595" t="s">
        <v>1246</v>
      </c>
      <c r="O595" t="s">
        <v>1253</v>
      </c>
      <c r="P595" t="s">
        <v>21</v>
      </c>
      <c r="Q595" t="s">
        <v>21</v>
      </c>
      <c r="R595" t="s">
        <v>1311</v>
      </c>
      <c r="S595" t="s">
        <v>1311</v>
      </c>
      <c r="T595" t="s">
        <v>1338</v>
      </c>
      <c r="U595" t="s">
        <v>1348</v>
      </c>
      <c r="V595" t="s">
        <v>1825</v>
      </c>
      <c r="W595" t="s">
        <v>1573</v>
      </c>
    </row>
    <row r="596" spans="1:23" x14ac:dyDescent="0.35">
      <c r="A596">
        <v>11</v>
      </c>
      <c r="B596">
        <v>2101</v>
      </c>
      <c r="C596">
        <v>2101</v>
      </c>
      <c r="D596" t="s">
        <v>23</v>
      </c>
      <c r="E596" t="s">
        <v>35</v>
      </c>
      <c r="F596" t="s">
        <v>300</v>
      </c>
      <c r="G596" t="s">
        <v>409</v>
      </c>
      <c r="H596" t="s">
        <v>410</v>
      </c>
      <c r="I596" t="s">
        <v>23</v>
      </c>
      <c r="J596" t="s">
        <v>442</v>
      </c>
      <c r="K596" t="s">
        <v>491</v>
      </c>
      <c r="L596" t="s">
        <v>1072</v>
      </c>
      <c r="M596">
        <v>2046</v>
      </c>
      <c r="N596" t="s">
        <v>1246</v>
      </c>
      <c r="O596" t="s">
        <v>1253</v>
      </c>
      <c r="P596" t="s">
        <v>21</v>
      </c>
      <c r="Q596" t="s">
        <v>21</v>
      </c>
      <c r="R596" t="s">
        <v>1303</v>
      </c>
      <c r="S596" t="s">
        <v>1303</v>
      </c>
      <c r="T596" t="s">
        <v>410</v>
      </c>
      <c r="U596" t="s">
        <v>1348</v>
      </c>
      <c r="V596" t="s">
        <v>1610</v>
      </c>
      <c r="W596" t="s">
        <v>1447</v>
      </c>
    </row>
    <row r="597" spans="1:23" x14ac:dyDescent="0.35">
      <c r="A597">
        <v>12</v>
      </c>
      <c r="B597">
        <v>2101</v>
      </c>
      <c r="C597">
        <v>2101</v>
      </c>
      <c r="D597" t="s">
        <v>23</v>
      </c>
      <c r="E597" t="s">
        <v>191</v>
      </c>
      <c r="F597" t="s">
        <v>349</v>
      </c>
      <c r="G597" t="s">
        <v>409</v>
      </c>
      <c r="H597" t="s">
        <v>410</v>
      </c>
      <c r="I597" t="s">
        <v>23</v>
      </c>
      <c r="J597" t="s">
        <v>442</v>
      </c>
      <c r="K597" t="s">
        <v>491</v>
      </c>
      <c r="L597" t="s">
        <v>1073</v>
      </c>
      <c r="M597">
        <v>2048</v>
      </c>
      <c r="N597" t="s">
        <v>1246</v>
      </c>
      <c r="O597" t="s">
        <v>1253</v>
      </c>
      <c r="P597" t="s">
        <v>21</v>
      </c>
      <c r="Q597" t="s">
        <v>21</v>
      </c>
      <c r="R597" t="s">
        <v>1268</v>
      </c>
      <c r="S597" t="s">
        <v>1268</v>
      </c>
      <c r="T597" t="s">
        <v>1336</v>
      </c>
      <c r="U597" t="s">
        <v>1348</v>
      </c>
      <c r="V597" t="s">
        <v>1826</v>
      </c>
      <c r="W597" t="s">
        <v>1454</v>
      </c>
    </row>
    <row r="598" spans="1:23" x14ac:dyDescent="0.35">
      <c r="A598">
        <v>13</v>
      </c>
      <c r="B598">
        <v>2102</v>
      </c>
      <c r="C598">
        <v>2102</v>
      </c>
      <c r="D598" t="s">
        <v>23</v>
      </c>
      <c r="E598" t="s">
        <v>37</v>
      </c>
      <c r="F598" t="s">
        <v>263</v>
      </c>
      <c r="G598" t="s">
        <v>409</v>
      </c>
      <c r="H598" t="s">
        <v>410</v>
      </c>
      <c r="I598" t="s">
        <v>23</v>
      </c>
      <c r="J598" t="s">
        <v>442</v>
      </c>
      <c r="K598" t="s">
        <v>491</v>
      </c>
      <c r="L598" t="s">
        <v>1074</v>
      </c>
      <c r="M598">
        <v>2046</v>
      </c>
      <c r="N598" t="s">
        <v>1246</v>
      </c>
      <c r="O598" t="s">
        <v>1253</v>
      </c>
      <c r="P598" t="s">
        <v>21</v>
      </c>
      <c r="Q598" t="s">
        <v>21</v>
      </c>
      <c r="R598" t="s">
        <v>1268</v>
      </c>
      <c r="S598" t="s">
        <v>1268</v>
      </c>
      <c r="T598" t="s">
        <v>1336</v>
      </c>
      <c r="U598" t="s">
        <v>1348</v>
      </c>
      <c r="V598" t="s">
        <v>1618</v>
      </c>
      <c r="W598" t="s">
        <v>1454</v>
      </c>
    </row>
    <row r="599" spans="1:23" x14ac:dyDescent="0.35">
      <c r="A599">
        <v>14</v>
      </c>
      <c r="B599">
        <v>2102</v>
      </c>
      <c r="C599">
        <v>2102</v>
      </c>
      <c r="D599" t="s">
        <v>23</v>
      </c>
      <c r="E599" t="s">
        <v>37</v>
      </c>
      <c r="F599" t="s">
        <v>263</v>
      </c>
      <c r="G599" t="s">
        <v>409</v>
      </c>
      <c r="H599" t="s">
        <v>410</v>
      </c>
      <c r="I599" t="s">
        <v>23</v>
      </c>
      <c r="J599" t="s">
        <v>442</v>
      </c>
      <c r="K599" t="s">
        <v>491</v>
      </c>
      <c r="L599" t="s">
        <v>1075</v>
      </c>
      <c r="M599">
        <v>2048</v>
      </c>
      <c r="N599" t="s">
        <v>1246</v>
      </c>
      <c r="O599" t="s">
        <v>1253</v>
      </c>
      <c r="P599" t="s">
        <v>21</v>
      </c>
      <c r="Q599" t="s">
        <v>21</v>
      </c>
      <c r="R599" t="s">
        <v>1309</v>
      </c>
      <c r="S599" t="s">
        <v>1309</v>
      </c>
      <c r="T599" t="s">
        <v>410</v>
      </c>
      <c r="U599" t="s">
        <v>1348</v>
      </c>
      <c r="V599" t="s">
        <v>1613</v>
      </c>
      <c r="W599" t="s">
        <v>1447</v>
      </c>
    </row>
    <row r="600" spans="1:23" x14ac:dyDescent="0.35">
      <c r="A600">
        <v>15</v>
      </c>
      <c r="B600">
        <v>2105</v>
      </c>
      <c r="C600">
        <v>2105</v>
      </c>
      <c r="D600" t="s">
        <v>23</v>
      </c>
      <c r="E600" t="s">
        <v>51</v>
      </c>
      <c r="F600" t="s">
        <v>350</v>
      </c>
      <c r="G600" t="s">
        <v>409</v>
      </c>
      <c r="H600" t="s">
        <v>410</v>
      </c>
      <c r="I600" t="s">
        <v>23</v>
      </c>
      <c r="J600" t="s">
        <v>442</v>
      </c>
      <c r="K600" t="s">
        <v>491</v>
      </c>
      <c r="L600" t="s">
        <v>1076</v>
      </c>
      <c r="M600">
        <v>2050</v>
      </c>
      <c r="N600" t="s">
        <v>1246</v>
      </c>
      <c r="O600" t="s">
        <v>1253</v>
      </c>
      <c r="P600" t="s">
        <v>21</v>
      </c>
      <c r="Q600" t="s">
        <v>21</v>
      </c>
      <c r="R600" t="s">
        <v>1312</v>
      </c>
      <c r="S600" t="s">
        <v>1312</v>
      </c>
      <c r="T600" t="s">
        <v>410</v>
      </c>
      <c r="U600" t="s">
        <v>1348</v>
      </c>
      <c r="V600" t="s">
        <v>1634</v>
      </c>
      <c r="W600" t="s">
        <v>1447</v>
      </c>
    </row>
    <row r="601" spans="1:23" x14ac:dyDescent="0.35">
      <c r="A601">
        <v>16</v>
      </c>
      <c r="B601">
        <v>2105</v>
      </c>
      <c r="C601">
        <v>2105</v>
      </c>
      <c r="D601" t="s">
        <v>23</v>
      </c>
      <c r="E601" t="s">
        <v>51</v>
      </c>
      <c r="F601" t="s">
        <v>350</v>
      </c>
      <c r="G601" t="s">
        <v>409</v>
      </c>
      <c r="H601" t="s">
        <v>410</v>
      </c>
      <c r="I601" t="s">
        <v>23</v>
      </c>
      <c r="J601" t="s">
        <v>442</v>
      </c>
      <c r="K601" t="s">
        <v>491</v>
      </c>
      <c r="L601" t="s">
        <v>1077</v>
      </c>
      <c r="M601">
        <v>2051</v>
      </c>
      <c r="N601" t="s">
        <v>1246</v>
      </c>
      <c r="O601" t="s">
        <v>1253</v>
      </c>
      <c r="P601" t="s">
        <v>21</v>
      </c>
      <c r="Q601" t="s">
        <v>21</v>
      </c>
      <c r="R601" t="s">
        <v>1312</v>
      </c>
      <c r="S601" t="s">
        <v>1312</v>
      </c>
      <c r="T601" t="s">
        <v>410</v>
      </c>
      <c r="U601" t="s">
        <v>1348</v>
      </c>
      <c r="V601" t="s">
        <v>1634</v>
      </c>
      <c r="W601" t="s">
        <v>1447</v>
      </c>
    </row>
    <row r="602" spans="1:23" x14ac:dyDescent="0.35">
      <c r="A602">
        <v>18</v>
      </c>
      <c r="B602">
        <v>2105</v>
      </c>
      <c r="C602">
        <v>2105</v>
      </c>
      <c r="D602" t="s">
        <v>23</v>
      </c>
      <c r="E602" t="s">
        <v>192</v>
      </c>
      <c r="F602" t="s">
        <v>351</v>
      </c>
      <c r="G602" t="s">
        <v>409</v>
      </c>
      <c r="H602" t="s">
        <v>410</v>
      </c>
      <c r="I602" t="s">
        <v>23</v>
      </c>
      <c r="J602" t="s">
        <v>442</v>
      </c>
      <c r="K602" t="s">
        <v>491</v>
      </c>
      <c r="L602" t="s">
        <v>1078</v>
      </c>
      <c r="M602">
        <v>2053</v>
      </c>
      <c r="N602" t="s">
        <v>1246</v>
      </c>
      <c r="O602" t="s">
        <v>1253</v>
      </c>
      <c r="P602" t="s">
        <v>21</v>
      </c>
      <c r="Q602" t="s">
        <v>21</v>
      </c>
      <c r="R602" t="s">
        <v>1326</v>
      </c>
      <c r="S602" t="s">
        <v>1326</v>
      </c>
      <c r="T602" t="s">
        <v>410</v>
      </c>
      <c r="U602" t="s">
        <v>1348</v>
      </c>
      <c r="V602" t="s">
        <v>1634</v>
      </c>
      <c r="W602" t="s">
        <v>1447</v>
      </c>
    </row>
    <row r="603" spans="1:23" x14ac:dyDescent="0.35">
      <c r="A603">
        <v>20</v>
      </c>
      <c r="B603">
        <v>2105</v>
      </c>
      <c r="C603">
        <v>2105</v>
      </c>
      <c r="D603" t="s">
        <v>23</v>
      </c>
      <c r="E603" t="s">
        <v>192</v>
      </c>
      <c r="F603" t="s">
        <v>351</v>
      </c>
      <c r="G603" t="s">
        <v>409</v>
      </c>
      <c r="H603" t="s">
        <v>410</v>
      </c>
      <c r="I603" t="s">
        <v>23</v>
      </c>
      <c r="J603" t="s">
        <v>442</v>
      </c>
      <c r="K603" t="s">
        <v>491</v>
      </c>
      <c r="L603" t="s">
        <v>1079</v>
      </c>
      <c r="M603">
        <v>2053</v>
      </c>
      <c r="N603" t="s">
        <v>1246</v>
      </c>
      <c r="O603" t="s">
        <v>1253</v>
      </c>
      <c r="P603" t="s">
        <v>21</v>
      </c>
      <c r="Q603" t="s">
        <v>21</v>
      </c>
      <c r="R603" t="s">
        <v>1255</v>
      </c>
      <c r="S603" t="s">
        <v>1255</v>
      </c>
      <c r="T603" t="s">
        <v>1278</v>
      </c>
      <c r="U603" t="s">
        <v>1348</v>
      </c>
      <c r="V603" t="s">
        <v>1632</v>
      </c>
      <c r="W603" t="s">
        <v>1459</v>
      </c>
    </row>
    <row r="604" spans="1:23" x14ac:dyDescent="0.35">
      <c r="A604">
        <v>19</v>
      </c>
      <c r="B604">
        <v>2106</v>
      </c>
      <c r="C604">
        <v>2106</v>
      </c>
      <c r="D604" t="s">
        <v>23</v>
      </c>
      <c r="E604" t="s">
        <v>153</v>
      </c>
      <c r="F604" t="s">
        <v>303</v>
      </c>
      <c r="G604" t="s">
        <v>409</v>
      </c>
      <c r="H604" t="s">
        <v>410</v>
      </c>
      <c r="I604" t="s">
        <v>23</v>
      </c>
      <c r="J604" t="s">
        <v>442</v>
      </c>
      <c r="K604" t="s">
        <v>491</v>
      </c>
      <c r="L604" t="s">
        <v>1080</v>
      </c>
      <c r="M604">
        <v>2101</v>
      </c>
      <c r="N604" t="s">
        <v>1246</v>
      </c>
      <c r="O604" t="s">
        <v>1253</v>
      </c>
      <c r="P604" t="s">
        <v>21</v>
      </c>
      <c r="Q604" t="s">
        <v>21</v>
      </c>
      <c r="R604" t="s">
        <v>1268</v>
      </c>
      <c r="S604" t="s">
        <v>1268</v>
      </c>
      <c r="T604" t="s">
        <v>1336</v>
      </c>
      <c r="U604" t="s">
        <v>1348</v>
      </c>
      <c r="V604" t="s">
        <v>1638</v>
      </c>
      <c r="W604" t="s">
        <v>1464</v>
      </c>
    </row>
    <row r="605" spans="1:23" x14ac:dyDescent="0.35">
      <c r="A605">
        <v>21</v>
      </c>
      <c r="B605">
        <v>2109</v>
      </c>
      <c r="C605">
        <v>2109</v>
      </c>
      <c r="D605" t="s">
        <v>23</v>
      </c>
      <c r="E605" t="s">
        <v>193</v>
      </c>
      <c r="F605" t="s">
        <v>352</v>
      </c>
      <c r="G605" t="s">
        <v>409</v>
      </c>
      <c r="H605" t="s">
        <v>410</v>
      </c>
      <c r="I605" t="s">
        <v>23</v>
      </c>
      <c r="J605" t="s">
        <v>442</v>
      </c>
      <c r="K605" t="s">
        <v>491</v>
      </c>
      <c r="L605" t="s">
        <v>1081</v>
      </c>
      <c r="M605">
        <v>2103</v>
      </c>
      <c r="N605" t="s">
        <v>1246</v>
      </c>
      <c r="O605" t="s">
        <v>1253</v>
      </c>
      <c r="P605" t="s">
        <v>21</v>
      </c>
      <c r="Q605" t="s">
        <v>21</v>
      </c>
      <c r="R605" t="s">
        <v>1318</v>
      </c>
      <c r="S605" t="s">
        <v>1318</v>
      </c>
      <c r="T605" t="s">
        <v>1341</v>
      </c>
      <c r="U605" t="s">
        <v>1348</v>
      </c>
      <c r="V605" t="s">
        <v>1827</v>
      </c>
      <c r="W605" t="s">
        <v>1574</v>
      </c>
    </row>
    <row r="606" spans="1:23" x14ac:dyDescent="0.35">
      <c r="A606">
        <v>22</v>
      </c>
      <c r="B606">
        <v>2113</v>
      </c>
      <c r="C606">
        <v>2113</v>
      </c>
      <c r="D606" t="s">
        <v>23</v>
      </c>
      <c r="E606" t="s">
        <v>70</v>
      </c>
      <c r="F606" t="s">
        <v>308</v>
      </c>
      <c r="G606" t="s">
        <v>409</v>
      </c>
      <c r="H606" t="s">
        <v>410</v>
      </c>
      <c r="I606" t="s">
        <v>23</v>
      </c>
      <c r="J606" t="s">
        <v>442</v>
      </c>
      <c r="K606" t="s">
        <v>491</v>
      </c>
      <c r="L606" t="s">
        <v>1082</v>
      </c>
      <c r="M606">
        <v>2109</v>
      </c>
      <c r="N606" t="s">
        <v>1246</v>
      </c>
      <c r="O606" t="s">
        <v>1253</v>
      </c>
      <c r="P606" t="s">
        <v>21</v>
      </c>
      <c r="Q606" t="s">
        <v>21</v>
      </c>
      <c r="R606" t="s">
        <v>1305</v>
      </c>
      <c r="S606" t="s">
        <v>1305</v>
      </c>
      <c r="T606" t="s">
        <v>410</v>
      </c>
      <c r="U606" t="s">
        <v>1348</v>
      </c>
      <c r="V606" t="s">
        <v>1828</v>
      </c>
      <c r="W606" t="s">
        <v>1470</v>
      </c>
    </row>
    <row r="607" spans="1:23" x14ac:dyDescent="0.35">
      <c r="A607">
        <v>23</v>
      </c>
      <c r="B607">
        <v>2113</v>
      </c>
      <c r="C607">
        <v>2113</v>
      </c>
      <c r="D607" t="s">
        <v>23</v>
      </c>
      <c r="E607" t="s">
        <v>70</v>
      </c>
      <c r="F607" t="s">
        <v>308</v>
      </c>
      <c r="G607" t="s">
        <v>409</v>
      </c>
      <c r="H607" t="s">
        <v>410</v>
      </c>
      <c r="I607" t="s">
        <v>23</v>
      </c>
      <c r="J607" t="s">
        <v>442</v>
      </c>
      <c r="K607" t="s">
        <v>491</v>
      </c>
      <c r="L607" t="s">
        <v>1083</v>
      </c>
      <c r="M607">
        <v>2109</v>
      </c>
      <c r="N607" t="s">
        <v>1246</v>
      </c>
      <c r="O607" t="s">
        <v>1253</v>
      </c>
      <c r="P607" t="s">
        <v>21</v>
      </c>
      <c r="Q607" t="s">
        <v>21</v>
      </c>
      <c r="R607" t="s">
        <v>1320</v>
      </c>
      <c r="S607" t="s">
        <v>1320</v>
      </c>
      <c r="T607" t="s">
        <v>1342</v>
      </c>
      <c r="U607" t="s">
        <v>1348</v>
      </c>
      <c r="V607" t="s">
        <v>1804</v>
      </c>
      <c r="W607" t="s">
        <v>1561</v>
      </c>
    </row>
    <row r="608" spans="1:23" x14ac:dyDescent="0.35">
      <c r="A608">
        <v>1</v>
      </c>
      <c r="B608">
        <v>2114</v>
      </c>
      <c r="C608">
        <v>2114</v>
      </c>
      <c r="D608" t="s">
        <v>23</v>
      </c>
      <c r="E608" t="s">
        <v>194</v>
      </c>
      <c r="F608" t="s">
        <v>353</v>
      </c>
      <c r="G608" t="s">
        <v>409</v>
      </c>
      <c r="H608" t="s">
        <v>410</v>
      </c>
      <c r="I608" t="s">
        <v>23</v>
      </c>
      <c r="J608" t="s">
        <v>434</v>
      </c>
      <c r="K608" t="s">
        <v>453</v>
      </c>
      <c r="L608" t="s">
        <v>1084</v>
      </c>
      <c r="M608">
        <v>2102</v>
      </c>
      <c r="N608" t="s">
        <v>1247</v>
      </c>
      <c r="O608" t="s">
        <v>1253</v>
      </c>
      <c r="P608" t="s">
        <v>21</v>
      </c>
      <c r="Q608" t="s">
        <v>21</v>
      </c>
      <c r="R608" t="s">
        <v>1302</v>
      </c>
      <c r="S608" t="s">
        <v>1302</v>
      </c>
      <c r="T608" t="s">
        <v>1337</v>
      </c>
      <c r="U608" t="s">
        <v>1347</v>
      </c>
      <c r="V608" t="s">
        <v>1829</v>
      </c>
      <c r="W608" t="s">
        <v>1575</v>
      </c>
    </row>
    <row r="609" spans="1:23" x14ac:dyDescent="0.35">
      <c r="A609">
        <v>2</v>
      </c>
      <c r="B609">
        <v>2115</v>
      </c>
      <c r="C609">
        <v>2115</v>
      </c>
      <c r="D609" t="s">
        <v>23</v>
      </c>
      <c r="E609" t="s">
        <v>195</v>
      </c>
      <c r="F609" t="s">
        <v>354</v>
      </c>
      <c r="G609" t="s">
        <v>409</v>
      </c>
      <c r="H609" t="s">
        <v>410</v>
      </c>
      <c r="I609" t="s">
        <v>23</v>
      </c>
      <c r="J609" t="s">
        <v>434</v>
      </c>
      <c r="K609" t="s">
        <v>453</v>
      </c>
      <c r="L609" t="s">
        <v>1085</v>
      </c>
      <c r="M609">
        <v>2110</v>
      </c>
      <c r="N609" t="s">
        <v>1247</v>
      </c>
      <c r="O609" t="s">
        <v>1253</v>
      </c>
      <c r="P609" t="s">
        <v>21</v>
      </c>
      <c r="Q609" t="s">
        <v>21</v>
      </c>
      <c r="R609" t="s">
        <v>1268</v>
      </c>
      <c r="S609" t="s">
        <v>1268</v>
      </c>
      <c r="T609" t="s">
        <v>1336</v>
      </c>
      <c r="U609" t="s">
        <v>1347</v>
      </c>
      <c r="V609" t="s">
        <v>1830</v>
      </c>
      <c r="W609" t="s">
        <v>1576</v>
      </c>
    </row>
    <row r="610" spans="1:23" x14ac:dyDescent="0.35">
      <c r="A610">
        <v>3</v>
      </c>
      <c r="B610">
        <v>2115</v>
      </c>
      <c r="C610">
        <v>2115</v>
      </c>
      <c r="D610" t="s">
        <v>23</v>
      </c>
      <c r="E610" t="s">
        <v>196</v>
      </c>
      <c r="F610" t="s">
        <v>355</v>
      </c>
      <c r="G610" t="s">
        <v>409</v>
      </c>
      <c r="H610" t="s">
        <v>410</v>
      </c>
      <c r="I610" t="s">
        <v>23</v>
      </c>
      <c r="J610" t="s">
        <v>434</v>
      </c>
      <c r="K610" t="s">
        <v>453</v>
      </c>
      <c r="L610" t="s">
        <v>1086</v>
      </c>
      <c r="M610">
        <v>2111</v>
      </c>
      <c r="N610" t="s">
        <v>1247</v>
      </c>
      <c r="O610" t="s">
        <v>1253</v>
      </c>
      <c r="P610" t="s">
        <v>21</v>
      </c>
      <c r="Q610" t="s">
        <v>21</v>
      </c>
      <c r="R610" t="s">
        <v>1305</v>
      </c>
      <c r="S610" t="s">
        <v>1305</v>
      </c>
      <c r="T610" t="s">
        <v>410</v>
      </c>
      <c r="U610" t="s">
        <v>1347</v>
      </c>
      <c r="V610" t="s">
        <v>1831</v>
      </c>
      <c r="W610" t="s">
        <v>1478</v>
      </c>
    </row>
    <row r="611" spans="1:23" x14ac:dyDescent="0.35">
      <c r="A611">
        <v>4</v>
      </c>
      <c r="B611">
        <v>2116</v>
      </c>
      <c r="C611">
        <v>2116</v>
      </c>
      <c r="D611" t="s">
        <v>23</v>
      </c>
      <c r="E611" t="s">
        <v>197</v>
      </c>
      <c r="F611" t="s">
        <v>356</v>
      </c>
      <c r="G611" t="s">
        <v>409</v>
      </c>
      <c r="H611" t="s">
        <v>410</v>
      </c>
      <c r="I611" t="s">
        <v>23</v>
      </c>
      <c r="J611" t="s">
        <v>434</v>
      </c>
      <c r="K611" t="s">
        <v>453</v>
      </c>
      <c r="L611" t="s">
        <v>1087</v>
      </c>
      <c r="M611">
        <v>2113</v>
      </c>
      <c r="N611" t="s">
        <v>1247</v>
      </c>
      <c r="O611" t="s">
        <v>1253</v>
      </c>
      <c r="P611" t="s">
        <v>21</v>
      </c>
      <c r="Q611" t="s">
        <v>21</v>
      </c>
      <c r="R611" t="s">
        <v>1309</v>
      </c>
      <c r="S611" t="s">
        <v>1309</v>
      </c>
      <c r="T611" t="s">
        <v>410</v>
      </c>
      <c r="U611" t="s">
        <v>1347</v>
      </c>
      <c r="V611" t="s">
        <v>1832</v>
      </c>
      <c r="W611" t="s">
        <v>1478</v>
      </c>
    </row>
    <row r="612" spans="1:23" x14ac:dyDescent="0.35">
      <c r="A612">
        <v>5</v>
      </c>
      <c r="B612">
        <v>2117</v>
      </c>
      <c r="C612">
        <v>2117</v>
      </c>
      <c r="D612" t="s">
        <v>23</v>
      </c>
      <c r="E612" t="s">
        <v>73</v>
      </c>
      <c r="F612" t="s">
        <v>357</v>
      </c>
      <c r="G612" t="s">
        <v>409</v>
      </c>
      <c r="H612" t="s">
        <v>410</v>
      </c>
      <c r="I612" t="s">
        <v>23</v>
      </c>
      <c r="J612" t="s">
        <v>434</v>
      </c>
      <c r="K612" t="s">
        <v>453</v>
      </c>
      <c r="L612" t="s">
        <v>1088</v>
      </c>
      <c r="M612">
        <v>2113</v>
      </c>
      <c r="N612" t="s">
        <v>1247</v>
      </c>
      <c r="O612" t="s">
        <v>1253</v>
      </c>
      <c r="P612" t="s">
        <v>21</v>
      </c>
      <c r="Q612" t="s">
        <v>21</v>
      </c>
      <c r="R612" t="s">
        <v>1302</v>
      </c>
      <c r="S612" t="s">
        <v>1323</v>
      </c>
      <c r="T612" t="s">
        <v>1335</v>
      </c>
      <c r="U612" t="s">
        <v>1347</v>
      </c>
      <c r="V612" t="s">
        <v>1833</v>
      </c>
      <c r="W612" t="s">
        <v>1435</v>
      </c>
    </row>
    <row r="613" spans="1:23" x14ac:dyDescent="0.35">
      <c r="A613">
        <v>6</v>
      </c>
      <c r="B613">
        <v>2117</v>
      </c>
      <c r="C613">
        <v>2117</v>
      </c>
      <c r="D613" t="s">
        <v>23</v>
      </c>
      <c r="E613" t="s">
        <v>73</v>
      </c>
      <c r="F613" t="s">
        <v>357</v>
      </c>
      <c r="G613" t="s">
        <v>409</v>
      </c>
      <c r="H613" t="s">
        <v>410</v>
      </c>
      <c r="I613" t="s">
        <v>23</v>
      </c>
      <c r="J613" t="s">
        <v>434</v>
      </c>
      <c r="K613" t="s">
        <v>453</v>
      </c>
      <c r="L613" t="s">
        <v>1089</v>
      </c>
      <c r="M613">
        <v>2113</v>
      </c>
      <c r="N613" t="s">
        <v>1247</v>
      </c>
      <c r="O613" t="s">
        <v>1253</v>
      </c>
      <c r="P613" t="s">
        <v>21</v>
      </c>
      <c r="Q613" t="s">
        <v>21</v>
      </c>
      <c r="R613" t="s">
        <v>1326</v>
      </c>
      <c r="S613" t="s">
        <v>1326</v>
      </c>
      <c r="T613" t="s">
        <v>410</v>
      </c>
      <c r="U613" t="s">
        <v>1347</v>
      </c>
      <c r="V613" t="s">
        <v>1834</v>
      </c>
      <c r="W613" t="s">
        <v>1478</v>
      </c>
    </row>
    <row r="614" spans="1:23" x14ac:dyDescent="0.35">
      <c r="A614">
        <v>7</v>
      </c>
      <c r="B614">
        <v>2117</v>
      </c>
      <c r="C614">
        <v>2117</v>
      </c>
      <c r="D614" t="s">
        <v>23</v>
      </c>
      <c r="E614" t="s">
        <v>198</v>
      </c>
      <c r="F614" t="s">
        <v>358</v>
      </c>
      <c r="G614" t="s">
        <v>409</v>
      </c>
      <c r="H614" t="s">
        <v>410</v>
      </c>
      <c r="I614" t="s">
        <v>23</v>
      </c>
      <c r="J614" t="s">
        <v>434</v>
      </c>
      <c r="K614" t="s">
        <v>453</v>
      </c>
      <c r="L614" t="s">
        <v>1090</v>
      </c>
      <c r="M614">
        <v>2114</v>
      </c>
      <c r="N614" t="s">
        <v>1247</v>
      </c>
      <c r="O614" t="s">
        <v>1253</v>
      </c>
      <c r="P614" t="s">
        <v>21</v>
      </c>
      <c r="Q614" t="s">
        <v>21</v>
      </c>
      <c r="R614" t="s">
        <v>1302</v>
      </c>
      <c r="S614" t="s">
        <v>1302</v>
      </c>
      <c r="T614" t="s">
        <v>1337</v>
      </c>
      <c r="U614" t="s">
        <v>1347</v>
      </c>
      <c r="V614" t="s">
        <v>1835</v>
      </c>
      <c r="W614" t="s">
        <v>1575</v>
      </c>
    </row>
    <row r="615" spans="1:23" x14ac:dyDescent="0.35">
      <c r="A615">
        <v>8</v>
      </c>
      <c r="B615">
        <v>2118</v>
      </c>
      <c r="C615">
        <v>2118</v>
      </c>
      <c r="D615" t="s">
        <v>23</v>
      </c>
      <c r="E615" t="s">
        <v>74</v>
      </c>
      <c r="F615" t="s">
        <v>332</v>
      </c>
      <c r="G615" t="s">
        <v>409</v>
      </c>
      <c r="H615" t="s">
        <v>410</v>
      </c>
      <c r="I615" t="s">
        <v>23</v>
      </c>
      <c r="J615" t="s">
        <v>434</v>
      </c>
      <c r="K615" t="s">
        <v>453</v>
      </c>
      <c r="L615" t="s">
        <v>1091</v>
      </c>
      <c r="M615">
        <v>2112</v>
      </c>
      <c r="N615" t="s">
        <v>1247</v>
      </c>
      <c r="O615" t="s">
        <v>1253</v>
      </c>
      <c r="P615" t="s">
        <v>21</v>
      </c>
      <c r="Q615" t="s">
        <v>21</v>
      </c>
      <c r="R615" t="s">
        <v>1320</v>
      </c>
      <c r="S615" t="s">
        <v>1320</v>
      </c>
      <c r="T615" t="s">
        <v>1342</v>
      </c>
      <c r="U615" t="s">
        <v>1347</v>
      </c>
      <c r="V615" t="s">
        <v>1836</v>
      </c>
      <c r="W615" t="s">
        <v>1565</v>
      </c>
    </row>
    <row r="616" spans="1:23" x14ac:dyDescent="0.35">
      <c r="A616">
        <v>9</v>
      </c>
      <c r="B616">
        <v>2121</v>
      </c>
      <c r="C616">
        <v>2121</v>
      </c>
      <c r="D616" t="s">
        <v>23</v>
      </c>
      <c r="E616" t="s">
        <v>199</v>
      </c>
      <c r="F616" t="s">
        <v>359</v>
      </c>
      <c r="G616" t="s">
        <v>409</v>
      </c>
      <c r="H616" t="s">
        <v>410</v>
      </c>
      <c r="I616" t="s">
        <v>23</v>
      </c>
      <c r="J616" t="s">
        <v>434</v>
      </c>
      <c r="K616" t="s">
        <v>453</v>
      </c>
      <c r="L616" t="s">
        <v>1092</v>
      </c>
      <c r="M616">
        <v>2116</v>
      </c>
      <c r="N616" t="s">
        <v>1247</v>
      </c>
      <c r="O616" t="s">
        <v>1253</v>
      </c>
      <c r="P616" t="s">
        <v>21</v>
      </c>
      <c r="Q616" t="s">
        <v>21</v>
      </c>
      <c r="R616" t="s">
        <v>1309</v>
      </c>
      <c r="S616" t="s">
        <v>1309</v>
      </c>
      <c r="T616" t="s">
        <v>410</v>
      </c>
      <c r="U616" t="s">
        <v>1347</v>
      </c>
      <c r="V616" t="s">
        <v>1837</v>
      </c>
      <c r="W616" t="s">
        <v>1569</v>
      </c>
    </row>
    <row r="617" spans="1:23" x14ac:dyDescent="0.35">
      <c r="A617">
        <v>10</v>
      </c>
      <c r="B617">
        <v>2121</v>
      </c>
      <c r="C617">
        <v>2123</v>
      </c>
      <c r="D617" t="s">
        <v>23</v>
      </c>
      <c r="E617" t="s">
        <v>86</v>
      </c>
      <c r="F617" t="s">
        <v>359</v>
      </c>
      <c r="G617" t="s">
        <v>409</v>
      </c>
      <c r="H617" t="s">
        <v>410</v>
      </c>
      <c r="I617" t="s">
        <v>23</v>
      </c>
      <c r="J617" t="s">
        <v>434</v>
      </c>
      <c r="K617" t="s">
        <v>453</v>
      </c>
      <c r="L617" t="s">
        <v>1093</v>
      </c>
      <c r="M617">
        <v>2117</v>
      </c>
      <c r="N617" t="s">
        <v>1247</v>
      </c>
      <c r="O617" t="s">
        <v>1253</v>
      </c>
      <c r="P617" t="s">
        <v>21</v>
      </c>
      <c r="Q617" t="s">
        <v>21</v>
      </c>
      <c r="R617" t="s">
        <v>1309</v>
      </c>
      <c r="S617" t="s">
        <v>1309</v>
      </c>
      <c r="T617" t="s">
        <v>410</v>
      </c>
      <c r="U617" t="s">
        <v>1347</v>
      </c>
      <c r="V617" t="s">
        <v>1837</v>
      </c>
      <c r="W617" t="s">
        <v>1569</v>
      </c>
    </row>
    <row r="618" spans="1:23" x14ac:dyDescent="0.35">
      <c r="A618">
        <v>11</v>
      </c>
      <c r="B618">
        <v>2125</v>
      </c>
      <c r="C618">
        <v>2125</v>
      </c>
      <c r="D618" t="s">
        <v>23</v>
      </c>
      <c r="E618" t="s">
        <v>200</v>
      </c>
      <c r="F618" t="s">
        <v>360</v>
      </c>
      <c r="G618" t="s">
        <v>409</v>
      </c>
      <c r="H618" t="s">
        <v>410</v>
      </c>
      <c r="I618" t="s">
        <v>23</v>
      </c>
      <c r="J618" t="s">
        <v>434</v>
      </c>
      <c r="K618" t="s">
        <v>453</v>
      </c>
      <c r="L618" t="s">
        <v>1094</v>
      </c>
      <c r="M618">
        <v>2119</v>
      </c>
      <c r="N618" t="s">
        <v>1247</v>
      </c>
      <c r="O618" t="s">
        <v>1253</v>
      </c>
      <c r="P618" t="s">
        <v>21</v>
      </c>
      <c r="Q618" t="s">
        <v>21</v>
      </c>
      <c r="R618" t="s">
        <v>1311</v>
      </c>
      <c r="S618" t="s">
        <v>1318</v>
      </c>
      <c r="T618" t="s">
        <v>1341</v>
      </c>
      <c r="U618" t="s">
        <v>1347</v>
      </c>
      <c r="V618" t="s">
        <v>1838</v>
      </c>
      <c r="W618" t="s">
        <v>1570</v>
      </c>
    </row>
    <row r="619" spans="1:23" x14ac:dyDescent="0.35">
      <c r="A619">
        <v>12</v>
      </c>
      <c r="B619">
        <v>2125</v>
      </c>
      <c r="C619">
        <v>2125</v>
      </c>
      <c r="D619" t="s">
        <v>23</v>
      </c>
      <c r="E619" t="s">
        <v>200</v>
      </c>
      <c r="F619" t="s">
        <v>360</v>
      </c>
      <c r="G619" t="s">
        <v>409</v>
      </c>
      <c r="H619" t="s">
        <v>410</v>
      </c>
      <c r="I619" t="s">
        <v>23</v>
      </c>
      <c r="J619" t="s">
        <v>434</v>
      </c>
      <c r="K619" t="s">
        <v>453</v>
      </c>
      <c r="L619" t="s">
        <v>1095</v>
      </c>
      <c r="M619">
        <v>2119</v>
      </c>
      <c r="N619" t="s">
        <v>1247</v>
      </c>
      <c r="O619" t="s">
        <v>1253</v>
      </c>
      <c r="P619" t="s">
        <v>21</v>
      </c>
      <c r="Q619" t="s">
        <v>21</v>
      </c>
      <c r="R619" t="s">
        <v>1312</v>
      </c>
      <c r="S619" t="s">
        <v>1312</v>
      </c>
      <c r="T619" t="s">
        <v>410</v>
      </c>
      <c r="U619" t="s">
        <v>1347</v>
      </c>
      <c r="V619" t="s">
        <v>1807</v>
      </c>
      <c r="W619" t="s">
        <v>1438</v>
      </c>
    </row>
    <row r="620" spans="1:23" x14ac:dyDescent="0.35">
      <c r="A620">
        <v>13</v>
      </c>
      <c r="B620">
        <v>2126</v>
      </c>
      <c r="C620">
        <v>2126</v>
      </c>
      <c r="D620" t="s">
        <v>23</v>
      </c>
      <c r="E620" t="s">
        <v>89</v>
      </c>
      <c r="F620" t="s">
        <v>361</v>
      </c>
      <c r="G620" t="s">
        <v>409</v>
      </c>
      <c r="H620" t="s">
        <v>410</v>
      </c>
      <c r="I620" t="s">
        <v>23</v>
      </c>
      <c r="J620" t="s">
        <v>434</v>
      </c>
      <c r="K620" t="s">
        <v>453</v>
      </c>
      <c r="L620" t="s">
        <v>1096</v>
      </c>
      <c r="M620">
        <v>2119</v>
      </c>
      <c r="N620" t="s">
        <v>1247</v>
      </c>
      <c r="O620" t="s">
        <v>1253</v>
      </c>
      <c r="P620" t="s">
        <v>21</v>
      </c>
      <c r="Q620" t="s">
        <v>21</v>
      </c>
      <c r="R620" t="s">
        <v>1255</v>
      </c>
      <c r="S620" t="s">
        <v>1255</v>
      </c>
      <c r="T620" t="s">
        <v>1278</v>
      </c>
      <c r="U620" t="s">
        <v>1347</v>
      </c>
      <c r="V620" t="s">
        <v>1687</v>
      </c>
      <c r="W620" t="s">
        <v>1437</v>
      </c>
    </row>
    <row r="621" spans="1:23" x14ac:dyDescent="0.35">
      <c r="A621">
        <v>14</v>
      </c>
      <c r="B621">
        <v>2129</v>
      </c>
      <c r="C621">
        <v>2129</v>
      </c>
      <c r="D621" t="s">
        <v>23</v>
      </c>
      <c r="E621" t="s">
        <v>28</v>
      </c>
      <c r="F621" t="s">
        <v>243</v>
      </c>
      <c r="G621" t="s">
        <v>409</v>
      </c>
      <c r="H621" t="s">
        <v>410</v>
      </c>
      <c r="I621" t="s">
        <v>23</v>
      </c>
      <c r="J621" t="s">
        <v>434</v>
      </c>
      <c r="K621" t="s">
        <v>453</v>
      </c>
      <c r="L621" t="s">
        <v>1097</v>
      </c>
      <c r="M621">
        <v>2120</v>
      </c>
      <c r="N621" t="s">
        <v>1247</v>
      </c>
      <c r="O621" t="s">
        <v>1253</v>
      </c>
      <c r="P621" t="s">
        <v>21</v>
      </c>
      <c r="Q621" t="s">
        <v>21</v>
      </c>
      <c r="R621" t="s">
        <v>1309</v>
      </c>
      <c r="S621" t="s">
        <v>1309</v>
      </c>
      <c r="T621" t="s">
        <v>410</v>
      </c>
      <c r="U621" t="s">
        <v>1347</v>
      </c>
      <c r="V621" t="s">
        <v>1696</v>
      </c>
      <c r="W621" t="s">
        <v>1498</v>
      </c>
    </row>
    <row r="622" spans="1:23" x14ac:dyDescent="0.35">
      <c r="A622">
        <v>15</v>
      </c>
      <c r="B622">
        <v>2129</v>
      </c>
      <c r="C622">
        <v>2129</v>
      </c>
      <c r="D622" t="s">
        <v>23</v>
      </c>
      <c r="E622" t="s">
        <v>28</v>
      </c>
      <c r="F622" t="s">
        <v>243</v>
      </c>
      <c r="G622" t="s">
        <v>409</v>
      </c>
      <c r="H622" t="s">
        <v>410</v>
      </c>
      <c r="I622" t="s">
        <v>23</v>
      </c>
      <c r="J622" t="s">
        <v>434</v>
      </c>
      <c r="K622" t="s">
        <v>453</v>
      </c>
      <c r="L622" t="s">
        <v>1098</v>
      </c>
      <c r="M622">
        <v>2120</v>
      </c>
      <c r="N622" t="s">
        <v>1247</v>
      </c>
      <c r="O622" t="s">
        <v>1253</v>
      </c>
      <c r="P622" t="s">
        <v>21</v>
      </c>
      <c r="Q622" t="s">
        <v>21</v>
      </c>
      <c r="R622" t="s">
        <v>1302</v>
      </c>
      <c r="S622" t="s">
        <v>1302</v>
      </c>
      <c r="T622" t="s">
        <v>1337</v>
      </c>
      <c r="U622" t="s">
        <v>1347</v>
      </c>
      <c r="V622" t="s">
        <v>1698</v>
      </c>
      <c r="W622" t="s">
        <v>1499</v>
      </c>
    </row>
    <row r="623" spans="1:23" x14ac:dyDescent="0.35">
      <c r="A623">
        <v>16</v>
      </c>
      <c r="B623">
        <v>2130</v>
      </c>
      <c r="C623">
        <v>2130</v>
      </c>
      <c r="D623" t="s">
        <v>23</v>
      </c>
      <c r="E623" t="s">
        <v>201</v>
      </c>
      <c r="F623" t="s">
        <v>362</v>
      </c>
      <c r="G623" t="s">
        <v>409</v>
      </c>
      <c r="H623" t="s">
        <v>410</v>
      </c>
      <c r="I623" t="s">
        <v>23</v>
      </c>
      <c r="J623" t="s">
        <v>434</v>
      </c>
      <c r="K623" t="s">
        <v>453</v>
      </c>
      <c r="L623" t="s">
        <v>1099</v>
      </c>
      <c r="M623">
        <v>2121</v>
      </c>
      <c r="N623" t="s">
        <v>1247</v>
      </c>
      <c r="O623" t="s">
        <v>1253</v>
      </c>
      <c r="P623" t="s">
        <v>21</v>
      </c>
      <c r="Q623" t="s">
        <v>21</v>
      </c>
      <c r="R623" t="s">
        <v>1309</v>
      </c>
      <c r="S623" t="s">
        <v>1309</v>
      </c>
      <c r="T623" t="s">
        <v>410</v>
      </c>
      <c r="U623" t="s">
        <v>1347</v>
      </c>
      <c r="V623" t="s">
        <v>1839</v>
      </c>
      <c r="W623" t="s">
        <v>1498</v>
      </c>
    </row>
    <row r="624" spans="1:23" x14ac:dyDescent="0.35">
      <c r="A624">
        <v>17</v>
      </c>
      <c r="B624">
        <v>2130</v>
      </c>
      <c r="C624">
        <v>2130</v>
      </c>
      <c r="D624" t="s">
        <v>23</v>
      </c>
      <c r="E624" t="s">
        <v>202</v>
      </c>
      <c r="F624" t="s">
        <v>363</v>
      </c>
      <c r="G624" t="s">
        <v>409</v>
      </c>
      <c r="H624" t="s">
        <v>410</v>
      </c>
      <c r="I624" t="s">
        <v>23</v>
      </c>
      <c r="J624" t="s">
        <v>434</v>
      </c>
      <c r="K624" t="s">
        <v>453</v>
      </c>
      <c r="L624" t="s">
        <v>1100</v>
      </c>
      <c r="M624">
        <v>2123</v>
      </c>
      <c r="N624" t="s">
        <v>1247</v>
      </c>
      <c r="O624" t="s">
        <v>1253</v>
      </c>
      <c r="P624" t="s">
        <v>21</v>
      </c>
      <c r="Q624" t="s">
        <v>21</v>
      </c>
      <c r="R624" t="s">
        <v>1309</v>
      </c>
      <c r="S624" t="s">
        <v>1309</v>
      </c>
      <c r="T624" t="s">
        <v>410</v>
      </c>
      <c r="U624" t="s">
        <v>1347</v>
      </c>
      <c r="V624" t="s">
        <v>1839</v>
      </c>
      <c r="W624" t="s">
        <v>1498</v>
      </c>
    </row>
    <row r="625" spans="1:23" x14ac:dyDescent="0.35">
      <c r="A625">
        <v>18</v>
      </c>
      <c r="B625">
        <v>2130</v>
      </c>
      <c r="C625">
        <v>2130</v>
      </c>
      <c r="D625" t="s">
        <v>23</v>
      </c>
      <c r="E625" t="s">
        <v>202</v>
      </c>
      <c r="F625" t="s">
        <v>363</v>
      </c>
      <c r="G625" t="s">
        <v>409</v>
      </c>
      <c r="H625" t="s">
        <v>410</v>
      </c>
      <c r="I625" t="s">
        <v>23</v>
      </c>
      <c r="J625" t="s">
        <v>434</v>
      </c>
      <c r="K625" t="s">
        <v>453</v>
      </c>
      <c r="L625" t="s">
        <v>1101</v>
      </c>
      <c r="M625">
        <v>2123</v>
      </c>
      <c r="N625" t="s">
        <v>1247</v>
      </c>
      <c r="O625" t="s">
        <v>1253</v>
      </c>
      <c r="P625" t="s">
        <v>21</v>
      </c>
      <c r="Q625" t="s">
        <v>21</v>
      </c>
      <c r="R625" t="s">
        <v>1294</v>
      </c>
      <c r="S625" t="s">
        <v>1294</v>
      </c>
      <c r="T625" t="s">
        <v>1340</v>
      </c>
      <c r="U625" t="s">
        <v>1347</v>
      </c>
      <c r="V625" t="s">
        <v>1840</v>
      </c>
      <c r="W625" t="s">
        <v>1577</v>
      </c>
    </row>
    <row r="626" spans="1:23" x14ac:dyDescent="0.35">
      <c r="A626">
        <v>19</v>
      </c>
      <c r="B626">
        <v>2132</v>
      </c>
      <c r="C626">
        <v>2132</v>
      </c>
      <c r="D626" t="s">
        <v>23</v>
      </c>
      <c r="E626" t="s">
        <v>203</v>
      </c>
      <c r="F626" t="s">
        <v>364</v>
      </c>
      <c r="G626" t="s">
        <v>409</v>
      </c>
      <c r="H626" t="s">
        <v>410</v>
      </c>
      <c r="I626" t="s">
        <v>23</v>
      </c>
      <c r="J626" t="s">
        <v>434</v>
      </c>
      <c r="K626" t="s">
        <v>453</v>
      </c>
      <c r="L626" t="s">
        <v>1102</v>
      </c>
      <c r="M626">
        <v>2123</v>
      </c>
      <c r="N626" t="s">
        <v>1247</v>
      </c>
      <c r="O626" t="s">
        <v>1253</v>
      </c>
      <c r="P626" t="s">
        <v>21</v>
      </c>
      <c r="Q626" t="s">
        <v>21</v>
      </c>
      <c r="R626" t="s">
        <v>1309</v>
      </c>
      <c r="S626" t="s">
        <v>1309</v>
      </c>
      <c r="T626" t="s">
        <v>410</v>
      </c>
      <c r="U626" t="s">
        <v>1347</v>
      </c>
      <c r="V626" t="s">
        <v>1701</v>
      </c>
      <c r="W626" t="s">
        <v>1504</v>
      </c>
    </row>
    <row r="627" spans="1:23" x14ac:dyDescent="0.35">
      <c r="A627">
        <v>20</v>
      </c>
      <c r="B627">
        <v>2132</v>
      </c>
      <c r="C627">
        <v>2132</v>
      </c>
      <c r="D627" t="s">
        <v>23</v>
      </c>
      <c r="E627" t="s">
        <v>204</v>
      </c>
      <c r="F627" t="s">
        <v>365</v>
      </c>
      <c r="G627" t="s">
        <v>409</v>
      </c>
      <c r="H627" t="s">
        <v>410</v>
      </c>
      <c r="I627" t="s">
        <v>23</v>
      </c>
      <c r="J627" t="s">
        <v>434</v>
      </c>
      <c r="K627" t="s">
        <v>453</v>
      </c>
      <c r="L627" t="s">
        <v>1103</v>
      </c>
      <c r="M627">
        <v>2124</v>
      </c>
      <c r="N627" t="s">
        <v>1247</v>
      </c>
      <c r="O627" t="s">
        <v>1253</v>
      </c>
      <c r="P627" t="s">
        <v>21</v>
      </c>
      <c r="Q627" t="s">
        <v>21</v>
      </c>
      <c r="R627" t="s">
        <v>1311</v>
      </c>
      <c r="S627" t="s">
        <v>1268</v>
      </c>
      <c r="T627" t="s">
        <v>1336</v>
      </c>
      <c r="U627" t="s">
        <v>1347</v>
      </c>
      <c r="V627" t="s">
        <v>1703</v>
      </c>
      <c r="W627" t="s">
        <v>1506</v>
      </c>
    </row>
    <row r="628" spans="1:23" x14ac:dyDescent="0.35">
      <c r="A628">
        <v>21</v>
      </c>
      <c r="B628">
        <v>2133</v>
      </c>
      <c r="C628">
        <v>2133</v>
      </c>
      <c r="D628" t="s">
        <v>23</v>
      </c>
      <c r="E628" t="s">
        <v>106</v>
      </c>
      <c r="F628" t="s">
        <v>366</v>
      </c>
      <c r="G628" t="s">
        <v>409</v>
      </c>
      <c r="H628" t="s">
        <v>410</v>
      </c>
      <c r="I628" t="s">
        <v>23</v>
      </c>
      <c r="J628" t="s">
        <v>434</v>
      </c>
      <c r="K628" t="s">
        <v>453</v>
      </c>
      <c r="L628" t="s">
        <v>1104</v>
      </c>
      <c r="M628">
        <v>2124</v>
      </c>
      <c r="N628" t="s">
        <v>1247</v>
      </c>
      <c r="O628" t="s">
        <v>1253</v>
      </c>
      <c r="P628" t="s">
        <v>21</v>
      </c>
      <c r="Q628" t="s">
        <v>21</v>
      </c>
      <c r="R628" t="s">
        <v>1309</v>
      </c>
      <c r="S628" t="s">
        <v>1309</v>
      </c>
      <c r="T628" t="s">
        <v>410</v>
      </c>
      <c r="U628" t="s">
        <v>1347</v>
      </c>
      <c r="V628" t="s">
        <v>1710</v>
      </c>
      <c r="W628" t="s">
        <v>1504</v>
      </c>
    </row>
    <row r="629" spans="1:23" x14ac:dyDescent="0.35">
      <c r="A629">
        <v>1</v>
      </c>
      <c r="B629">
        <v>2130</v>
      </c>
      <c r="C629">
        <v>2130</v>
      </c>
      <c r="D629" t="s">
        <v>23</v>
      </c>
      <c r="E629" t="s">
        <v>180</v>
      </c>
      <c r="F629" t="s">
        <v>336</v>
      </c>
      <c r="G629" t="s">
        <v>409</v>
      </c>
      <c r="H629" t="s">
        <v>410</v>
      </c>
      <c r="I629" t="s">
        <v>23</v>
      </c>
      <c r="J629" t="s">
        <v>438</v>
      </c>
      <c r="K629" t="s">
        <v>457</v>
      </c>
      <c r="L629" t="s">
        <v>1105</v>
      </c>
      <c r="M629">
        <v>2121</v>
      </c>
      <c r="N629" t="s">
        <v>1248</v>
      </c>
      <c r="O629" t="s">
        <v>1253</v>
      </c>
      <c r="P629" t="s">
        <v>21</v>
      </c>
      <c r="Q629" t="s">
        <v>21</v>
      </c>
      <c r="R629" t="s">
        <v>1327</v>
      </c>
      <c r="S629" t="s">
        <v>1327</v>
      </c>
      <c r="T629" t="s">
        <v>1339</v>
      </c>
      <c r="U629" t="s">
        <v>1347</v>
      </c>
      <c r="V629" t="s">
        <v>1841</v>
      </c>
      <c r="W629" t="s">
        <v>1578</v>
      </c>
    </row>
    <row r="630" spans="1:23" x14ac:dyDescent="0.35">
      <c r="A630">
        <v>1</v>
      </c>
      <c r="B630">
        <v>2118</v>
      </c>
      <c r="C630">
        <v>2118</v>
      </c>
      <c r="D630" t="s">
        <v>21</v>
      </c>
      <c r="E630" t="s">
        <v>75</v>
      </c>
      <c r="F630" t="s">
        <v>367</v>
      </c>
      <c r="G630" t="s">
        <v>409</v>
      </c>
      <c r="H630" t="s">
        <v>410</v>
      </c>
      <c r="I630" t="s">
        <v>21</v>
      </c>
      <c r="J630" t="s">
        <v>435</v>
      </c>
      <c r="K630" t="s">
        <v>454</v>
      </c>
      <c r="L630" t="s">
        <v>1106</v>
      </c>
      <c r="M630">
        <v>2114</v>
      </c>
      <c r="N630" t="s">
        <v>1249</v>
      </c>
      <c r="O630" t="s">
        <v>1253</v>
      </c>
      <c r="P630" t="s">
        <v>21</v>
      </c>
      <c r="Q630" t="s">
        <v>21</v>
      </c>
      <c r="R630" t="s">
        <v>1302</v>
      </c>
      <c r="S630" t="s">
        <v>1302</v>
      </c>
      <c r="T630" t="s">
        <v>1337</v>
      </c>
      <c r="U630" t="s">
        <v>1347</v>
      </c>
      <c r="V630" t="s">
        <v>1842</v>
      </c>
      <c r="W630" t="s">
        <v>1575</v>
      </c>
    </row>
    <row r="631" spans="1:23" x14ac:dyDescent="0.35">
      <c r="A631">
        <v>2</v>
      </c>
      <c r="B631">
        <v>2118</v>
      </c>
      <c r="C631">
        <v>2118</v>
      </c>
      <c r="D631" t="s">
        <v>21</v>
      </c>
      <c r="E631" t="s">
        <v>205</v>
      </c>
      <c r="F631" t="s">
        <v>368</v>
      </c>
      <c r="G631" t="s">
        <v>409</v>
      </c>
      <c r="H631" t="s">
        <v>410</v>
      </c>
      <c r="I631" t="s">
        <v>21</v>
      </c>
      <c r="J631" t="s">
        <v>435</v>
      </c>
      <c r="K631" t="s">
        <v>454</v>
      </c>
      <c r="L631" t="s">
        <v>1107</v>
      </c>
      <c r="M631">
        <v>2114</v>
      </c>
      <c r="N631" t="s">
        <v>1249</v>
      </c>
      <c r="O631" t="s">
        <v>1253</v>
      </c>
      <c r="P631" t="s">
        <v>21</v>
      </c>
      <c r="Q631" t="s">
        <v>21</v>
      </c>
      <c r="R631" t="s">
        <v>1298</v>
      </c>
      <c r="S631" t="s">
        <v>1298</v>
      </c>
      <c r="T631" t="s">
        <v>410</v>
      </c>
      <c r="U631" t="s">
        <v>1347</v>
      </c>
      <c r="V631" t="s">
        <v>1661</v>
      </c>
      <c r="W631" t="s">
        <v>1478</v>
      </c>
    </row>
    <row r="632" spans="1:23" x14ac:dyDescent="0.35">
      <c r="A632">
        <v>3</v>
      </c>
      <c r="B632">
        <v>2118</v>
      </c>
      <c r="C632">
        <v>2118</v>
      </c>
      <c r="D632" t="s">
        <v>21</v>
      </c>
      <c r="E632" t="s">
        <v>206</v>
      </c>
      <c r="F632" t="s">
        <v>369</v>
      </c>
      <c r="G632" t="s">
        <v>409</v>
      </c>
      <c r="H632" t="s">
        <v>410</v>
      </c>
      <c r="I632" t="s">
        <v>21</v>
      </c>
      <c r="J632" t="s">
        <v>435</v>
      </c>
      <c r="K632" t="s">
        <v>454</v>
      </c>
      <c r="L632" t="s">
        <v>1108</v>
      </c>
      <c r="M632">
        <v>2115</v>
      </c>
      <c r="N632" t="s">
        <v>1249</v>
      </c>
      <c r="O632" t="s">
        <v>1253</v>
      </c>
      <c r="P632" t="s">
        <v>21</v>
      </c>
      <c r="Q632" t="s">
        <v>21</v>
      </c>
      <c r="R632" t="s">
        <v>1308</v>
      </c>
      <c r="S632" t="s">
        <v>1308</v>
      </c>
      <c r="T632" t="s">
        <v>1346</v>
      </c>
      <c r="U632" t="s">
        <v>1347</v>
      </c>
      <c r="V632" t="s">
        <v>1843</v>
      </c>
      <c r="W632" t="s">
        <v>1579</v>
      </c>
    </row>
    <row r="633" spans="1:23" x14ac:dyDescent="0.35">
      <c r="A633">
        <v>4</v>
      </c>
      <c r="B633">
        <v>2121</v>
      </c>
      <c r="C633">
        <v>2121</v>
      </c>
      <c r="D633" t="s">
        <v>21</v>
      </c>
      <c r="E633" t="s">
        <v>82</v>
      </c>
      <c r="F633" t="s">
        <v>319</v>
      </c>
      <c r="G633" t="s">
        <v>409</v>
      </c>
      <c r="H633" t="s">
        <v>410</v>
      </c>
      <c r="I633" t="s">
        <v>21</v>
      </c>
      <c r="J633" t="s">
        <v>435</v>
      </c>
      <c r="K633" t="s">
        <v>454</v>
      </c>
      <c r="L633" t="s">
        <v>1109</v>
      </c>
      <c r="M633">
        <v>2116</v>
      </c>
      <c r="N633" t="s">
        <v>1249</v>
      </c>
      <c r="O633" t="s">
        <v>1253</v>
      </c>
      <c r="P633" t="s">
        <v>21</v>
      </c>
      <c r="Q633" t="s">
        <v>21</v>
      </c>
      <c r="R633" t="s">
        <v>1311</v>
      </c>
      <c r="S633" t="s">
        <v>1318</v>
      </c>
      <c r="T633" t="s">
        <v>1341</v>
      </c>
      <c r="U633" t="s">
        <v>1347</v>
      </c>
      <c r="V633" t="s">
        <v>1666</v>
      </c>
      <c r="W633" t="s">
        <v>1483</v>
      </c>
    </row>
    <row r="634" spans="1:23" x14ac:dyDescent="0.35">
      <c r="A634">
        <v>5</v>
      </c>
      <c r="B634">
        <v>2123</v>
      </c>
      <c r="C634">
        <v>2123</v>
      </c>
      <c r="D634" t="s">
        <v>21</v>
      </c>
      <c r="E634" t="s">
        <v>207</v>
      </c>
      <c r="F634" t="s">
        <v>370</v>
      </c>
      <c r="G634" t="s">
        <v>409</v>
      </c>
      <c r="H634" t="s">
        <v>410</v>
      </c>
      <c r="I634" t="s">
        <v>21</v>
      </c>
      <c r="J634" t="s">
        <v>435</v>
      </c>
      <c r="K634" t="s">
        <v>454</v>
      </c>
      <c r="L634" t="s">
        <v>1110</v>
      </c>
      <c r="M634">
        <v>2119</v>
      </c>
      <c r="N634" t="s">
        <v>1249</v>
      </c>
      <c r="O634" t="s">
        <v>1253</v>
      </c>
      <c r="P634" t="s">
        <v>21</v>
      </c>
      <c r="Q634" t="s">
        <v>21</v>
      </c>
      <c r="R634" t="s">
        <v>1255</v>
      </c>
      <c r="S634" t="s">
        <v>1255</v>
      </c>
      <c r="T634" t="s">
        <v>1278</v>
      </c>
      <c r="U634" t="s">
        <v>1347</v>
      </c>
      <c r="V634" t="s">
        <v>1598</v>
      </c>
      <c r="W634" t="s">
        <v>1437</v>
      </c>
    </row>
    <row r="635" spans="1:23" x14ac:dyDescent="0.35">
      <c r="A635">
        <v>6</v>
      </c>
      <c r="B635">
        <v>2124</v>
      </c>
      <c r="C635">
        <v>2124</v>
      </c>
      <c r="D635" t="s">
        <v>21</v>
      </c>
      <c r="E635" t="s">
        <v>208</v>
      </c>
      <c r="F635" t="s">
        <v>371</v>
      </c>
      <c r="G635" t="s">
        <v>409</v>
      </c>
      <c r="H635" t="s">
        <v>410</v>
      </c>
      <c r="I635" t="s">
        <v>21</v>
      </c>
      <c r="J635" t="s">
        <v>435</v>
      </c>
      <c r="K635" t="s">
        <v>454</v>
      </c>
      <c r="L635" t="s">
        <v>1111</v>
      </c>
      <c r="M635">
        <v>2117</v>
      </c>
      <c r="N635" t="s">
        <v>1249</v>
      </c>
      <c r="O635" t="s">
        <v>1253</v>
      </c>
      <c r="P635" t="s">
        <v>21</v>
      </c>
      <c r="Q635" t="s">
        <v>21</v>
      </c>
      <c r="R635" t="s">
        <v>1323</v>
      </c>
      <c r="S635" t="s">
        <v>1331</v>
      </c>
      <c r="T635" t="s">
        <v>1341</v>
      </c>
      <c r="U635" t="s">
        <v>1347</v>
      </c>
      <c r="V635" t="s">
        <v>1844</v>
      </c>
      <c r="W635" t="s">
        <v>1570</v>
      </c>
    </row>
    <row r="636" spans="1:23" x14ac:dyDescent="0.35">
      <c r="A636">
        <v>7</v>
      </c>
      <c r="B636">
        <v>2124</v>
      </c>
      <c r="C636">
        <v>2124</v>
      </c>
      <c r="D636" t="s">
        <v>21</v>
      </c>
      <c r="E636" t="s">
        <v>208</v>
      </c>
      <c r="F636" t="s">
        <v>371</v>
      </c>
      <c r="G636" t="s">
        <v>409</v>
      </c>
      <c r="H636" t="s">
        <v>410</v>
      </c>
      <c r="I636" t="s">
        <v>21</v>
      </c>
      <c r="J636" t="s">
        <v>435</v>
      </c>
      <c r="K636" t="s">
        <v>454</v>
      </c>
      <c r="L636" t="s">
        <v>1112</v>
      </c>
      <c r="M636">
        <v>2117</v>
      </c>
      <c r="N636" t="s">
        <v>1249</v>
      </c>
      <c r="O636" t="s">
        <v>1253</v>
      </c>
      <c r="P636" t="s">
        <v>21</v>
      </c>
      <c r="Q636" t="s">
        <v>21</v>
      </c>
      <c r="R636" t="s">
        <v>1309</v>
      </c>
      <c r="S636" t="s">
        <v>1309</v>
      </c>
      <c r="T636" t="s">
        <v>410</v>
      </c>
      <c r="U636" t="s">
        <v>1347</v>
      </c>
      <c r="V636" t="s">
        <v>1845</v>
      </c>
      <c r="W636" t="s">
        <v>1438</v>
      </c>
    </row>
    <row r="637" spans="1:23" x14ac:dyDescent="0.35">
      <c r="A637">
        <v>8</v>
      </c>
      <c r="B637">
        <v>2128</v>
      </c>
      <c r="C637">
        <v>2128</v>
      </c>
      <c r="D637" t="s">
        <v>21</v>
      </c>
      <c r="E637" t="s">
        <v>98</v>
      </c>
      <c r="F637" t="s">
        <v>372</v>
      </c>
      <c r="G637" t="s">
        <v>409</v>
      </c>
      <c r="H637" t="s">
        <v>410</v>
      </c>
      <c r="I637" t="s">
        <v>21</v>
      </c>
      <c r="J637" t="s">
        <v>435</v>
      </c>
      <c r="K637" t="s">
        <v>454</v>
      </c>
      <c r="L637" t="s">
        <v>1113</v>
      </c>
      <c r="M637">
        <v>2120</v>
      </c>
      <c r="N637" t="s">
        <v>1249</v>
      </c>
      <c r="O637" t="s">
        <v>1253</v>
      </c>
      <c r="P637" t="s">
        <v>21</v>
      </c>
      <c r="Q637" t="s">
        <v>21</v>
      </c>
      <c r="R637" t="s">
        <v>1309</v>
      </c>
      <c r="S637" t="s">
        <v>1309</v>
      </c>
      <c r="T637" t="s">
        <v>410</v>
      </c>
      <c r="U637" t="s">
        <v>1347</v>
      </c>
      <c r="V637" t="s">
        <v>1692</v>
      </c>
      <c r="W637" t="s">
        <v>1498</v>
      </c>
    </row>
    <row r="638" spans="1:23" x14ac:dyDescent="0.35">
      <c r="A638">
        <v>9</v>
      </c>
      <c r="B638">
        <v>2130</v>
      </c>
      <c r="C638">
        <v>2130</v>
      </c>
      <c r="D638" t="s">
        <v>21</v>
      </c>
      <c r="E638" t="s">
        <v>201</v>
      </c>
      <c r="F638" t="s">
        <v>362</v>
      </c>
      <c r="G638" t="s">
        <v>409</v>
      </c>
      <c r="H638" t="s">
        <v>410</v>
      </c>
      <c r="I638" t="s">
        <v>21</v>
      </c>
      <c r="J638" t="s">
        <v>435</v>
      </c>
      <c r="K638" t="s">
        <v>454</v>
      </c>
      <c r="L638" t="s">
        <v>1114</v>
      </c>
      <c r="M638">
        <v>2121</v>
      </c>
      <c r="N638" t="s">
        <v>1249</v>
      </c>
      <c r="O638" t="s">
        <v>1253</v>
      </c>
      <c r="P638" t="s">
        <v>21</v>
      </c>
      <c r="Q638" t="s">
        <v>21</v>
      </c>
      <c r="R638" t="s">
        <v>1309</v>
      </c>
      <c r="S638" t="s">
        <v>1309</v>
      </c>
      <c r="T638" t="s">
        <v>410</v>
      </c>
      <c r="U638" t="s">
        <v>1347</v>
      </c>
      <c r="V638" t="s">
        <v>1839</v>
      </c>
      <c r="W638" t="s">
        <v>1498</v>
      </c>
    </row>
    <row r="639" spans="1:23" x14ac:dyDescent="0.35">
      <c r="A639">
        <v>10</v>
      </c>
      <c r="B639">
        <v>2131</v>
      </c>
      <c r="C639">
        <v>2131</v>
      </c>
      <c r="D639" t="s">
        <v>21</v>
      </c>
      <c r="E639" t="s">
        <v>209</v>
      </c>
      <c r="F639" t="s">
        <v>373</v>
      </c>
      <c r="G639" t="s">
        <v>409</v>
      </c>
      <c r="H639" t="s">
        <v>410</v>
      </c>
      <c r="I639" t="s">
        <v>21</v>
      </c>
      <c r="J639" t="s">
        <v>435</v>
      </c>
      <c r="K639" t="s">
        <v>454</v>
      </c>
      <c r="L639" t="s">
        <v>1115</v>
      </c>
      <c r="M639">
        <v>2123</v>
      </c>
      <c r="N639" t="s">
        <v>1249</v>
      </c>
      <c r="O639" t="s">
        <v>1253</v>
      </c>
      <c r="P639" t="s">
        <v>21</v>
      </c>
      <c r="Q639" t="s">
        <v>21</v>
      </c>
      <c r="R639" t="s">
        <v>1302</v>
      </c>
      <c r="S639" t="s">
        <v>1302</v>
      </c>
      <c r="T639" t="s">
        <v>1337</v>
      </c>
      <c r="U639" t="s">
        <v>1347</v>
      </c>
      <c r="V639" t="s">
        <v>1846</v>
      </c>
      <c r="W639" t="s">
        <v>1499</v>
      </c>
    </row>
    <row r="640" spans="1:23" x14ac:dyDescent="0.35">
      <c r="A640">
        <v>11</v>
      </c>
      <c r="B640">
        <v>2131</v>
      </c>
      <c r="C640">
        <v>2132</v>
      </c>
      <c r="D640" t="s">
        <v>21</v>
      </c>
      <c r="E640" t="s">
        <v>104</v>
      </c>
      <c r="F640" t="s">
        <v>373</v>
      </c>
      <c r="G640" t="s">
        <v>409</v>
      </c>
      <c r="H640" t="s">
        <v>410</v>
      </c>
      <c r="I640" t="s">
        <v>21</v>
      </c>
      <c r="J640" t="s">
        <v>435</v>
      </c>
      <c r="K640" t="s">
        <v>454</v>
      </c>
      <c r="L640" t="s">
        <v>1116</v>
      </c>
      <c r="M640">
        <v>2123</v>
      </c>
      <c r="N640" t="s">
        <v>1249</v>
      </c>
      <c r="O640" t="s">
        <v>1253</v>
      </c>
      <c r="P640" t="s">
        <v>21</v>
      </c>
      <c r="Q640" t="s">
        <v>21</v>
      </c>
      <c r="R640" t="s">
        <v>1309</v>
      </c>
      <c r="S640" t="s">
        <v>1309</v>
      </c>
      <c r="T640" t="s">
        <v>410</v>
      </c>
      <c r="U640" t="s">
        <v>1347</v>
      </c>
      <c r="V640" t="s">
        <v>1809</v>
      </c>
      <c r="W640" t="s">
        <v>1498</v>
      </c>
    </row>
    <row r="641" spans="1:23" x14ac:dyDescent="0.35">
      <c r="A641">
        <v>12</v>
      </c>
      <c r="B641">
        <v>2131</v>
      </c>
      <c r="C641">
        <v>2132</v>
      </c>
      <c r="D641" t="s">
        <v>21</v>
      </c>
      <c r="E641" t="s">
        <v>104</v>
      </c>
      <c r="F641" t="s">
        <v>373</v>
      </c>
      <c r="G641" t="s">
        <v>409</v>
      </c>
      <c r="H641" t="s">
        <v>410</v>
      </c>
      <c r="I641" t="s">
        <v>21</v>
      </c>
      <c r="J641" t="s">
        <v>435</v>
      </c>
      <c r="K641" t="s">
        <v>454</v>
      </c>
      <c r="L641" t="s">
        <v>1117</v>
      </c>
      <c r="M641">
        <v>2122</v>
      </c>
      <c r="N641" t="s">
        <v>1249</v>
      </c>
      <c r="O641" t="s">
        <v>1253</v>
      </c>
      <c r="P641" t="s">
        <v>21</v>
      </c>
      <c r="Q641" t="s">
        <v>21</v>
      </c>
      <c r="R641" t="s">
        <v>1278</v>
      </c>
      <c r="S641" t="s">
        <v>1278</v>
      </c>
      <c r="T641" t="s">
        <v>1278</v>
      </c>
      <c r="U641" t="s">
        <v>1347</v>
      </c>
      <c r="V641" t="s">
        <v>1847</v>
      </c>
      <c r="W641" t="s">
        <v>1440</v>
      </c>
    </row>
    <row r="642" spans="1:23" x14ac:dyDescent="0.35">
      <c r="A642">
        <v>1</v>
      </c>
      <c r="B642">
        <v>2120</v>
      </c>
      <c r="C642">
        <v>2120</v>
      </c>
      <c r="D642" t="s">
        <v>21</v>
      </c>
      <c r="E642" t="s">
        <v>210</v>
      </c>
      <c r="F642" t="s">
        <v>374</v>
      </c>
      <c r="G642" t="s">
        <v>409</v>
      </c>
      <c r="H642" t="s">
        <v>410</v>
      </c>
      <c r="I642" t="s">
        <v>21</v>
      </c>
      <c r="J642" t="s">
        <v>448</v>
      </c>
      <c r="K642" t="s">
        <v>492</v>
      </c>
      <c r="L642" t="s">
        <v>1118</v>
      </c>
      <c r="M642">
        <v>2115</v>
      </c>
      <c r="N642" t="s">
        <v>1250</v>
      </c>
      <c r="O642" t="s">
        <v>1253</v>
      </c>
      <c r="P642" t="s">
        <v>21</v>
      </c>
      <c r="Q642" t="s">
        <v>21</v>
      </c>
      <c r="R642" t="s">
        <v>1304</v>
      </c>
      <c r="S642" t="s">
        <v>1304</v>
      </c>
      <c r="T642" t="s">
        <v>1339</v>
      </c>
      <c r="U642" t="s">
        <v>1347</v>
      </c>
      <c r="V642" t="s">
        <v>1848</v>
      </c>
      <c r="W642" t="s">
        <v>1580</v>
      </c>
    </row>
    <row r="643" spans="1:23" x14ac:dyDescent="0.35">
      <c r="A643">
        <v>2</v>
      </c>
      <c r="B643">
        <v>2120</v>
      </c>
      <c r="C643">
        <v>2122</v>
      </c>
      <c r="D643" t="s">
        <v>21</v>
      </c>
      <c r="E643" t="s">
        <v>184</v>
      </c>
      <c r="F643" t="s">
        <v>374</v>
      </c>
      <c r="G643" t="s">
        <v>409</v>
      </c>
      <c r="H643" t="s">
        <v>410</v>
      </c>
      <c r="I643" t="s">
        <v>21</v>
      </c>
      <c r="J643" t="s">
        <v>448</v>
      </c>
      <c r="K643" t="s">
        <v>492</v>
      </c>
      <c r="L643" t="s">
        <v>1119</v>
      </c>
      <c r="M643">
        <v>2116</v>
      </c>
      <c r="N643" t="s">
        <v>1250</v>
      </c>
      <c r="O643" t="s">
        <v>1253</v>
      </c>
      <c r="P643" t="s">
        <v>21</v>
      </c>
      <c r="Q643" t="s">
        <v>21</v>
      </c>
      <c r="R643" t="s">
        <v>1311</v>
      </c>
      <c r="S643" t="s">
        <v>1318</v>
      </c>
      <c r="T643" t="s">
        <v>1341</v>
      </c>
      <c r="U643" t="s">
        <v>1347</v>
      </c>
      <c r="V643" t="s">
        <v>1849</v>
      </c>
      <c r="W643" t="s">
        <v>1483</v>
      </c>
    </row>
    <row r="644" spans="1:23" x14ac:dyDescent="0.35">
      <c r="A644">
        <v>3</v>
      </c>
      <c r="B644">
        <v>2123</v>
      </c>
      <c r="C644">
        <v>2123</v>
      </c>
      <c r="D644" t="s">
        <v>21</v>
      </c>
      <c r="E644" t="s">
        <v>32</v>
      </c>
      <c r="F644" t="s">
        <v>247</v>
      </c>
      <c r="G644" t="s">
        <v>409</v>
      </c>
      <c r="H644" t="s">
        <v>410</v>
      </c>
      <c r="I644" t="s">
        <v>21</v>
      </c>
      <c r="J644" t="s">
        <v>448</v>
      </c>
      <c r="K644" t="s">
        <v>492</v>
      </c>
      <c r="L644" t="s">
        <v>1120</v>
      </c>
      <c r="M644">
        <v>2117</v>
      </c>
      <c r="N644" t="s">
        <v>1250</v>
      </c>
      <c r="O644" t="s">
        <v>1253</v>
      </c>
      <c r="P644" t="s">
        <v>21</v>
      </c>
      <c r="Q644" t="s">
        <v>21</v>
      </c>
      <c r="R644" t="s">
        <v>1323</v>
      </c>
      <c r="S644" t="s">
        <v>1331</v>
      </c>
      <c r="T644" t="s">
        <v>1341</v>
      </c>
      <c r="U644" t="s">
        <v>1347</v>
      </c>
      <c r="V644" t="s">
        <v>1850</v>
      </c>
      <c r="W644" t="s">
        <v>1570</v>
      </c>
    </row>
    <row r="645" spans="1:23" x14ac:dyDescent="0.35">
      <c r="A645">
        <v>4</v>
      </c>
      <c r="B645">
        <v>2123</v>
      </c>
      <c r="C645">
        <v>2123</v>
      </c>
      <c r="D645" t="s">
        <v>21</v>
      </c>
      <c r="E645" t="s">
        <v>86</v>
      </c>
      <c r="F645" t="s">
        <v>265</v>
      </c>
      <c r="G645" t="s">
        <v>409</v>
      </c>
      <c r="H645" t="s">
        <v>410</v>
      </c>
      <c r="I645" t="s">
        <v>21</v>
      </c>
      <c r="J645" t="s">
        <v>448</v>
      </c>
      <c r="K645" t="s">
        <v>492</v>
      </c>
      <c r="L645" t="s">
        <v>1121</v>
      </c>
      <c r="M645">
        <v>2118</v>
      </c>
      <c r="N645" t="s">
        <v>1250</v>
      </c>
      <c r="O645" t="s">
        <v>1253</v>
      </c>
      <c r="P645" t="s">
        <v>21</v>
      </c>
      <c r="Q645" t="s">
        <v>21</v>
      </c>
      <c r="R645" t="s">
        <v>1302</v>
      </c>
      <c r="S645" t="s">
        <v>1302</v>
      </c>
      <c r="T645" t="s">
        <v>1337</v>
      </c>
      <c r="U645" t="s">
        <v>1347</v>
      </c>
      <c r="V645" t="s">
        <v>1851</v>
      </c>
      <c r="W645" t="s">
        <v>1496</v>
      </c>
    </row>
    <row r="646" spans="1:23" x14ac:dyDescent="0.35">
      <c r="A646">
        <v>5</v>
      </c>
      <c r="B646">
        <v>2128</v>
      </c>
      <c r="C646">
        <v>2128</v>
      </c>
      <c r="D646" t="s">
        <v>21</v>
      </c>
      <c r="E646" t="s">
        <v>98</v>
      </c>
      <c r="F646" t="s">
        <v>372</v>
      </c>
      <c r="G646" t="s">
        <v>409</v>
      </c>
      <c r="H646" t="s">
        <v>410</v>
      </c>
      <c r="I646" t="s">
        <v>21</v>
      </c>
      <c r="J646" t="s">
        <v>448</v>
      </c>
      <c r="K646" t="s">
        <v>492</v>
      </c>
      <c r="L646" t="s">
        <v>1122</v>
      </c>
      <c r="M646">
        <v>2118</v>
      </c>
      <c r="N646" t="s">
        <v>1250</v>
      </c>
      <c r="O646" t="s">
        <v>1253</v>
      </c>
      <c r="P646" t="s">
        <v>21</v>
      </c>
      <c r="Q646" t="s">
        <v>21</v>
      </c>
      <c r="R646" t="s">
        <v>1309</v>
      </c>
      <c r="S646" t="s">
        <v>1309</v>
      </c>
      <c r="T646" t="s">
        <v>410</v>
      </c>
      <c r="U646" t="s">
        <v>1347</v>
      </c>
      <c r="V646" t="s">
        <v>1692</v>
      </c>
      <c r="W646" t="s">
        <v>1498</v>
      </c>
    </row>
    <row r="647" spans="1:23" x14ac:dyDescent="0.35">
      <c r="A647">
        <v>6</v>
      </c>
      <c r="B647">
        <v>2128</v>
      </c>
      <c r="C647">
        <v>2130</v>
      </c>
      <c r="D647" t="s">
        <v>21</v>
      </c>
      <c r="E647" t="s">
        <v>211</v>
      </c>
      <c r="F647" t="s">
        <v>372</v>
      </c>
      <c r="G647" t="s">
        <v>409</v>
      </c>
      <c r="H647" t="s">
        <v>410</v>
      </c>
      <c r="I647" t="s">
        <v>21</v>
      </c>
      <c r="J647" t="s">
        <v>448</v>
      </c>
      <c r="K647" t="s">
        <v>492</v>
      </c>
      <c r="L647" t="s">
        <v>1123</v>
      </c>
      <c r="M647">
        <v>2120</v>
      </c>
      <c r="N647" t="s">
        <v>1250</v>
      </c>
      <c r="O647" t="s">
        <v>1253</v>
      </c>
      <c r="P647" t="s">
        <v>21</v>
      </c>
      <c r="Q647" t="s">
        <v>21</v>
      </c>
      <c r="R647" t="s">
        <v>1312</v>
      </c>
      <c r="S647" t="s">
        <v>1312</v>
      </c>
      <c r="T647" t="s">
        <v>410</v>
      </c>
      <c r="U647" t="s">
        <v>1347</v>
      </c>
      <c r="V647" t="s">
        <v>1692</v>
      </c>
      <c r="W647" t="s">
        <v>1498</v>
      </c>
    </row>
    <row r="648" spans="1:23" x14ac:dyDescent="0.35">
      <c r="A648">
        <v>7</v>
      </c>
      <c r="B648">
        <v>2132</v>
      </c>
      <c r="C648">
        <v>2132</v>
      </c>
      <c r="D648" t="s">
        <v>21</v>
      </c>
      <c r="E648" t="s">
        <v>34</v>
      </c>
      <c r="F648" t="s">
        <v>375</v>
      </c>
      <c r="G648" t="s">
        <v>409</v>
      </c>
      <c r="H648" t="s">
        <v>410</v>
      </c>
      <c r="I648" t="s">
        <v>21</v>
      </c>
      <c r="J648" t="s">
        <v>448</v>
      </c>
      <c r="K648" t="s">
        <v>492</v>
      </c>
      <c r="L648" t="s">
        <v>1124</v>
      </c>
      <c r="M648">
        <v>2125</v>
      </c>
      <c r="N648" t="s">
        <v>1250</v>
      </c>
      <c r="O648" t="s">
        <v>1253</v>
      </c>
      <c r="P648" t="s">
        <v>21</v>
      </c>
      <c r="Q648" t="s">
        <v>21</v>
      </c>
      <c r="R648" t="s">
        <v>1325</v>
      </c>
      <c r="S648" t="s">
        <v>1331</v>
      </c>
      <c r="T648" t="s">
        <v>1341</v>
      </c>
      <c r="U648" t="s">
        <v>1347</v>
      </c>
      <c r="V648" t="s">
        <v>1852</v>
      </c>
      <c r="W648" t="s">
        <v>1581</v>
      </c>
    </row>
    <row r="649" spans="1:23" x14ac:dyDescent="0.35">
      <c r="A649">
        <v>8</v>
      </c>
      <c r="B649">
        <v>2132</v>
      </c>
      <c r="C649">
        <v>2132</v>
      </c>
      <c r="D649" t="s">
        <v>21</v>
      </c>
      <c r="E649" t="s">
        <v>105</v>
      </c>
      <c r="F649" t="s">
        <v>250</v>
      </c>
      <c r="G649" t="s">
        <v>409</v>
      </c>
      <c r="H649" t="s">
        <v>410</v>
      </c>
      <c r="I649" t="s">
        <v>21</v>
      </c>
      <c r="J649" t="s">
        <v>448</v>
      </c>
      <c r="K649" t="s">
        <v>492</v>
      </c>
      <c r="L649" t="s">
        <v>1125</v>
      </c>
      <c r="M649">
        <v>2124</v>
      </c>
      <c r="N649" t="s">
        <v>1250</v>
      </c>
      <c r="O649" t="s">
        <v>1253</v>
      </c>
      <c r="P649" t="s">
        <v>21</v>
      </c>
      <c r="Q649" t="s">
        <v>21</v>
      </c>
      <c r="R649" t="s">
        <v>1268</v>
      </c>
      <c r="S649" t="s">
        <v>1268</v>
      </c>
      <c r="T649" t="s">
        <v>1336</v>
      </c>
      <c r="U649" t="s">
        <v>1347</v>
      </c>
      <c r="V649" t="s">
        <v>1703</v>
      </c>
      <c r="W649" t="s">
        <v>1506</v>
      </c>
    </row>
    <row r="650" spans="1:23" x14ac:dyDescent="0.35">
      <c r="A650">
        <v>9</v>
      </c>
      <c r="B650">
        <v>2133</v>
      </c>
      <c r="C650">
        <v>2133</v>
      </c>
      <c r="D650" t="s">
        <v>21</v>
      </c>
      <c r="E650" t="s">
        <v>109</v>
      </c>
      <c r="F650" t="s">
        <v>376</v>
      </c>
      <c r="G650" t="s">
        <v>409</v>
      </c>
      <c r="H650" t="s">
        <v>410</v>
      </c>
      <c r="I650" t="s">
        <v>21</v>
      </c>
      <c r="J650" t="s">
        <v>448</v>
      </c>
      <c r="K650" t="s">
        <v>492</v>
      </c>
      <c r="L650" t="s">
        <v>1126</v>
      </c>
      <c r="M650">
        <v>2124</v>
      </c>
      <c r="N650" t="s">
        <v>1250</v>
      </c>
      <c r="O650" t="s">
        <v>1253</v>
      </c>
      <c r="P650" t="s">
        <v>21</v>
      </c>
      <c r="Q650" t="s">
        <v>21</v>
      </c>
      <c r="R650" t="s">
        <v>1309</v>
      </c>
      <c r="S650" t="s">
        <v>1309</v>
      </c>
      <c r="T650" t="s">
        <v>410</v>
      </c>
      <c r="U650" t="s">
        <v>1347</v>
      </c>
      <c r="V650" t="s">
        <v>1710</v>
      </c>
      <c r="W650" t="s">
        <v>1504</v>
      </c>
    </row>
    <row r="651" spans="1:23" x14ac:dyDescent="0.35">
      <c r="A651">
        <v>10</v>
      </c>
      <c r="B651">
        <v>2133</v>
      </c>
      <c r="C651">
        <v>2133</v>
      </c>
      <c r="D651" t="s">
        <v>21</v>
      </c>
      <c r="E651" t="s">
        <v>109</v>
      </c>
      <c r="F651" t="s">
        <v>376</v>
      </c>
      <c r="G651" t="s">
        <v>409</v>
      </c>
      <c r="H651" t="s">
        <v>410</v>
      </c>
      <c r="I651" t="s">
        <v>21</v>
      </c>
      <c r="J651" t="s">
        <v>448</v>
      </c>
      <c r="K651" t="s">
        <v>492</v>
      </c>
      <c r="L651" t="s">
        <v>1127</v>
      </c>
      <c r="M651">
        <v>2124</v>
      </c>
      <c r="N651" t="s">
        <v>1250</v>
      </c>
      <c r="O651" t="s">
        <v>1253</v>
      </c>
      <c r="P651" t="s">
        <v>21</v>
      </c>
      <c r="Q651" t="s">
        <v>21</v>
      </c>
      <c r="R651" t="s">
        <v>1273</v>
      </c>
      <c r="S651" t="s">
        <v>1273</v>
      </c>
      <c r="T651" t="s">
        <v>1342</v>
      </c>
      <c r="U651" t="s">
        <v>1347</v>
      </c>
      <c r="V651" t="s">
        <v>1853</v>
      </c>
      <c r="W651" t="s">
        <v>1507</v>
      </c>
    </row>
    <row r="652" spans="1:23" x14ac:dyDescent="0.35">
      <c r="A652">
        <v>6</v>
      </c>
      <c r="B652">
        <v>2007</v>
      </c>
      <c r="C652">
        <v>2007</v>
      </c>
      <c r="D652" t="s">
        <v>23</v>
      </c>
      <c r="E652" t="s">
        <v>212</v>
      </c>
      <c r="F652" t="s">
        <v>377</v>
      </c>
      <c r="G652" t="s">
        <v>409</v>
      </c>
      <c r="H652" t="s">
        <v>410</v>
      </c>
      <c r="I652" t="s">
        <v>23</v>
      </c>
      <c r="J652" t="s">
        <v>442</v>
      </c>
      <c r="K652" t="s">
        <v>493</v>
      </c>
      <c r="L652" t="s">
        <v>1128</v>
      </c>
      <c r="M652">
        <v>1951</v>
      </c>
      <c r="N652" t="s">
        <v>1246</v>
      </c>
      <c r="O652" t="s">
        <v>1253</v>
      </c>
      <c r="P652" t="s">
        <v>21</v>
      </c>
      <c r="Q652" t="s">
        <v>21</v>
      </c>
      <c r="R652" t="s">
        <v>1328</v>
      </c>
      <c r="S652" t="s">
        <v>1268</v>
      </c>
      <c r="T652" t="s">
        <v>1336</v>
      </c>
      <c r="U652" t="s">
        <v>1348</v>
      </c>
      <c r="V652" t="s">
        <v>1854</v>
      </c>
      <c r="W652" t="s">
        <v>1582</v>
      </c>
    </row>
    <row r="653" spans="1:23" x14ac:dyDescent="0.35">
      <c r="A653">
        <v>7</v>
      </c>
      <c r="B653">
        <v>2007</v>
      </c>
      <c r="C653">
        <v>2007</v>
      </c>
      <c r="D653" t="s">
        <v>23</v>
      </c>
      <c r="E653" t="s">
        <v>213</v>
      </c>
      <c r="F653" t="s">
        <v>378</v>
      </c>
      <c r="G653" t="s">
        <v>409</v>
      </c>
      <c r="H653" t="s">
        <v>410</v>
      </c>
      <c r="I653" t="s">
        <v>23</v>
      </c>
      <c r="J653" t="s">
        <v>442</v>
      </c>
      <c r="K653" t="s">
        <v>493</v>
      </c>
      <c r="L653" t="s">
        <v>1129</v>
      </c>
      <c r="M653">
        <v>1951</v>
      </c>
      <c r="N653" t="s">
        <v>1246</v>
      </c>
      <c r="O653" t="s">
        <v>1253</v>
      </c>
      <c r="P653" t="s">
        <v>21</v>
      </c>
      <c r="Q653" t="s">
        <v>21</v>
      </c>
      <c r="R653" t="s">
        <v>1307</v>
      </c>
      <c r="S653" t="s">
        <v>1308</v>
      </c>
      <c r="T653" t="s">
        <v>1346</v>
      </c>
      <c r="U653" t="s">
        <v>1348</v>
      </c>
      <c r="V653" t="s">
        <v>1855</v>
      </c>
      <c r="W653" t="s">
        <v>1583</v>
      </c>
    </row>
    <row r="654" spans="1:23" x14ac:dyDescent="0.35">
      <c r="A654">
        <v>8</v>
      </c>
      <c r="B654">
        <v>2020</v>
      </c>
      <c r="C654">
        <v>2020</v>
      </c>
      <c r="D654" t="s">
        <v>23</v>
      </c>
      <c r="E654" t="s">
        <v>214</v>
      </c>
      <c r="F654" t="s">
        <v>379</v>
      </c>
      <c r="G654" t="s">
        <v>409</v>
      </c>
      <c r="H654" t="s">
        <v>410</v>
      </c>
      <c r="I654" t="s">
        <v>23</v>
      </c>
      <c r="J654" t="s">
        <v>442</v>
      </c>
      <c r="K654" t="s">
        <v>493</v>
      </c>
      <c r="L654" t="s">
        <v>1130</v>
      </c>
      <c r="M654">
        <v>2007</v>
      </c>
      <c r="N654" t="s">
        <v>1246</v>
      </c>
      <c r="O654" t="s">
        <v>1253</v>
      </c>
      <c r="P654" t="s">
        <v>21</v>
      </c>
      <c r="Q654" t="s">
        <v>21</v>
      </c>
      <c r="R654" t="s">
        <v>1309</v>
      </c>
      <c r="S654" t="s">
        <v>1309</v>
      </c>
      <c r="T654" t="s">
        <v>410</v>
      </c>
      <c r="U654" t="s">
        <v>1348</v>
      </c>
      <c r="V654" t="s">
        <v>1856</v>
      </c>
      <c r="W654" t="s">
        <v>1584</v>
      </c>
    </row>
    <row r="655" spans="1:23" x14ac:dyDescent="0.35">
      <c r="A655">
        <v>9</v>
      </c>
      <c r="B655">
        <v>2020</v>
      </c>
      <c r="C655">
        <v>2020</v>
      </c>
      <c r="D655" t="s">
        <v>23</v>
      </c>
      <c r="E655" t="s">
        <v>214</v>
      </c>
      <c r="F655" t="s">
        <v>379</v>
      </c>
      <c r="G655" t="s">
        <v>409</v>
      </c>
      <c r="H655" t="s">
        <v>410</v>
      </c>
      <c r="I655" t="s">
        <v>23</v>
      </c>
      <c r="J655" t="s">
        <v>442</v>
      </c>
      <c r="K655" t="s">
        <v>493</v>
      </c>
      <c r="L655" t="s">
        <v>1131</v>
      </c>
      <c r="M655">
        <v>2007</v>
      </c>
      <c r="N655" t="s">
        <v>1246</v>
      </c>
      <c r="O655" t="s">
        <v>1253</v>
      </c>
      <c r="P655" t="s">
        <v>21</v>
      </c>
      <c r="Q655" t="s">
        <v>21</v>
      </c>
      <c r="R655" t="s">
        <v>1309</v>
      </c>
      <c r="S655" t="s">
        <v>1309</v>
      </c>
      <c r="T655" t="s">
        <v>410</v>
      </c>
      <c r="U655" t="s">
        <v>1348</v>
      </c>
      <c r="V655" t="s">
        <v>1856</v>
      </c>
      <c r="W655" t="s">
        <v>1584</v>
      </c>
    </row>
    <row r="656" spans="1:23" x14ac:dyDescent="0.35">
      <c r="A656">
        <v>10</v>
      </c>
      <c r="B656">
        <v>2021</v>
      </c>
      <c r="C656">
        <v>2021</v>
      </c>
      <c r="D656" t="s">
        <v>23</v>
      </c>
      <c r="E656" t="s">
        <v>215</v>
      </c>
      <c r="F656" t="s">
        <v>380</v>
      </c>
      <c r="G656" t="s">
        <v>409</v>
      </c>
      <c r="H656" t="s">
        <v>410</v>
      </c>
      <c r="I656" t="s">
        <v>23</v>
      </c>
      <c r="J656" t="s">
        <v>442</v>
      </c>
      <c r="K656" t="s">
        <v>493</v>
      </c>
      <c r="L656" t="s">
        <v>1132</v>
      </c>
      <c r="M656">
        <v>2011</v>
      </c>
      <c r="N656" t="s">
        <v>1246</v>
      </c>
      <c r="O656" t="s">
        <v>1253</v>
      </c>
      <c r="P656" t="s">
        <v>21</v>
      </c>
      <c r="Q656" t="s">
        <v>21</v>
      </c>
      <c r="R656" t="s">
        <v>1278</v>
      </c>
      <c r="S656" t="s">
        <v>1278</v>
      </c>
      <c r="T656" t="s">
        <v>1278</v>
      </c>
      <c r="U656" t="s">
        <v>1348</v>
      </c>
      <c r="V656" t="s">
        <v>1857</v>
      </c>
      <c r="W656" t="s">
        <v>1585</v>
      </c>
    </row>
    <row r="657" spans="1:23" x14ac:dyDescent="0.35">
      <c r="A657">
        <v>11</v>
      </c>
      <c r="B657">
        <v>2023</v>
      </c>
      <c r="C657">
        <v>2023</v>
      </c>
      <c r="D657" t="s">
        <v>23</v>
      </c>
      <c r="E657" t="s">
        <v>216</v>
      </c>
      <c r="F657" t="s">
        <v>381</v>
      </c>
      <c r="G657" t="s">
        <v>409</v>
      </c>
      <c r="H657" t="s">
        <v>410</v>
      </c>
      <c r="I657" t="s">
        <v>23</v>
      </c>
      <c r="J657" t="s">
        <v>442</v>
      </c>
      <c r="K657" t="s">
        <v>493</v>
      </c>
      <c r="L657" t="s">
        <v>1133</v>
      </c>
      <c r="M657">
        <v>2011</v>
      </c>
      <c r="N657" t="s">
        <v>1246</v>
      </c>
      <c r="O657" t="s">
        <v>1253</v>
      </c>
      <c r="P657" t="s">
        <v>21</v>
      </c>
      <c r="Q657" t="s">
        <v>21</v>
      </c>
      <c r="R657" t="s">
        <v>1311</v>
      </c>
      <c r="S657" t="s">
        <v>1334</v>
      </c>
      <c r="T657" t="s">
        <v>1341</v>
      </c>
      <c r="U657" t="s">
        <v>1348</v>
      </c>
      <c r="V657" t="s">
        <v>1858</v>
      </c>
      <c r="W657" t="s">
        <v>1586</v>
      </c>
    </row>
    <row r="658" spans="1:23" x14ac:dyDescent="0.35">
      <c r="A658">
        <v>12</v>
      </c>
      <c r="B658">
        <v>2023</v>
      </c>
      <c r="C658">
        <v>2023</v>
      </c>
      <c r="D658" t="s">
        <v>23</v>
      </c>
      <c r="E658" t="s">
        <v>216</v>
      </c>
      <c r="F658" t="s">
        <v>381</v>
      </c>
      <c r="G658" t="s">
        <v>409</v>
      </c>
      <c r="H658" t="s">
        <v>410</v>
      </c>
      <c r="I658" t="s">
        <v>23</v>
      </c>
      <c r="J658" t="s">
        <v>442</v>
      </c>
      <c r="K658" t="s">
        <v>493</v>
      </c>
      <c r="L658" t="s">
        <v>1134</v>
      </c>
      <c r="M658">
        <v>1949</v>
      </c>
      <c r="N658" t="s">
        <v>1246</v>
      </c>
      <c r="O658" t="s">
        <v>1253</v>
      </c>
      <c r="P658" t="s">
        <v>21</v>
      </c>
      <c r="Q658" t="s">
        <v>21</v>
      </c>
      <c r="R658" t="s">
        <v>1311</v>
      </c>
      <c r="S658" t="s">
        <v>1334</v>
      </c>
      <c r="T658" t="s">
        <v>1341</v>
      </c>
      <c r="U658" t="s">
        <v>1348</v>
      </c>
      <c r="V658" t="s">
        <v>1858</v>
      </c>
      <c r="W658" t="s">
        <v>1586</v>
      </c>
    </row>
    <row r="659" spans="1:23" x14ac:dyDescent="0.35">
      <c r="A659">
        <v>13</v>
      </c>
      <c r="B659">
        <v>2023</v>
      </c>
      <c r="C659">
        <v>2023</v>
      </c>
      <c r="D659" t="s">
        <v>23</v>
      </c>
      <c r="E659" t="s">
        <v>216</v>
      </c>
      <c r="F659" t="s">
        <v>381</v>
      </c>
      <c r="G659" t="s">
        <v>409</v>
      </c>
      <c r="H659" t="s">
        <v>410</v>
      </c>
      <c r="I659" t="s">
        <v>23</v>
      </c>
      <c r="J659" t="s">
        <v>442</v>
      </c>
      <c r="K659" t="s">
        <v>493</v>
      </c>
      <c r="L659" t="s">
        <v>1135</v>
      </c>
      <c r="M659">
        <v>2011</v>
      </c>
      <c r="N659" t="s">
        <v>1246</v>
      </c>
      <c r="O659" t="s">
        <v>1253</v>
      </c>
      <c r="P659" t="s">
        <v>21</v>
      </c>
      <c r="Q659" t="s">
        <v>21</v>
      </c>
      <c r="R659" t="s">
        <v>1268</v>
      </c>
      <c r="S659" t="s">
        <v>1268</v>
      </c>
      <c r="T659" t="s">
        <v>1336</v>
      </c>
      <c r="U659" t="s">
        <v>1348</v>
      </c>
      <c r="V659" t="s">
        <v>1718</v>
      </c>
      <c r="W659" t="s">
        <v>1518</v>
      </c>
    </row>
    <row r="660" spans="1:23" x14ac:dyDescent="0.35">
      <c r="A660">
        <v>14</v>
      </c>
      <c r="B660">
        <v>2023</v>
      </c>
      <c r="C660">
        <v>2023</v>
      </c>
      <c r="D660" t="s">
        <v>23</v>
      </c>
      <c r="E660" t="s">
        <v>216</v>
      </c>
      <c r="F660" t="s">
        <v>381</v>
      </c>
      <c r="G660" t="s">
        <v>409</v>
      </c>
      <c r="H660" t="s">
        <v>410</v>
      </c>
      <c r="I660" t="s">
        <v>23</v>
      </c>
      <c r="J660" t="s">
        <v>442</v>
      </c>
      <c r="K660" t="s">
        <v>493</v>
      </c>
      <c r="L660" t="s">
        <v>1136</v>
      </c>
      <c r="M660">
        <v>2011</v>
      </c>
      <c r="N660" t="s">
        <v>1246</v>
      </c>
      <c r="O660" t="s">
        <v>1253</v>
      </c>
      <c r="P660" t="s">
        <v>21</v>
      </c>
      <c r="Q660" t="s">
        <v>21</v>
      </c>
      <c r="R660" t="s">
        <v>1311</v>
      </c>
      <c r="S660" t="s">
        <v>1273</v>
      </c>
      <c r="T660" t="s">
        <v>1342</v>
      </c>
      <c r="U660" t="s">
        <v>1348</v>
      </c>
      <c r="V660" t="s">
        <v>1859</v>
      </c>
      <c r="W660" t="s">
        <v>1587</v>
      </c>
    </row>
    <row r="661" spans="1:23" x14ac:dyDescent="0.35">
      <c r="A661">
        <v>15</v>
      </c>
      <c r="B661">
        <v>2024</v>
      </c>
      <c r="C661">
        <v>2024</v>
      </c>
      <c r="D661" t="s">
        <v>23</v>
      </c>
      <c r="E661" t="s">
        <v>128</v>
      </c>
      <c r="F661" t="s">
        <v>275</v>
      </c>
      <c r="G661" t="s">
        <v>409</v>
      </c>
      <c r="H661" t="s">
        <v>410</v>
      </c>
      <c r="I661" t="s">
        <v>23</v>
      </c>
      <c r="J661" t="s">
        <v>442</v>
      </c>
      <c r="K661" t="s">
        <v>493</v>
      </c>
      <c r="L661" t="s">
        <v>1137</v>
      </c>
      <c r="M661">
        <v>2014</v>
      </c>
      <c r="N661" t="s">
        <v>1246</v>
      </c>
      <c r="O661" t="s">
        <v>1253</v>
      </c>
      <c r="P661" t="s">
        <v>21</v>
      </c>
      <c r="Q661" t="s">
        <v>21</v>
      </c>
      <c r="R661" t="s">
        <v>1254</v>
      </c>
      <c r="S661" t="s">
        <v>1254</v>
      </c>
      <c r="T661" t="s">
        <v>1335</v>
      </c>
      <c r="U661" t="s">
        <v>1348</v>
      </c>
      <c r="V661" t="s">
        <v>1860</v>
      </c>
      <c r="W661" t="s">
        <v>1588</v>
      </c>
    </row>
    <row r="662" spans="1:23" x14ac:dyDescent="0.35">
      <c r="A662">
        <v>16</v>
      </c>
      <c r="B662">
        <v>2024</v>
      </c>
      <c r="C662">
        <v>2024</v>
      </c>
      <c r="D662" t="s">
        <v>23</v>
      </c>
      <c r="E662" t="s">
        <v>128</v>
      </c>
      <c r="F662" t="s">
        <v>275</v>
      </c>
      <c r="G662" t="s">
        <v>409</v>
      </c>
      <c r="H662" t="s">
        <v>410</v>
      </c>
      <c r="I662" t="s">
        <v>23</v>
      </c>
      <c r="J662" t="s">
        <v>442</v>
      </c>
      <c r="K662" t="s">
        <v>493</v>
      </c>
      <c r="L662" t="s">
        <v>1138</v>
      </c>
      <c r="M662">
        <v>2015</v>
      </c>
      <c r="N662" t="s">
        <v>1246</v>
      </c>
      <c r="O662" t="s">
        <v>1253</v>
      </c>
      <c r="P662" t="s">
        <v>21</v>
      </c>
      <c r="Q662" t="s">
        <v>21</v>
      </c>
      <c r="R662" t="s">
        <v>1254</v>
      </c>
      <c r="S662" t="s">
        <v>1254</v>
      </c>
      <c r="T662" t="s">
        <v>1335</v>
      </c>
      <c r="U662" t="s">
        <v>1348</v>
      </c>
      <c r="V662" t="s">
        <v>1860</v>
      </c>
      <c r="W662" t="s">
        <v>1588</v>
      </c>
    </row>
    <row r="663" spans="1:23" x14ac:dyDescent="0.35">
      <c r="A663">
        <v>18</v>
      </c>
      <c r="B663">
        <v>2024</v>
      </c>
      <c r="C663">
        <v>2024</v>
      </c>
      <c r="D663" t="s">
        <v>23</v>
      </c>
      <c r="E663" t="s">
        <v>217</v>
      </c>
      <c r="F663" t="s">
        <v>382</v>
      </c>
      <c r="G663" t="s">
        <v>409</v>
      </c>
      <c r="H663" t="s">
        <v>410</v>
      </c>
      <c r="I663" t="s">
        <v>23</v>
      </c>
      <c r="J663" t="s">
        <v>442</v>
      </c>
      <c r="K663" t="s">
        <v>493</v>
      </c>
      <c r="L663" t="s">
        <v>1139</v>
      </c>
      <c r="M663">
        <v>2015</v>
      </c>
      <c r="N663" t="s">
        <v>1246</v>
      </c>
      <c r="O663" t="s">
        <v>1253</v>
      </c>
      <c r="P663" t="s">
        <v>21</v>
      </c>
      <c r="Q663" t="s">
        <v>21</v>
      </c>
      <c r="R663" t="s">
        <v>1254</v>
      </c>
      <c r="S663" t="s">
        <v>1254</v>
      </c>
      <c r="T663" t="s">
        <v>1335</v>
      </c>
      <c r="U663" t="s">
        <v>1348</v>
      </c>
      <c r="V663" t="s">
        <v>1860</v>
      </c>
      <c r="W663" t="s">
        <v>1588</v>
      </c>
    </row>
    <row r="664" spans="1:23" x14ac:dyDescent="0.35">
      <c r="A664">
        <v>20</v>
      </c>
      <c r="B664">
        <v>2024</v>
      </c>
      <c r="C664">
        <v>2024</v>
      </c>
      <c r="D664" t="s">
        <v>23</v>
      </c>
      <c r="E664" t="s">
        <v>217</v>
      </c>
      <c r="F664" t="s">
        <v>382</v>
      </c>
      <c r="G664" t="s">
        <v>409</v>
      </c>
      <c r="H664" t="s">
        <v>410</v>
      </c>
      <c r="I664" t="s">
        <v>23</v>
      </c>
      <c r="J664" t="s">
        <v>442</v>
      </c>
      <c r="K664" t="s">
        <v>493</v>
      </c>
      <c r="L664" t="s">
        <v>1140</v>
      </c>
      <c r="M664">
        <v>2014</v>
      </c>
      <c r="N664" t="s">
        <v>1246</v>
      </c>
      <c r="O664" t="s">
        <v>1253</v>
      </c>
      <c r="P664" t="s">
        <v>21</v>
      </c>
      <c r="Q664" t="s">
        <v>21</v>
      </c>
      <c r="R664" t="s">
        <v>1254</v>
      </c>
      <c r="S664" t="s">
        <v>1254</v>
      </c>
      <c r="T664" t="s">
        <v>1335</v>
      </c>
      <c r="U664" t="s">
        <v>1348</v>
      </c>
      <c r="V664" t="s">
        <v>1860</v>
      </c>
      <c r="W664" t="s">
        <v>1588</v>
      </c>
    </row>
    <row r="665" spans="1:23" x14ac:dyDescent="0.35">
      <c r="A665">
        <v>19</v>
      </c>
      <c r="B665">
        <v>2024</v>
      </c>
      <c r="C665">
        <v>2024</v>
      </c>
      <c r="D665" t="s">
        <v>23</v>
      </c>
      <c r="E665" t="s">
        <v>217</v>
      </c>
      <c r="F665" t="s">
        <v>382</v>
      </c>
      <c r="G665" t="s">
        <v>409</v>
      </c>
      <c r="H665" t="s">
        <v>410</v>
      </c>
      <c r="I665" t="s">
        <v>23</v>
      </c>
      <c r="J665" t="s">
        <v>442</v>
      </c>
      <c r="K665" t="s">
        <v>493</v>
      </c>
      <c r="L665" t="s">
        <v>1141</v>
      </c>
      <c r="M665">
        <v>2015</v>
      </c>
      <c r="N665" t="s">
        <v>1246</v>
      </c>
      <c r="O665" t="s">
        <v>1253</v>
      </c>
      <c r="P665" t="s">
        <v>21</v>
      </c>
      <c r="Q665" t="s">
        <v>21</v>
      </c>
      <c r="R665" t="s">
        <v>1303</v>
      </c>
      <c r="S665" t="s">
        <v>1303</v>
      </c>
      <c r="T665" t="s">
        <v>410</v>
      </c>
      <c r="U665" t="s">
        <v>1348</v>
      </c>
      <c r="V665" t="s">
        <v>1733</v>
      </c>
      <c r="W665" t="s">
        <v>1530</v>
      </c>
    </row>
    <row r="666" spans="1:23" x14ac:dyDescent="0.35">
      <c r="A666">
        <v>21</v>
      </c>
      <c r="B666">
        <v>2025</v>
      </c>
      <c r="C666">
        <v>2025</v>
      </c>
      <c r="D666" t="s">
        <v>23</v>
      </c>
      <c r="E666" t="s">
        <v>130</v>
      </c>
      <c r="F666" t="s">
        <v>277</v>
      </c>
      <c r="G666" t="s">
        <v>409</v>
      </c>
      <c r="H666" t="s">
        <v>410</v>
      </c>
      <c r="I666" t="s">
        <v>23</v>
      </c>
      <c r="J666" t="s">
        <v>442</v>
      </c>
      <c r="K666" t="s">
        <v>493</v>
      </c>
      <c r="L666" t="s">
        <v>1142</v>
      </c>
      <c r="M666">
        <v>2014</v>
      </c>
      <c r="N666" t="s">
        <v>1246</v>
      </c>
      <c r="O666" t="s">
        <v>1253</v>
      </c>
      <c r="P666" t="s">
        <v>21</v>
      </c>
      <c r="Q666" t="s">
        <v>21</v>
      </c>
      <c r="R666" t="s">
        <v>1254</v>
      </c>
      <c r="S666" t="s">
        <v>1254</v>
      </c>
      <c r="T666" t="s">
        <v>1335</v>
      </c>
      <c r="U666" t="s">
        <v>1348</v>
      </c>
      <c r="V666" t="s">
        <v>1861</v>
      </c>
      <c r="W666" t="s">
        <v>1588</v>
      </c>
    </row>
    <row r="667" spans="1:23" x14ac:dyDescent="0.35">
      <c r="A667">
        <v>22</v>
      </c>
      <c r="B667">
        <v>2025</v>
      </c>
      <c r="C667">
        <v>2025</v>
      </c>
      <c r="D667" t="s">
        <v>23</v>
      </c>
      <c r="E667" t="s">
        <v>218</v>
      </c>
      <c r="F667" t="s">
        <v>383</v>
      </c>
      <c r="G667" t="s">
        <v>409</v>
      </c>
      <c r="H667" t="s">
        <v>410</v>
      </c>
      <c r="I667" t="s">
        <v>23</v>
      </c>
      <c r="J667" t="s">
        <v>442</v>
      </c>
      <c r="K667" t="s">
        <v>493</v>
      </c>
      <c r="L667" t="s">
        <v>1143</v>
      </c>
      <c r="M667">
        <v>2014</v>
      </c>
      <c r="N667" t="s">
        <v>1246</v>
      </c>
      <c r="O667" t="s">
        <v>1253</v>
      </c>
      <c r="P667" t="s">
        <v>21</v>
      </c>
      <c r="Q667" t="s">
        <v>21</v>
      </c>
      <c r="R667" t="s">
        <v>1254</v>
      </c>
      <c r="S667" t="s">
        <v>1254</v>
      </c>
      <c r="T667" t="s">
        <v>1335</v>
      </c>
      <c r="U667" t="s">
        <v>1348</v>
      </c>
      <c r="V667" t="s">
        <v>1861</v>
      </c>
      <c r="W667" t="s">
        <v>1588</v>
      </c>
    </row>
    <row r="668" spans="1:23" x14ac:dyDescent="0.35">
      <c r="A668">
        <v>23</v>
      </c>
      <c r="B668">
        <v>2026</v>
      </c>
      <c r="C668">
        <v>2026</v>
      </c>
      <c r="D668" t="s">
        <v>23</v>
      </c>
      <c r="E668" t="s">
        <v>132</v>
      </c>
      <c r="F668" t="s">
        <v>279</v>
      </c>
      <c r="G668" t="s">
        <v>409</v>
      </c>
      <c r="H668" t="s">
        <v>410</v>
      </c>
      <c r="I668" t="s">
        <v>23</v>
      </c>
      <c r="J668" t="s">
        <v>442</v>
      </c>
      <c r="K668" t="s">
        <v>493</v>
      </c>
      <c r="L668" t="s">
        <v>1144</v>
      </c>
      <c r="M668">
        <v>2020</v>
      </c>
      <c r="N668" t="s">
        <v>1246</v>
      </c>
      <c r="O668" t="s">
        <v>1253</v>
      </c>
      <c r="P668" t="s">
        <v>21</v>
      </c>
      <c r="Q668" t="s">
        <v>21</v>
      </c>
      <c r="R668" t="s">
        <v>1311</v>
      </c>
      <c r="S668" t="s">
        <v>1311</v>
      </c>
      <c r="T668" t="s">
        <v>1338</v>
      </c>
      <c r="U668" t="s">
        <v>1348</v>
      </c>
      <c r="V668" t="s">
        <v>1862</v>
      </c>
      <c r="W668" t="s">
        <v>1589</v>
      </c>
    </row>
    <row r="669" spans="1:23" x14ac:dyDescent="0.35">
      <c r="A669">
        <v>24</v>
      </c>
      <c r="B669">
        <v>2026</v>
      </c>
      <c r="C669">
        <v>2026</v>
      </c>
      <c r="D669" t="s">
        <v>23</v>
      </c>
      <c r="E669" t="s">
        <v>219</v>
      </c>
      <c r="F669" t="s">
        <v>384</v>
      </c>
      <c r="G669" t="s">
        <v>409</v>
      </c>
      <c r="H669" t="s">
        <v>410</v>
      </c>
      <c r="I669" t="s">
        <v>23</v>
      </c>
      <c r="J669" t="s">
        <v>442</v>
      </c>
      <c r="K669" t="s">
        <v>493</v>
      </c>
      <c r="L669" t="s">
        <v>1145</v>
      </c>
      <c r="M669">
        <v>2012</v>
      </c>
      <c r="N669" t="s">
        <v>1246</v>
      </c>
      <c r="O669" t="s">
        <v>1253</v>
      </c>
      <c r="P669" t="s">
        <v>21</v>
      </c>
      <c r="Q669" t="s">
        <v>21</v>
      </c>
      <c r="R669" t="s">
        <v>1298</v>
      </c>
      <c r="S669" t="s">
        <v>1298</v>
      </c>
      <c r="T669" t="s">
        <v>410</v>
      </c>
      <c r="U669" t="s">
        <v>1348</v>
      </c>
      <c r="V669" t="s">
        <v>1737</v>
      </c>
      <c r="W669" t="s">
        <v>1530</v>
      </c>
    </row>
    <row r="670" spans="1:23" x14ac:dyDescent="0.35">
      <c r="A670">
        <v>25</v>
      </c>
      <c r="B670">
        <v>2030</v>
      </c>
      <c r="C670">
        <v>2030</v>
      </c>
      <c r="D670" t="s">
        <v>23</v>
      </c>
      <c r="E670" t="s">
        <v>220</v>
      </c>
      <c r="F670" t="s">
        <v>385</v>
      </c>
      <c r="G670" t="s">
        <v>409</v>
      </c>
      <c r="H670" t="s">
        <v>410</v>
      </c>
      <c r="I670" t="s">
        <v>23</v>
      </c>
      <c r="J670" t="s">
        <v>442</v>
      </c>
      <c r="K670" t="s">
        <v>493</v>
      </c>
      <c r="L670" t="s">
        <v>1146</v>
      </c>
      <c r="M670">
        <v>2026</v>
      </c>
      <c r="N670" t="s">
        <v>1246</v>
      </c>
      <c r="O670" t="s">
        <v>1253</v>
      </c>
      <c r="P670" t="s">
        <v>21</v>
      </c>
      <c r="Q670" t="s">
        <v>21</v>
      </c>
      <c r="R670" t="s">
        <v>1298</v>
      </c>
      <c r="S670" t="s">
        <v>1298</v>
      </c>
      <c r="T670" t="s">
        <v>410</v>
      </c>
      <c r="U670" t="s">
        <v>1348</v>
      </c>
      <c r="V670" t="s">
        <v>1863</v>
      </c>
      <c r="W670" t="s">
        <v>1534</v>
      </c>
    </row>
    <row r="671" spans="1:23" x14ac:dyDescent="0.35">
      <c r="A671">
        <v>26</v>
      </c>
      <c r="B671">
        <v>2030</v>
      </c>
      <c r="C671">
        <v>2030</v>
      </c>
      <c r="D671" t="s">
        <v>23</v>
      </c>
      <c r="E671" t="s">
        <v>220</v>
      </c>
      <c r="F671" t="s">
        <v>385</v>
      </c>
      <c r="G671" t="s">
        <v>409</v>
      </c>
      <c r="H671" t="s">
        <v>410</v>
      </c>
      <c r="I671" t="s">
        <v>23</v>
      </c>
      <c r="J671" t="s">
        <v>442</v>
      </c>
      <c r="K671" t="s">
        <v>493</v>
      </c>
      <c r="L671" t="s">
        <v>1147</v>
      </c>
      <c r="M671">
        <v>2025</v>
      </c>
      <c r="N671" t="s">
        <v>1246</v>
      </c>
      <c r="O671" t="s">
        <v>1253</v>
      </c>
      <c r="P671" t="s">
        <v>21</v>
      </c>
      <c r="Q671" t="s">
        <v>21</v>
      </c>
      <c r="R671" t="s">
        <v>1278</v>
      </c>
      <c r="S671" t="s">
        <v>1278</v>
      </c>
      <c r="T671" t="s">
        <v>1278</v>
      </c>
      <c r="U671" t="s">
        <v>1348</v>
      </c>
      <c r="V671" t="s">
        <v>1864</v>
      </c>
      <c r="W671" t="s">
        <v>1590</v>
      </c>
    </row>
    <row r="672" spans="1:23" x14ac:dyDescent="0.35">
      <c r="A672">
        <v>27</v>
      </c>
      <c r="B672">
        <v>2032</v>
      </c>
      <c r="C672">
        <v>2032</v>
      </c>
      <c r="D672" t="s">
        <v>23</v>
      </c>
      <c r="E672" t="s">
        <v>221</v>
      </c>
      <c r="F672" t="s">
        <v>386</v>
      </c>
      <c r="G672" t="s">
        <v>409</v>
      </c>
      <c r="H672" t="s">
        <v>410</v>
      </c>
      <c r="I672" t="s">
        <v>23</v>
      </c>
      <c r="J672" t="s">
        <v>442</v>
      </c>
      <c r="K672" t="s">
        <v>493</v>
      </c>
      <c r="L672" t="s">
        <v>1148</v>
      </c>
      <c r="M672">
        <v>2026</v>
      </c>
      <c r="N672" t="s">
        <v>1246</v>
      </c>
      <c r="O672" t="s">
        <v>1253</v>
      </c>
      <c r="P672" t="s">
        <v>21</v>
      </c>
      <c r="Q672" t="s">
        <v>21</v>
      </c>
      <c r="R672" t="s">
        <v>1254</v>
      </c>
      <c r="S672" t="s">
        <v>1254</v>
      </c>
      <c r="T672" t="s">
        <v>1335</v>
      </c>
      <c r="U672" t="s">
        <v>1348</v>
      </c>
      <c r="V672" t="s">
        <v>1865</v>
      </c>
      <c r="W672" t="s">
        <v>1591</v>
      </c>
    </row>
    <row r="673" spans="1:23" x14ac:dyDescent="0.35">
      <c r="A673">
        <v>28</v>
      </c>
      <c r="B673">
        <v>2032</v>
      </c>
      <c r="C673">
        <v>2032</v>
      </c>
      <c r="D673" t="s">
        <v>23</v>
      </c>
      <c r="E673" t="s">
        <v>222</v>
      </c>
      <c r="F673" t="s">
        <v>387</v>
      </c>
      <c r="G673" t="s">
        <v>409</v>
      </c>
      <c r="H673" t="s">
        <v>410</v>
      </c>
      <c r="I673" t="s">
        <v>23</v>
      </c>
      <c r="J673" t="s">
        <v>442</v>
      </c>
      <c r="K673" t="s">
        <v>493</v>
      </c>
      <c r="L673" t="s">
        <v>1149</v>
      </c>
      <c r="M673">
        <v>2029</v>
      </c>
      <c r="N673" t="s">
        <v>1246</v>
      </c>
      <c r="O673" t="s">
        <v>1253</v>
      </c>
      <c r="P673" t="s">
        <v>21</v>
      </c>
      <c r="Q673" t="s">
        <v>21</v>
      </c>
      <c r="R673" t="s">
        <v>1255</v>
      </c>
      <c r="S673" t="s">
        <v>1255</v>
      </c>
      <c r="T673" t="s">
        <v>1278</v>
      </c>
      <c r="U673" t="s">
        <v>1348</v>
      </c>
      <c r="V673" t="s">
        <v>1866</v>
      </c>
      <c r="W673" t="s">
        <v>1519</v>
      </c>
    </row>
    <row r="674" spans="1:23" x14ac:dyDescent="0.35">
      <c r="A674">
        <v>29</v>
      </c>
      <c r="B674">
        <v>2032</v>
      </c>
      <c r="C674">
        <v>2032</v>
      </c>
      <c r="D674" t="s">
        <v>23</v>
      </c>
      <c r="E674" t="s">
        <v>222</v>
      </c>
      <c r="F674" t="s">
        <v>387</v>
      </c>
      <c r="G674" t="s">
        <v>409</v>
      </c>
      <c r="H674" t="s">
        <v>410</v>
      </c>
      <c r="I674" t="s">
        <v>23</v>
      </c>
      <c r="J674" t="s">
        <v>442</v>
      </c>
      <c r="K674" t="s">
        <v>493</v>
      </c>
      <c r="L674" t="s">
        <v>1150</v>
      </c>
      <c r="M674">
        <v>2029</v>
      </c>
      <c r="N674" t="s">
        <v>1246</v>
      </c>
      <c r="O674" t="s">
        <v>1253</v>
      </c>
      <c r="P674" t="s">
        <v>21</v>
      </c>
      <c r="Q674" t="s">
        <v>21</v>
      </c>
      <c r="R674" t="s">
        <v>1311</v>
      </c>
      <c r="S674" t="s">
        <v>1334</v>
      </c>
      <c r="T674" t="s">
        <v>1341</v>
      </c>
      <c r="U674" t="s">
        <v>1348</v>
      </c>
      <c r="V674" t="s">
        <v>1867</v>
      </c>
      <c r="W674" t="s">
        <v>1559</v>
      </c>
    </row>
    <row r="675" spans="1:23" x14ac:dyDescent="0.35">
      <c r="A675">
        <v>30</v>
      </c>
      <c r="B675">
        <v>2032</v>
      </c>
      <c r="C675">
        <v>2032</v>
      </c>
      <c r="D675" t="s">
        <v>23</v>
      </c>
      <c r="E675" t="s">
        <v>222</v>
      </c>
      <c r="F675" t="s">
        <v>387</v>
      </c>
      <c r="G675" t="s">
        <v>409</v>
      </c>
      <c r="H675" t="s">
        <v>410</v>
      </c>
      <c r="I675" t="s">
        <v>23</v>
      </c>
      <c r="J675" t="s">
        <v>442</v>
      </c>
      <c r="K675" t="s">
        <v>493</v>
      </c>
      <c r="L675" t="s">
        <v>1151</v>
      </c>
      <c r="M675">
        <v>2029</v>
      </c>
      <c r="N675" t="s">
        <v>1246</v>
      </c>
      <c r="O675" t="s">
        <v>1253</v>
      </c>
      <c r="P675" t="s">
        <v>21</v>
      </c>
      <c r="Q675" t="s">
        <v>21</v>
      </c>
      <c r="R675" t="s">
        <v>1312</v>
      </c>
      <c r="S675" t="s">
        <v>1312</v>
      </c>
      <c r="T675" t="s">
        <v>410</v>
      </c>
      <c r="U675" t="s">
        <v>1348</v>
      </c>
      <c r="V675" t="s">
        <v>1793</v>
      </c>
      <c r="W675" t="s">
        <v>1537</v>
      </c>
    </row>
    <row r="676" spans="1:23" x14ac:dyDescent="0.35">
      <c r="A676">
        <v>31</v>
      </c>
      <c r="B676">
        <v>2032</v>
      </c>
      <c r="C676">
        <v>2032</v>
      </c>
      <c r="D676" t="s">
        <v>23</v>
      </c>
      <c r="E676" t="s">
        <v>222</v>
      </c>
      <c r="F676" t="s">
        <v>387</v>
      </c>
      <c r="G676" t="s">
        <v>409</v>
      </c>
      <c r="H676" t="s">
        <v>410</v>
      </c>
      <c r="I676" t="s">
        <v>23</v>
      </c>
      <c r="J676" t="s">
        <v>442</v>
      </c>
      <c r="K676" t="s">
        <v>493</v>
      </c>
      <c r="L676" t="s">
        <v>1152</v>
      </c>
      <c r="M676">
        <v>2029</v>
      </c>
      <c r="N676" t="s">
        <v>1246</v>
      </c>
      <c r="O676" t="s">
        <v>1253</v>
      </c>
      <c r="P676" t="s">
        <v>21</v>
      </c>
      <c r="Q676" t="s">
        <v>21</v>
      </c>
      <c r="R676" t="s">
        <v>1254</v>
      </c>
      <c r="S676" t="s">
        <v>1254</v>
      </c>
      <c r="T676" t="s">
        <v>1335</v>
      </c>
      <c r="U676" t="s">
        <v>1348</v>
      </c>
      <c r="V676" t="s">
        <v>1865</v>
      </c>
      <c r="W676" t="s">
        <v>1591</v>
      </c>
    </row>
    <row r="677" spans="1:23" x14ac:dyDescent="0.35">
      <c r="A677">
        <v>32</v>
      </c>
      <c r="B677">
        <v>2032</v>
      </c>
      <c r="C677">
        <v>2032</v>
      </c>
      <c r="D677" t="s">
        <v>23</v>
      </c>
      <c r="E677" t="s">
        <v>222</v>
      </c>
      <c r="F677" t="s">
        <v>387</v>
      </c>
      <c r="G677" t="s">
        <v>409</v>
      </c>
      <c r="H677" t="s">
        <v>410</v>
      </c>
      <c r="I677" t="s">
        <v>23</v>
      </c>
      <c r="J677" t="s">
        <v>442</v>
      </c>
      <c r="K677" t="s">
        <v>493</v>
      </c>
      <c r="L677" t="s">
        <v>1153</v>
      </c>
      <c r="M677">
        <v>2026</v>
      </c>
      <c r="N677" t="s">
        <v>1246</v>
      </c>
      <c r="O677" t="s">
        <v>1253</v>
      </c>
      <c r="P677" t="s">
        <v>21</v>
      </c>
      <c r="Q677" t="s">
        <v>21</v>
      </c>
      <c r="R677" t="s">
        <v>1254</v>
      </c>
      <c r="S677" t="s">
        <v>1254</v>
      </c>
      <c r="T677" t="s">
        <v>1335</v>
      </c>
      <c r="U677" t="s">
        <v>1348</v>
      </c>
      <c r="V677" t="s">
        <v>1865</v>
      </c>
      <c r="W677" t="s">
        <v>1591</v>
      </c>
    </row>
    <row r="678" spans="1:23" x14ac:dyDescent="0.35">
      <c r="A678">
        <v>33</v>
      </c>
      <c r="B678">
        <v>2032</v>
      </c>
      <c r="C678">
        <v>2032</v>
      </c>
      <c r="D678" t="s">
        <v>23</v>
      </c>
      <c r="E678" t="s">
        <v>222</v>
      </c>
      <c r="F678" t="s">
        <v>387</v>
      </c>
      <c r="G678" t="s">
        <v>409</v>
      </c>
      <c r="H678" t="s">
        <v>410</v>
      </c>
      <c r="I678" t="s">
        <v>23</v>
      </c>
      <c r="J678" t="s">
        <v>442</v>
      </c>
      <c r="K678" t="s">
        <v>493</v>
      </c>
      <c r="L678" t="s">
        <v>1154</v>
      </c>
      <c r="M678">
        <v>2029</v>
      </c>
      <c r="N678" t="s">
        <v>1246</v>
      </c>
      <c r="O678" t="s">
        <v>1253</v>
      </c>
      <c r="P678" t="s">
        <v>21</v>
      </c>
      <c r="Q678" t="s">
        <v>21</v>
      </c>
      <c r="R678" t="s">
        <v>1309</v>
      </c>
      <c r="S678" t="s">
        <v>1309</v>
      </c>
      <c r="T678" t="s">
        <v>410</v>
      </c>
      <c r="U678" t="s">
        <v>1348</v>
      </c>
      <c r="V678" t="s">
        <v>1793</v>
      </c>
      <c r="W678" t="s">
        <v>1537</v>
      </c>
    </row>
    <row r="679" spans="1:23" x14ac:dyDescent="0.35">
      <c r="A679">
        <v>34</v>
      </c>
      <c r="B679">
        <v>2032</v>
      </c>
      <c r="C679">
        <v>2032</v>
      </c>
      <c r="D679" t="s">
        <v>23</v>
      </c>
      <c r="E679" t="s">
        <v>223</v>
      </c>
      <c r="F679" t="s">
        <v>388</v>
      </c>
      <c r="G679" t="s">
        <v>409</v>
      </c>
      <c r="H679" t="s">
        <v>410</v>
      </c>
      <c r="I679" t="s">
        <v>23</v>
      </c>
      <c r="J679" t="s">
        <v>442</v>
      </c>
      <c r="K679" t="s">
        <v>493</v>
      </c>
      <c r="L679" t="s">
        <v>1155</v>
      </c>
      <c r="M679">
        <v>2029</v>
      </c>
      <c r="N679" t="s">
        <v>1246</v>
      </c>
      <c r="O679" t="s">
        <v>1253</v>
      </c>
      <c r="P679" t="s">
        <v>21</v>
      </c>
      <c r="Q679" t="s">
        <v>21</v>
      </c>
      <c r="R679" t="s">
        <v>1255</v>
      </c>
      <c r="S679" t="s">
        <v>1255</v>
      </c>
      <c r="T679" t="s">
        <v>1278</v>
      </c>
      <c r="U679" t="s">
        <v>1348</v>
      </c>
      <c r="V679" t="s">
        <v>1866</v>
      </c>
      <c r="W679" t="s">
        <v>1519</v>
      </c>
    </row>
    <row r="680" spans="1:23" x14ac:dyDescent="0.35">
      <c r="A680">
        <v>35</v>
      </c>
      <c r="B680">
        <v>2032</v>
      </c>
      <c r="C680">
        <v>2032</v>
      </c>
      <c r="D680" t="s">
        <v>23</v>
      </c>
      <c r="E680" t="s">
        <v>223</v>
      </c>
      <c r="F680" t="s">
        <v>388</v>
      </c>
      <c r="G680" t="s">
        <v>409</v>
      </c>
      <c r="H680" t="s">
        <v>410</v>
      </c>
      <c r="I680" t="s">
        <v>23</v>
      </c>
      <c r="J680" t="s">
        <v>442</v>
      </c>
      <c r="K680" t="s">
        <v>493</v>
      </c>
      <c r="L680" t="s">
        <v>1156</v>
      </c>
      <c r="M680">
        <v>2026</v>
      </c>
      <c r="N680" t="s">
        <v>1246</v>
      </c>
      <c r="O680" t="s">
        <v>1253</v>
      </c>
      <c r="P680" t="s">
        <v>21</v>
      </c>
      <c r="Q680" t="s">
        <v>21</v>
      </c>
      <c r="R680" t="s">
        <v>1268</v>
      </c>
      <c r="S680" t="s">
        <v>1268</v>
      </c>
      <c r="T680" t="s">
        <v>1336</v>
      </c>
      <c r="U680" t="s">
        <v>1348</v>
      </c>
      <c r="V680" t="s">
        <v>1780</v>
      </c>
      <c r="W680" t="s">
        <v>1557</v>
      </c>
    </row>
    <row r="681" spans="1:23" x14ac:dyDescent="0.35">
      <c r="A681">
        <v>36</v>
      </c>
      <c r="B681">
        <v>2033</v>
      </c>
      <c r="C681">
        <v>2033</v>
      </c>
      <c r="D681" t="s">
        <v>23</v>
      </c>
      <c r="E681" t="s">
        <v>141</v>
      </c>
      <c r="F681" t="s">
        <v>288</v>
      </c>
      <c r="G681" t="s">
        <v>409</v>
      </c>
      <c r="H681" t="s">
        <v>410</v>
      </c>
      <c r="I681" t="s">
        <v>23</v>
      </c>
      <c r="J681" t="s">
        <v>442</v>
      </c>
      <c r="K681" t="s">
        <v>493</v>
      </c>
      <c r="L681" t="s">
        <v>1157</v>
      </c>
      <c r="M681">
        <v>2029</v>
      </c>
      <c r="N681" t="s">
        <v>1246</v>
      </c>
      <c r="O681" t="s">
        <v>1253</v>
      </c>
      <c r="P681" t="s">
        <v>21</v>
      </c>
      <c r="Q681" t="s">
        <v>21</v>
      </c>
      <c r="R681" t="s">
        <v>1298</v>
      </c>
      <c r="S681" t="s">
        <v>1298</v>
      </c>
      <c r="T681" t="s">
        <v>410</v>
      </c>
      <c r="U681" t="s">
        <v>1348</v>
      </c>
      <c r="V681" t="s">
        <v>1748</v>
      </c>
      <c r="W681" t="s">
        <v>1537</v>
      </c>
    </row>
    <row r="682" spans="1:23" x14ac:dyDescent="0.35">
      <c r="A682">
        <v>37</v>
      </c>
      <c r="B682">
        <v>2033</v>
      </c>
      <c r="C682">
        <v>2033</v>
      </c>
      <c r="D682" t="s">
        <v>23</v>
      </c>
      <c r="E682" t="s">
        <v>143</v>
      </c>
      <c r="F682" t="s">
        <v>290</v>
      </c>
      <c r="G682" t="s">
        <v>409</v>
      </c>
      <c r="H682" t="s">
        <v>410</v>
      </c>
      <c r="I682" t="s">
        <v>23</v>
      </c>
      <c r="J682" t="s">
        <v>442</v>
      </c>
      <c r="K682" t="s">
        <v>493</v>
      </c>
      <c r="L682" t="s">
        <v>1158</v>
      </c>
      <c r="M682">
        <v>2027</v>
      </c>
      <c r="N682" t="s">
        <v>1246</v>
      </c>
      <c r="O682" t="s">
        <v>1253</v>
      </c>
      <c r="P682" t="s">
        <v>21</v>
      </c>
      <c r="Q682" t="s">
        <v>21</v>
      </c>
      <c r="R682" t="s">
        <v>1329</v>
      </c>
      <c r="S682" t="s">
        <v>1329</v>
      </c>
      <c r="T682" t="s">
        <v>410</v>
      </c>
      <c r="U682" t="s">
        <v>1348</v>
      </c>
      <c r="V682" t="s">
        <v>1748</v>
      </c>
      <c r="W682" t="s">
        <v>1537</v>
      </c>
    </row>
    <row r="683" spans="1:23" x14ac:dyDescent="0.35">
      <c r="A683">
        <v>38</v>
      </c>
      <c r="B683">
        <v>2034</v>
      </c>
      <c r="C683">
        <v>2034</v>
      </c>
      <c r="D683" t="s">
        <v>23</v>
      </c>
      <c r="E683" t="s">
        <v>224</v>
      </c>
      <c r="F683" t="s">
        <v>259</v>
      </c>
      <c r="G683" t="s">
        <v>409</v>
      </c>
      <c r="H683" t="s">
        <v>410</v>
      </c>
      <c r="I683" t="s">
        <v>23</v>
      </c>
      <c r="J683" t="s">
        <v>442</v>
      </c>
      <c r="K683" t="s">
        <v>493</v>
      </c>
      <c r="L683" t="s">
        <v>1159</v>
      </c>
      <c r="M683">
        <v>2027</v>
      </c>
      <c r="N683" t="s">
        <v>1246</v>
      </c>
      <c r="O683" t="s">
        <v>1253</v>
      </c>
      <c r="P683" t="s">
        <v>21</v>
      </c>
      <c r="Q683" t="s">
        <v>21</v>
      </c>
      <c r="R683" t="s">
        <v>1255</v>
      </c>
      <c r="S683" t="s">
        <v>1255</v>
      </c>
      <c r="T683" t="s">
        <v>1278</v>
      </c>
      <c r="U683" t="s">
        <v>1348</v>
      </c>
      <c r="V683" t="s">
        <v>1719</v>
      </c>
      <c r="W683" t="s">
        <v>1519</v>
      </c>
    </row>
    <row r="684" spans="1:23" x14ac:dyDescent="0.35">
      <c r="A684">
        <v>39</v>
      </c>
      <c r="B684">
        <v>2034</v>
      </c>
      <c r="C684">
        <v>2034</v>
      </c>
      <c r="D684" t="s">
        <v>23</v>
      </c>
      <c r="E684" t="s">
        <v>224</v>
      </c>
      <c r="F684" t="s">
        <v>259</v>
      </c>
      <c r="G684" t="s">
        <v>409</v>
      </c>
      <c r="H684" t="s">
        <v>410</v>
      </c>
      <c r="I684" t="s">
        <v>23</v>
      </c>
      <c r="J684" t="s">
        <v>442</v>
      </c>
      <c r="K684" t="s">
        <v>493</v>
      </c>
      <c r="L684" t="s">
        <v>1160</v>
      </c>
      <c r="M684">
        <v>2030</v>
      </c>
      <c r="N684" t="s">
        <v>1246</v>
      </c>
      <c r="O684" t="s">
        <v>1253</v>
      </c>
      <c r="P684" t="s">
        <v>21</v>
      </c>
      <c r="Q684" t="s">
        <v>21</v>
      </c>
      <c r="R684" t="s">
        <v>1318</v>
      </c>
      <c r="S684" t="s">
        <v>1318</v>
      </c>
      <c r="T684" t="s">
        <v>1341</v>
      </c>
      <c r="U684" t="s">
        <v>1348</v>
      </c>
      <c r="V684" t="s">
        <v>1795</v>
      </c>
      <c r="W684" t="s">
        <v>1559</v>
      </c>
    </row>
    <row r="685" spans="1:23" x14ac:dyDescent="0.35">
      <c r="A685">
        <v>40</v>
      </c>
      <c r="B685">
        <v>2034</v>
      </c>
      <c r="C685">
        <v>2034</v>
      </c>
      <c r="D685" t="s">
        <v>23</v>
      </c>
      <c r="E685" t="s">
        <v>171</v>
      </c>
      <c r="F685" t="s">
        <v>324</v>
      </c>
      <c r="G685" t="s">
        <v>409</v>
      </c>
      <c r="H685" t="s">
        <v>410</v>
      </c>
      <c r="I685" t="s">
        <v>23</v>
      </c>
      <c r="J685" t="s">
        <v>442</v>
      </c>
      <c r="K685" t="s">
        <v>493</v>
      </c>
      <c r="L685" t="s">
        <v>1161</v>
      </c>
      <c r="M685">
        <v>2030</v>
      </c>
      <c r="N685" t="s">
        <v>1246</v>
      </c>
      <c r="O685" t="s">
        <v>1253</v>
      </c>
      <c r="P685" t="s">
        <v>21</v>
      </c>
      <c r="Q685" t="s">
        <v>21</v>
      </c>
      <c r="R685" t="s">
        <v>1278</v>
      </c>
      <c r="S685" t="s">
        <v>1278</v>
      </c>
      <c r="T685" t="s">
        <v>1278</v>
      </c>
      <c r="U685" t="s">
        <v>1348</v>
      </c>
      <c r="V685" t="s">
        <v>1719</v>
      </c>
      <c r="W685" t="s">
        <v>1519</v>
      </c>
    </row>
    <row r="686" spans="1:23" x14ac:dyDescent="0.35">
      <c r="A686">
        <v>41</v>
      </c>
      <c r="B686">
        <v>2035</v>
      </c>
      <c r="C686">
        <v>2035</v>
      </c>
      <c r="D686" t="s">
        <v>23</v>
      </c>
      <c r="E686" t="s">
        <v>225</v>
      </c>
      <c r="F686" t="s">
        <v>389</v>
      </c>
      <c r="G686" t="s">
        <v>409</v>
      </c>
      <c r="H686" t="s">
        <v>410</v>
      </c>
      <c r="I686" t="s">
        <v>23</v>
      </c>
      <c r="J686" t="s">
        <v>442</v>
      </c>
      <c r="K686" t="s">
        <v>493</v>
      </c>
      <c r="L686" t="s">
        <v>1162</v>
      </c>
      <c r="M686">
        <v>2030</v>
      </c>
      <c r="N686" t="s">
        <v>1246</v>
      </c>
      <c r="O686" t="s">
        <v>1253</v>
      </c>
      <c r="P686" t="s">
        <v>21</v>
      </c>
      <c r="Q686" t="s">
        <v>21</v>
      </c>
      <c r="R686" t="s">
        <v>1298</v>
      </c>
      <c r="S686" t="s">
        <v>1298</v>
      </c>
      <c r="T686" t="s">
        <v>410</v>
      </c>
      <c r="U686" t="s">
        <v>1348</v>
      </c>
      <c r="V686" t="s">
        <v>1796</v>
      </c>
      <c r="W686" t="s">
        <v>1537</v>
      </c>
    </row>
    <row r="687" spans="1:23" x14ac:dyDescent="0.35">
      <c r="A687">
        <v>42</v>
      </c>
      <c r="B687">
        <v>2035</v>
      </c>
      <c r="C687">
        <v>2035</v>
      </c>
      <c r="D687" t="s">
        <v>23</v>
      </c>
      <c r="E687" t="s">
        <v>226</v>
      </c>
      <c r="F687" t="s">
        <v>390</v>
      </c>
      <c r="G687" t="s">
        <v>409</v>
      </c>
      <c r="H687" t="s">
        <v>410</v>
      </c>
      <c r="I687" t="s">
        <v>23</v>
      </c>
      <c r="J687" t="s">
        <v>442</v>
      </c>
      <c r="K687" t="s">
        <v>493</v>
      </c>
      <c r="L687" t="s">
        <v>1163</v>
      </c>
      <c r="M687">
        <v>2031</v>
      </c>
      <c r="N687" t="s">
        <v>1246</v>
      </c>
      <c r="O687" t="s">
        <v>1253</v>
      </c>
      <c r="P687" t="s">
        <v>21</v>
      </c>
      <c r="Q687" t="s">
        <v>21</v>
      </c>
      <c r="R687" t="s">
        <v>1255</v>
      </c>
      <c r="S687" t="s">
        <v>1255</v>
      </c>
      <c r="T687" t="s">
        <v>1278</v>
      </c>
      <c r="U687" t="s">
        <v>1348</v>
      </c>
      <c r="V687" t="s">
        <v>1868</v>
      </c>
      <c r="W687" t="s">
        <v>1519</v>
      </c>
    </row>
    <row r="688" spans="1:23" x14ac:dyDescent="0.35">
      <c r="A688">
        <v>43</v>
      </c>
      <c r="B688">
        <v>2036</v>
      </c>
      <c r="C688">
        <v>2036</v>
      </c>
      <c r="D688" t="s">
        <v>23</v>
      </c>
      <c r="E688" t="s">
        <v>227</v>
      </c>
      <c r="F688" t="s">
        <v>391</v>
      </c>
      <c r="G688" t="s">
        <v>409</v>
      </c>
      <c r="H688" t="s">
        <v>410</v>
      </c>
      <c r="I688" t="s">
        <v>23</v>
      </c>
      <c r="J688" t="s">
        <v>442</v>
      </c>
      <c r="K688" t="s">
        <v>493</v>
      </c>
      <c r="L688" t="s">
        <v>1164</v>
      </c>
      <c r="M688">
        <v>2032</v>
      </c>
      <c r="N688" t="s">
        <v>1246</v>
      </c>
      <c r="O688" t="s">
        <v>1253</v>
      </c>
      <c r="P688" t="s">
        <v>21</v>
      </c>
      <c r="Q688" t="s">
        <v>21</v>
      </c>
      <c r="R688" t="s">
        <v>1311</v>
      </c>
      <c r="S688" t="s">
        <v>1311</v>
      </c>
      <c r="T688" t="s">
        <v>1338</v>
      </c>
      <c r="U688" t="s">
        <v>1348</v>
      </c>
      <c r="V688" t="s">
        <v>1751</v>
      </c>
      <c r="W688" t="s">
        <v>1540</v>
      </c>
    </row>
    <row r="689" spans="1:23" x14ac:dyDescent="0.35">
      <c r="A689">
        <v>44</v>
      </c>
      <c r="B689">
        <v>2036</v>
      </c>
      <c r="C689">
        <v>2036</v>
      </c>
      <c r="D689" t="s">
        <v>23</v>
      </c>
      <c r="E689" t="s">
        <v>228</v>
      </c>
      <c r="F689" t="s">
        <v>392</v>
      </c>
      <c r="G689" t="s">
        <v>409</v>
      </c>
      <c r="H689" t="s">
        <v>410</v>
      </c>
      <c r="I689" t="s">
        <v>23</v>
      </c>
      <c r="J689" t="s">
        <v>442</v>
      </c>
      <c r="K689" t="s">
        <v>493</v>
      </c>
      <c r="L689" t="s">
        <v>1165</v>
      </c>
      <c r="M689">
        <v>2032</v>
      </c>
      <c r="N689" t="s">
        <v>1246</v>
      </c>
      <c r="O689" t="s">
        <v>1253</v>
      </c>
      <c r="P689" t="s">
        <v>21</v>
      </c>
      <c r="Q689" t="s">
        <v>21</v>
      </c>
      <c r="R689" t="s">
        <v>1302</v>
      </c>
      <c r="S689" t="s">
        <v>1302</v>
      </c>
      <c r="T689" t="s">
        <v>1337</v>
      </c>
      <c r="U689" t="s">
        <v>1348</v>
      </c>
      <c r="V689" t="s">
        <v>1869</v>
      </c>
      <c r="W689" t="s">
        <v>1543</v>
      </c>
    </row>
    <row r="690" spans="1:23" x14ac:dyDescent="0.35">
      <c r="A690">
        <v>45</v>
      </c>
      <c r="B690">
        <v>2109</v>
      </c>
      <c r="C690">
        <v>2109</v>
      </c>
      <c r="D690" t="s">
        <v>23</v>
      </c>
      <c r="E690" t="s">
        <v>193</v>
      </c>
      <c r="F690" t="s">
        <v>352</v>
      </c>
      <c r="G690" t="s">
        <v>409</v>
      </c>
      <c r="H690" t="s">
        <v>410</v>
      </c>
      <c r="I690" t="s">
        <v>23</v>
      </c>
      <c r="J690" t="s">
        <v>442</v>
      </c>
      <c r="K690" t="s">
        <v>493</v>
      </c>
      <c r="L690" t="s">
        <v>1166</v>
      </c>
      <c r="M690">
        <v>2034</v>
      </c>
      <c r="N690" t="s">
        <v>1246</v>
      </c>
      <c r="O690" t="s">
        <v>1253</v>
      </c>
      <c r="P690" t="s">
        <v>21</v>
      </c>
      <c r="Q690" t="s">
        <v>21</v>
      </c>
      <c r="R690" t="s">
        <v>1302</v>
      </c>
      <c r="S690" t="s">
        <v>1302</v>
      </c>
      <c r="T690" t="s">
        <v>1337</v>
      </c>
      <c r="U690" t="s">
        <v>1348</v>
      </c>
      <c r="V690" t="s">
        <v>1870</v>
      </c>
      <c r="W690" t="s">
        <v>1551</v>
      </c>
    </row>
    <row r="691" spans="1:23" x14ac:dyDescent="0.35">
      <c r="A691">
        <v>46</v>
      </c>
      <c r="B691">
        <v>2109</v>
      </c>
      <c r="C691">
        <v>2109</v>
      </c>
      <c r="D691" t="s">
        <v>23</v>
      </c>
      <c r="E691" t="s">
        <v>193</v>
      </c>
      <c r="F691" t="s">
        <v>352</v>
      </c>
      <c r="G691" t="s">
        <v>409</v>
      </c>
      <c r="H691" t="s">
        <v>410</v>
      </c>
      <c r="I691" t="s">
        <v>23</v>
      </c>
      <c r="J691" t="s">
        <v>442</v>
      </c>
      <c r="K691" t="s">
        <v>493</v>
      </c>
      <c r="L691" t="s">
        <v>1167</v>
      </c>
      <c r="M691">
        <v>2034</v>
      </c>
      <c r="N691" t="s">
        <v>1246</v>
      </c>
      <c r="O691" t="s">
        <v>1253</v>
      </c>
      <c r="P691" t="s">
        <v>21</v>
      </c>
      <c r="Q691" t="s">
        <v>21</v>
      </c>
      <c r="R691" t="s">
        <v>1278</v>
      </c>
      <c r="S691" t="s">
        <v>1278</v>
      </c>
      <c r="T691" t="s">
        <v>1278</v>
      </c>
      <c r="U691" t="s">
        <v>1348</v>
      </c>
      <c r="V691" t="s">
        <v>1769</v>
      </c>
      <c r="W691" t="s">
        <v>1468</v>
      </c>
    </row>
    <row r="692" spans="1:23" x14ac:dyDescent="0.35">
      <c r="A692">
        <v>47</v>
      </c>
      <c r="B692">
        <v>2114</v>
      </c>
      <c r="C692">
        <v>2114</v>
      </c>
      <c r="D692" t="s">
        <v>23</v>
      </c>
      <c r="E692" t="s">
        <v>229</v>
      </c>
      <c r="F692" t="s">
        <v>393</v>
      </c>
      <c r="G692" t="s">
        <v>409</v>
      </c>
      <c r="H692" t="s">
        <v>410</v>
      </c>
      <c r="I692" t="s">
        <v>23</v>
      </c>
      <c r="J692" t="s">
        <v>442</v>
      </c>
      <c r="K692" t="s">
        <v>493</v>
      </c>
      <c r="L692" t="s">
        <v>1168</v>
      </c>
      <c r="M692">
        <v>2110</v>
      </c>
      <c r="N692" t="s">
        <v>1246</v>
      </c>
      <c r="O692" t="s">
        <v>1253</v>
      </c>
      <c r="P692" t="s">
        <v>21</v>
      </c>
      <c r="Q692" t="s">
        <v>21</v>
      </c>
      <c r="R692" t="s">
        <v>1311</v>
      </c>
      <c r="S692" t="s">
        <v>1311</v>
      </c>
      <c r="T692" t="s">
        <v>1338</v>
      </c>
      <c r="U692" t="s">
        <v>1348</v>
      </c>
      <c r="V692" t="s">
        <v>1871</v>
      </c>
      <c r="W692" t="s">
        <v>1592</v>
      </c>
    </row>
    <row r="693" spans="1:23" x14ac:dyDescent="0.35">
      <c r="A693">
        <v>48</v>
      </c>
      <c r="B693">
        <v>2114</v>
      </c>
      <c r="C693">
        <v>2114</v>
      </c>
      <c r="D693" t="s">
        <v>23</v>
      </c>
      <c r="E693" t="s">
        <v>229</v>
      </c>
      <c r="F693" t="s">
        <v>393</v>
      </c>
      <c r="G693" t="s">
        <v>409</v>
      </c>
      <c r="H693" t="s">
        <v>410</v>
      </c>
      <c r="I693" t="s">
        <v>23</v>
      </c>
      <c r="J693" t="s">
        <v>442</v>
      </c>
      <c r="K693" t="s">
        <v>493</v>
      </c>
      <c r="L693" t="s">
        <v>1169</v>
      </c>
      <c r="M693">
        <v>2119</v>
      </c>
      <c r="N693" t="s">
        <v>1246</v>
      </c>
      <c r="O693" t="s">
        <v>1253</v>
      </c>
      <c r="P693" t="s">
        <v>21</v>
      </c>
      <c r="Q693" t="s">
        <v>21</v>
      </c>
      <c r="R693" t="s">
        <v>1318</v>
      </c>
      <c r="S693" t="s">
        <v>1318</v>
      </c>
      <c r="T693" t="s">
        <v>1341</v>
      </c>
      <c r="U693" t="s">
        <v>1348</v>
      </c>
      <c r="V693" t="s">
        <v>1872</v>
      </c>
      <c r="W693" t="s">
        <v>1477</v>
      </c>
    </row>
    <row r="694" spans="1:23" x14ac:dyDescent="0.35">
      <c r="A694">
        <v>49</v>
      </c>
      <c r="B694">
        <v>2114</v>
      </c>
      <c r="C694">
        <v>2115</v>
      </c>
      <c r="D694" t="s">
        <v>23</v>
      </c>
      <c r="E694" t="s">
        <v>157</v>
      </c>
      <c r="F694" t="s">
        <v>393</v>
      </c>
      <c r="G694" t="s">
        <v>409</v>
      </c>
      <c r="H694" t="s">
        <v>410</v>
      </c>
      <c r="I694" t="s">
        <v>23</v>
      </c>
      <c r="J694" t="s">
        <v>442</v>
      </c>
      <c r="K694" t="s">
        <v>493</v>
      </c>
      <c r="L694" t="s">
        <v>1170</v>
      </c>
      <c r="M694">
        <v>2110</v>
      </c>
      <c r="N694" t="s">
        <v>1246</v>
      </c>
      <c r="O694" t="s">
        <v>1253</v>
      </c>
      <c r="P694" t="s">
        <v>21</v>
      </c>
      <c r="Q694" t="s">
        <v>21</v>
      </c>
      <c r="R694" t="s">
        <v>1323</v>
      </c>
      <c r="S694" t="s">
        <v>1323</v>
      </c>
      <c r="T694" t="s">
        <v>1335</v>
      </c>
      <c r="U694" t="s">
        <v>1348</v>
      </c>
      <c r="V694" t="s">
        <v>1873</v>
      </c>
      <c r="W694" t="s">
        <v>1593</v>
      </c>
    </row>
    <row r="695" spans="1:23" x14ac:dyDescent="0.35">
      <c r="A695">
        <v>50</v>
      </c>
      <c r="B695">
        <v>2133</v>
      </c>
      <c r="C695">
        <v>2133</v>
      </c>
      <c r="D695" t="s">
        <v>23</v>
      </c>
      <c r="E695" t="s">
        <v>108</v>
      </c>
      <c r="F695" t="s">
        <v>394</v>
      </c>
      <c r="G695" t="s">
        <v>409</v>
      </c>
      <c r="H695" t="s">
        <v>410</v>
      </c>
      <c r="I695" t="s">
        <v>23</v>
      </c>
      <c r="J695" t="s">
        <v>442</v>
      </c>
      <c r="K695" t="s">
        <v>493</v>
      </c>
      <c r="L695" t="s">
        <v>1171</v>
      </c>
      <c r="M695">
        <v>2114</v>
      </c>
      <c r="N695" t="s">
        <v>1246</v>
      </c>
      <c r="O695" t="s">
        <v>1253</v>
      </c>
      <c r="P695" t="s">
        <v>21</v>
      </c>
      <c r="Q695" t="s">
        <v>21</v>
      </c>
      <c r="R695" t="s">
        <v>1291</v>
      </c>
      <c r="S695" t="s">
        <v>1291</v>
      </c>
      <c r="T695" t="s">
        <v>410</v>
      </c>
      <c r="U695" t="s">
        <v>1348</v>
      </c>
      <c r="V695" t="s">
        <v>1874</v>
      </c>
      <c r="W695" t="s">
        <v>1594</v>
      </c>
    </row>
    <row r="696" spans="1:23" x14ac:dyDescent="0.35">
      <c r="A696">
        <v>1</v>
      </c>
      <c r="B696">
        <v>2029</v>
      </c>
      <c r="C696">
        <v>2029</v>
      </c>
      <c r="D696" t="s">
        <v>23</v>
      </c>
      <c r="E696" t="s">
        <v>230</v>
      </c>
      <c r="F696" t="s">
        <v>395</v>
      </c>
      <c r="G696" t="s">
        <v>409</v>
      </c>
      <c r="H696" t="s">
        <v>417</v>
      </c>
      <c r="I696" t="s">
        <v>23</v>
      </c>
      <c r="J696" t="s">
        <v>444</v>
      </c>
      <c r="K696" t="s">
        <v>494</v>
      </c>
      <c r="L696" t="s">
        <v>1172</v>
      </c>
      <c r="M696">
        <v>2024</v>
      </c>
      <c r="N696" t="s">
        <v>1251</v>
      </c>
      <c r="O696" t="s">
        <v>1253</v>
      </c>
      <c r="P696" t="s">
        <v>21</v>
      </c>
      <c r="Q696" t="s">
        <v>21</v>
      </c>
      <c r="R696" t="s">
        <v>1307</v>
      </c>
      <c r="S696" t="s">
        <v>1308</v>
      </c>
      <c r="T696" t="s">
        <v>1346</v>
      </c>
      <c r="U696" t="s">
        <v>1348</v>
      </c>
      <c r="V696" t="s">
        <v>1744</v>
      </c>
      <c r="W696" t="s">
        <v>1533</v>
      </c>
    </row>
    <row r="697" spans="1:23" x14ac:dyDescent="0.35">
      <c r="A697">
        <v>2</v>
      </c>
      <c r="B697">
        <v>2030</v>
      </c>
      <c r="C697">
        <v>2030</v>
      </c>
      <c r="D697" t="s">
        <v>23</v>
      </c>
      <c r="E697" t="s">
        <v>231</v>
      </c>
      <c r="F697" t="s">
        <v>396</v>
      </c>
      <c r="G697" t="s">
        <v>409</v>
      </c>
      <c r="H697" t="s">
        <v>417</v>
      </c>
      <c r="I697" t="s">
        <v>23</v>
      </c>
      <c r="J697" t="s">
        <v>444</v>
      </c>
      <c r="K697" t="s">
        <v>494</v>
      </c>
      <c r="L697" t="s">
        <v>1173</v>
      </c>
      <c r="M697">
        <v>2024</v>
      </c>
      <c r="N697" t="s">
        <v>1251</v>
      </c>
      <c r="O697" t="s">
        <v>1253</v>
      </c>
      <c r="P697" t="s">
        <v>21</v>
      </c>
      <c r="Q697" t="s">
        <v>21</v>
      </c>
      <c r="R697" t="s">
        <v>1330</v>
      </c>
      <c r="S697" t="s">
        <v>1330</v>
      </c>
      <c r="T697" t="s">
        <v>1343</v>
      </c>
      <c r="U697" t="s">
        <v>1348</v>
      </c>
      <c r="V697" t="s">
        <v>1875</v>
      </c>
      <c r="W697" t="s">
        <v>1595</v>
      </c>
    </row>
    <row r="698" spans="1:23" x14ac:dyDescent="0.35">
      <c r="A698">
        <v>3</v>
      </c>
      <c r="B698">
        <v>2032</v>
      </c>
      <c r="C698">
        <v>2032</v>
      </c>
      <c r="D698" t="s">
        <v>23</v>
      </c>
      <c r="E698" t="s">
        <v>168</v>
      </c>
      <c r="F698" t="s">
        <v>321</v>
      </c>
      <c r="G698" t="s">
        <v>409</v>
      </c>
      <c r="H698" t="s">
        <v>417</v>
      </c>
      <c r="I698" t="s">
        <v>23</v>
      </c>
      <c r="J698" t="s">
        <v>444</v>
      </c>
      <c r="K698" t="s">
        <v>494</v>
      </c>
      <c r="L698" t="s">
        <v>1174</v>
      </c>
      <c r="M698">
        <v>2028</v>
      </c>
      <c r="N698" t="s">
        <v>1251</v>
      </c>
      <c r="O698" t="s">
        <v>1253</v>
      </c>
      <c r="P698" t="s">
        <v>21</v>
      </c>
      <c r="Q698" t="s">
        <v>21</v>
      </c>
      <c r="R698" t="s">
        <v>1268</v>
      </c>
      <c r="S698" t="s">
        <v>1268</v>
      </c>
      <c r="T698" t="s">
        <v>1336</v>
      </c>
      <c r="U698" t="s">
        <v>1348</v>
      </c>
    </row>
    <row r="699" spans="1:23" x14ac:dyDescent="0.35">
      <c r="A699">
        <v>4</v>
      </c>
      <c r="B699">
        <v>2032</v>
      </c>
      <c r="C699">
        <v>2032</v>
      </c>
      <c r="D699" t="s">
        <v>23</v>
      </c>
      <c r="E699" t="s">
        <v>168</v>
      </c>
      <c r="F699" t="s">
        <v>321</v>
      </c>
      <c r="G699" t="s">
        <v>409</v>
      </c>
      <c r="H699" t="s">
        <v>417</v>
      </c>
      <c r="I699" t="s">
        <v>23</v>
      </c>
      <c r="J699" t="s">
        <v>444</v>
      </c>
      <c r="K699" t="s">
        <v>494</v>
      </c>
      <c r="L699" t="s">
        <v>1175</v>
      </c>
      <c r="M699">
        <v>2028</v>
      </c>
      <c r="N699" t="s">
        <v>1251</v>
      </c>
      <c r="O699" t="s">
        <v>1253</v>
      </c>
      <c r="P699" t="s">
        <v>21</v>
      </c>
      <c r="Q699" t="s">
        <v>21</v>
      </c>
      <c r="R699" t="s">
        <v>1307</v>
      </c>
      <c r="S699" t="s">
        <v>1308</v>
      </c>
      <c r="T699" t="s">
        <v>1346</v>
      </c>
      <c r="U699" t="s">
        <v>1348</v>
      </c>
    </row>
    <row r="700" spans="1:23" x14ac:dyDescent="0.35">
      <c r="A700">
        <v>5</v>
      </c>
      <c r="B700">
        <v>2033</v>
      </c>
      <c r="C700">
        <v>2033</v>
      </c>
      <c r="D700" t="s">
        <v>23</v>
      </c>
      <c r="E700" t="s">
        <v>232</v>
      </c>
      <c r="F700" t="s">
        <v>397</v>
      </c>
      <c r="G700" t="s">
        <v>409</v>
      </c>
      <c r="H700" t="s">
        <v>417</v>
      </c>
      <c r="I700" t="s">
        <v>23</v>
      </c>
      <c r="J700" t="s">
        <v>444</v>
      </c>
      <c r="K700" t="s">
        <v>494</v>
      </c>
      <c r="L700" t="s">
        <v>1176</v>
      </c>
      <c r="M700">
        <v>2028</v>
      </c>
      <c r="N700" t="s">
        <v>1251</v>
      </c>
      <c r="O700" t="s">
        <v>1253</v>
      </c>
      <c r="P700" t="s">
        <v>21</v>
      </c>
      <c r="Q700" t="s">
        <v>21</v>
      </c>
      <c r="R700" t="s">
        <v>1312</v>
      </c>
      <c r="S700" t="s">
        <v>1312</v>
      </c>
      <c r="T700" t="s">
        <v>410</v>
      </c>
      <c r="U700" t="s">
        <v>1348</v>
      </c>
    </row>
    <row r="701" spans="1:23" x14ac:dyDescent="0.35">
      <c r="A701">
        <v>6</v>
      </c>
      <c r="B701">
        <v>2034</v>
      </c>
      <c r="C701">
        <v>2034</v>
      </c>
      <c r="D701" t="s">
        <v>23</v>
      </c>
      <c r="E701" t="s">
        <v>161</v>
      </c>
      <c r="F701" t="s">
        <v>313</v>
      </c>
      <c r="G701" t="s">
        <v>409</v>
      </c>
      <c r="H701" t="s">
        <v>417</v>
      </c>
      <c r="I701" t="s">
        <v>23</v>
      </c>
      <c r="J701" t="s">
        <v>444</v>
      </c>
      <c r="K701" t="s">
        <v>494</v>
      </c>
      <c r="L701" t="s">
        <v>1177</v>
      </c>
      <c r="M701">
        <v>2028</v>
      </c>
      <c r="N701" t="s">
        <v>1251</v>
      </c>
      <c r="O701" t="s">
        <v>1253</v>
      </c>
      <c r="P701" t="s">
        <v>21</v>
      </c>
      <c r="Q701" t="s">
        <v>21</v>
      </c>
      <c r="R701" t="s">
        <v>1331</v>
      </c>
      <c r="S701" t="s">
        <v>1331</v>
      </c>
      <c r="T701" t="s">
        <v>1341</v>
      </c>
      <c r="U701" t="s">
        <v>1348</v>
      </c>
    </row>
    <row r="702" spans="1:23" x14ac:dyDescent="0.35">
      <c r="A702">
        <v>7</v>
      </c>
      <c r="B702">
        <v>2035</v>
      </c>
      <c r="C702">
        <v>2035</v>
      </c>
      <c r="D702" t="s">
        <v>23</v>
      </c>
      <c r="E702" t="s">
        <v>233</v>
      </c>
      <c r="F702" t="s">
        <v>398</v>
      </c>
      <c r="G702" t="s">
        <v>409</v>
      </c>
      <c r="H702" t="s">
        <v>417</v>
      </c>
      <c r="I702" t="s">
        <v>23</v>
      </c>
      <c r="J702" t="s">
        <v>444</v>
      </c>
      <c r="K702" t="s">
        <v>494</v>
      </c>
      <c r="L702" t="s">
        <v>1178</v>
      </c>
      <c r="M702">
        <v>2031</v>
      </c>
      <c r="N702" t="s">
        <v>1251</v>
      </c>
      <c r="O702" t="s">
        <v>1253</v>
      </c>
      <c r="P702" t="s">
        <v>21</v>
      </c>
      <c r="Q702" t="s">
        <v>21</v>
      </c>
      <c r="R702" t="s">
        <v>1325</v>
      </c>
      <c r="S702" t="s">
        <v>1325</v>
      </c>
      <c r="T702" t="s">
        <v>1338</v>
      </c>
      <c r="U702" t="s">
        <v>1348</v>
      </c>
    </row>
    <row r="703" spans="1:23" x14ac:dyDescent="0.35">
      <c r="A703">
        <v>8</v>
      </c>
      <c r="B703">
        <v>2035</v>
      </c>
      <c r="C703">
        <v>2035</v>
      </c>
      <c r="D703" t="s">
        <v>23</v>
      </c>
      <c r="E703" t="s">
        <v>233</v>
      </c>
      <c r="F703" t="s">
        <v>398</v>
      </c>
      <c r="G703" t="s">
        <v>409</v>
      </c>
      <c r="H703" t="s">
        <v>417</v>
      </c>
      <c r="I703" t="s">
        <v>23</v>
      </c>
      <c r="J703" t="s">
        <v>444</v>
      </c>
      <c r="K703" t="s">
        <v>494</v>
      </c>
      <c r="L703" t="s">
        <v>1179</v>
      </c>
      <c r="M703">
        <v>2031</v>
      </c>
      <c r="N703" t="s">
        <v>1251</v>
      </c>
      <c r="O703" t="s">
        <v>1253</v>
      </c>
      <c r="P703" t="s">
        <v>21</v>
      </c>
      <c r="Q703" t="s">
        <v>21</v>
      </c>
      <c r="R703" t="s">
        <v>1318</v>
      </c>
      <c r="S703" t="s">
        <v>1318</v>
      </c>
      <c r="T703" t="s">
        <v>1341</v>
      </c>
      <c r="U703" t="s">
        <v>1348</v>
      </c>
    </row>
    <row r="704" spans="1:23" x14ac:dyDescent="0.35">
      <c r="A704">
        <v>9</v>
      </c>
      <c r="B704">
        <v>2037</v>
      </c>
      <c r="C704">
        <v>2037</v>
      </c>
      <c r="D704" t="s">
        <v>23</v>
      </c>
      <c r="E704" t="s">
        <v>234</v>
      </c>
      <c r="F704" t="s">
        <v>399</v>
      </c>
      <c r="G704" t="s">
        <v>409</v>
      </c>
      <c r="H704" t="s">
        <v>417</v>
      </c>
      <c r="I704" t="s">
        <v>23</v>
      </c>
      <c r="J704" t="s">
        <v>444</v>
      </c>
      <c r="K704" t="s">
        <v>494</v>
      </c>
      <c r="L704" t="s">
        <v>1180</v>
      </c>
      <c r="M704">
        <v>2033</v>
      </c>
      <c r="N704" t="s">
        <v>1251</v>
      </c>
      <c r="O704" t="s">
        <v>1253</v>
      </c>
      <c r="P704" t="s">
        <v>21</v>
      </c>
      <c r="Q704" t="s">
        <v>21</v>
      </c>
      <c r="R704" t="s">
        <v>1298</v>
      </c>
      <c r="S704" t="s">
        <v>1298</v>
      </c>
      <c r="T704" t="s">
        <v>410</v>
      </c>
      <c r="U704" t="s">
        <v>1348</v>
      </c>
    </row>
    <row r="705" spans="1:21" x14ac:dyDescent="0.35">
      <c r="A705">
        <v>10</v>
      </c>
      <c r="B705">
        <v>2042</v>
      </c>
      <c r="C705">
        <v>2042</v>
      </c>
      <c r="D705" t="s">
        <v>23</v>
      </c>
      <c r="E705" t="s">
        <v>175</v>
      </c>
      <c r="F705" t="s">
        <v>328</v>
      </c>
      <c r="G705" t="s">
        <v>409</v>
      </c>
      <c r="H705" t="s">
        <v>417</v>
      </c>
      <c r="I705" t="s">
        <v>23</v>
      </c>
      <c r="J705" t="s">
        <v>444</v>
      </c>
      <c r="K705" t="s">
        <v>494</v>
      </c>
      <c r="L705" t="s">
        <v>1181</v>
      </c>
      <c r="M705">
        <v>2038</v>
      </c>
      <c r="N705" t="s">
        <v>1251</v>
      </c>
      <c r="O705" t="s">
        <v>1253</v>
      </c>
      <c r="P705" t="s">
        <v>21</v>
      </c>
      <c r="Q705" t="s">
        <v>21</v>
      </c>
      <c r="R705" t="s">
        <v>1302</v>
      </c>
      <c r="S705" t="s">
        <v>1302</v>
      </c>
      <c r="T705" t="s">
        <v>1337</v>
      </c>
      <c r="U705" t="s">
        <v>1348</v>
      </c>
    </row>
    <row r="706" spans="1:21" x14ac:dyDescent="0.35">
      <c r="A706">
        <v>11</v>
      </c>
      <c r="B706">
        <v>2043</v>
      </c>
      <c r="C706">
        <v>2043</v>
      </c>
      <c r="D706" t="s">
        <v>23</v>
      </c>
      <c r="E706" t="s">
        <v>151</v>
      </c>
      <c r="F706" t="s">
        <v>298</v>
      </c>
      <c r="G706" t="s">
        <v>409</v>
      </c>
      <c r="H706" t="s">
        <v>417</v>
      </c>
      <c r="I706" t="s">
        <v>23</v>
      </c>
      <c r="J706" t="s">
        <v>444</v>
      </c>
      <c r="K706" t="s">
        <v>494</v>
      </c>
      <c r="L706" t="s">
        <v>1182</v>
      </c>
      <c r="M706">
        <v>2039</v>
      </c>
      <c r="N706" t="s">
        <v>1251</v>
      </c>
      <c r="O706" t="s">
        <v>1253</v>
      </c>
      <c r="P706" t="s">
        <v>21</v>
      </c>
      <c r="Q706" t="s">
        <v>21</v>
      </c>
      <c r="R706" t="s">
        <v>1311</v>
      </c>
      <c r="S706" t="s">
        <v>1311</v>
      </c>
      <c r="T706" t="s">
        <v>1338</v>
      </c>
      <c r="U706" t="s">
        <v>1348</v>
      </c>
    </row>
    <row r="707" spans="1:21" x14ac:dyDescent="0.35">
      <c r="A707">
        <v>12</v>
      </c>
      <c r="B707">
        <v>2043</v>
      </c>
      <c r="C707">
        <v>2043</v>
      </c>
      <c r="D707" t="s">
        <v>23</v>
      </c>
      <c r="E707" t="s">
        <v>151</v>
      </c>
      <c r="F707" t="s">
        <v>298</v>
      </c>
      <c r="G707" t="s">
        <v>409</v>
      </c>
      <c r="H707" t="s">
        <v>417</v>
      </c>
      <c r="I707" t="s">
        <v>23</v>
      </c>
      <c r="J707" t="s">
        <v>444</v>
      </c>
      <c r="K707" t="s">
        <v>494</v>
      </c>
      <c r="L707" t="s">
        <v>1183</v>
      </c>
      <c r="M707">
        <v>2039</v>
      </c>
      <c r="N707" t="s">
        <v>1251</v>
      </c>
      <c r="O707" t="s">
        <v>1253</v>
      </c>
      <c r="P707" t="s">
        <v>21</v>
      </c>
      <c r="Q707" t="s">
        <v>21</v>
      </c>
      <c r="R707" t="s">
        <v>1291</v>
      </c>
      <c r="S707" t="s">
        <v>1291</v>
      </c>
      <c r="T707" t="s">
        <v>410</v>
      </c>
      <c r="U707" t="s">
        <v>1348</v>
      </c>
    </row>
    <row r="708" spans="1:21" x14ac:dyDescent="0.35">
      <c r="A708">
        <v>13</v>
      </c>
      <c r="B708">
        <v>2101</v>
      </c>
      <c r="C708">
        <v>2101</v>
      </c>
      <c r="D708" t="s">
        <v>23</v>
      </c>
      <c r="E708" t="s">
        <v>235</v>
      </c>
      <c r="F708" t="s">
        <v>400</v>
      </c>
      <c r="G708" t="s">
        <v>409</v>
      </c>
      <c r="H708" t="s">
        <v>417</v>
      </c>
      <c r="I708" t="s">
        <v>23</v>
      </c>
      <c r="J708" t="s">
        <v>444</v>
      </c>
      <c r="K708" t="s">
        <v>494</v>
      </c>
      <c r="L708" t="s">
        <v>1184</v>
      </c>
      <c r="M708">
        <v>2044</v>
      </c>
      <c r="N708" t="s">
        <v>1251</v>
      </c>
      <c r="O708" t="s">
        <v>1253</v>
      </c>
      <c r="P708" t="s">
        <v>21</v>
      </c>
      <c r="Q708" t="s">
        <v>21</v>
      </c>
      <c r="R708" t="s">
        <v>1302</v>
      </c>
      <c r="S708" t="s">
        <v>1302</v>
      </c>
      <c r="T708" t="s">
        <v>1337</v>
      </c>
      <c r="U708" t="s">
        <v>1348</v>
      </c>
    </row>
    <row r="709" spans="1:21" x14ac:dyDescent="0.35">
      <c r="A709">
        <v>14</v>
      </c>
      <c r="B709">
        <v>2103</v>
      </c>
      <c r="C709">
        <v>2103</v>
      </c>
      <c r="D709" t="s">
        <v>23</v>
      </c>
      <c r="E709" t="s">
        <v>40</v>
      </c>
      <c r="F709" t="s">
        <v>401</v>
      </c>
      <c r="G709" t="s">
        <v>409</v>
      </c>
      <c r="H709" t="s">
        <v>417</v>
      </c>
      <c r="I709" t="s">
        <v>23</v>
      </c>
      <c r="J709" t="s">
        <v>444</v>
      </c>
      <c r="K709" t="s">
        <v>494</v>
      </c>
      <c r="L709" t="s">
        <v>1185</v>
      </c>
      <c r="M709">
        <v>2046</v>
      </c>
      <c r="N709" t="s">
        <v>1251</v>
      </c>
      <c r="O709" t="s">
        <v>1253</v>
      </c>
      <c r="P709" t="s">
        <v>21</v>
      </c>
      <c r="Q709" t="s">
        <v>21</v>
      </c>
      <c r="R709" t="s">
        <v>1255</v>
      </c>
      <c r="S709" t="s">
        <v>1255</v>
      </c>
      <c r="T709" t="s">
        <v>1278</v>
      </c>
      <c r="U709" t="s">
        <v>1348</v>
      </c>
    </row>
    <row r="710" spans="1:21" x14ac:dyDescent="0.35">
      <c r="A710">
        <v>15</v>
      </c>
      <c r="B710">
        <v>2105</v>
      </c>
      <c r="C710">
        <v>2105</v>
      </c>
      <c r="D710" t="s">
        <v>23</v>
      </c>
      <c r="E710" t="s">
        <v>49</v>
      </c>
      <c r="F710" t="s">
        <v>402</v>
      </c>
      <c r="G710" t="s">
        <v>409</v>
      </c>
      <c r="H710" t="s">
        <v>417</v>
      </c>
      <c r="I710" t="s">
        <v>23</v>
      </c>
      <c r="J710" t="s">
        <v>444</v>
      </c>
      <c r="K710" t="s">
        <v>494</v>
      </c>
      <c r="L710" t="s">
        <v>1186</v>
      </c>
      <c r="M710">
        <v>2052</v>
      </c>
      <c r="N710" t="s">
        <v>1251</v>
      </c>
      <c r="O710" t="s">
        <v>1253</v>
      </c>
      <c r="P710" t="s">
        <v>21</v>
      </c>
      <c r="Q710" t="s">
        <v>21</v>
      </c>
      <c r="R710" t="s">
        <v>1308</v>
      </c>
      <c r="S710" t="s">
        <v>1308</v>
      </c>
      <c r="T710" t="s">
        <v>1346</v>
      </c>
      <c r="U710" t="s">
        <v>1348</v>
      </c>
    </row>
    <row r="711" spans="1:21" x14ac:dyDescent="0.35">
      <c r="A711">
        <v>16</v>
      </c>
      <c r="B711">
        <v>2112</v>
      </c>
      <c r="C711">
        <v>2112</v>
      </c>
      <c r="D711" t="s">
        <v>23</v>
      </c>
      <c r="E711" t="s">
        <v>67</v>
      </c>
      <c r="F711" t="s">
        <v>307</v>
      </c>
      <c r="G711" t="s">
        <v>409</v>
      </c>
      <c r="H711" t="s">
        <v>417</v>
      </c>
      <c r="I711" t="s">
        <v>23</v>
      </c>
      <c r="J711" t="s">
        <v>444</v>
      </c>
      <c r="K711" t="s">
        <v>494</v>
      </c>
      <c r="L711" t="s">
        <v>1187</v>
      </c>
      <c r="M711">
        <v>2104</v>
      </c>
      <c r="N711" t="s">
        <v>1251</v>
      </c>
      <c r="O711" t="s">
        <v>1253</v>
      </c>
      <c r="P711" t="s">
        <v>21</v>
      </c>
      <c r="Q711" t="s">
        <v>21</v>
      </c>
      <c r="R711" t="s">
        <v>1309</v>
      </c>
      <c r="S711" t="s">
        <v>1309</v>
      </c>
      <c r="T711" t="s">
        <v>410</v>
      </c>
      <c r="U711" t="s">
        <v>1348</v>
      </c>
    </row>
    <row r="712" spans="1:21" x14ac:dyDescent="0.35">
      <c r="A712">
        <v>17</v>
      </c>
      <c r="B712">
        <v>2112</v>
      </c>
      <c r="C712">
        <v>2112</v>
      </c>
      <c r="D712" t="s">
        <v>23</v>
      </c>
      <c r="E712" t="s">
        <v>236</v>
      </c>
      <c r="F712" t="s">
        <v>403</v>
      </c>
      <c r="G712" t="s">
        <v>409</v>
      </c>
      <c r="H712" t="s">
        <v>417</v>
      </c>
      <c r="I712" t="s">
        <v>23</v>
      </c>
      <c r="J712" t="s">
        <v>444</v>
      </c>
      <c r="K712" t="s">
        <v>494</v>
      </c>
      <c r="L712" t="s">
        <v>1188</v>
      </c>
      <c r="M712">
        <v>2105</v>
      </c>
      <c r="N712" t="s">
        <v>1251</v>
      </c>
      <c r="O712" t="s">
        <v>1253</v>
      </c>
      <c r="P712" t="s">
        <v>21</v>
      </c>
      <c r="Q712" t="s">
        <v>21</v>
      </c>
      <c r="R712" t="s">
        <v>1332</v>
      </c>
      <c r="S712" t="s">
        <v>1332</v>
      </c>
      <c r="T712" t="s">
        <v>1342</v>
      </c>
      <c r="U712" t="s">
        <v>1348</v>
      </c>
    </row>
    <row r="713" spans="1:21" x14ac:dyDescent="0.35">
      <c r="A713">
        <v>18</v>
      </c>
      <c r="B713">
        <v>2115</v>
      </c>
      <c r="C713">
        <v>2115</v>
      </c>
      <c r="D713" t="s">
        <v>23</v>
      </c>
      <c r="E713" t="s">
        <v>237</v>
      </c>
      <c r="F713" t="s">
        <v>404</v>
      </c>
      <c r="G713" t="s">
        <v>409</v>
      </c>
      <c r="H713" t="s">
        <v>417</v>
      </c>
      <c r="I713" t="s">
        <v>23</v>
      </c>
      <c r="J713" t="s">
        <v>444</v>
      </c>
      <c r="K713" t="s">
        <v>494</v>
      </c>
      <c r="L713" t="s">
        <v>1189</v>
      </c>
      <c r="M713">
        <v>2110</v>
      </c>
      <c r="N713" t="s">
        <v>1251</v>
      </c>
      <c r="O713" t="s">
        <v>1253</v>
      </c>
      <c r="P713" t="s">
        <v>21</v>
      </c>
      <c r="Q713" t="s">
        <v>21</v>
      </c>
      <c r="R713" t="s">
        <v>1323</v>
      </c>
      <c r="S713" t="s">
        <v>1323</v>
      </c>
      <c r="T713" t="s">
        <v>1335</v>
      </c>
      <c r="U713" t="s">
        <v>1348</v>
      </c>
    </row>
    <row r="714" spans="1:21" x14ac:dyDescent="0.35">
      <c r="A714">
        <v>19</v>
      </c>
      <c r="B714">
        <v>2122</v>
      </c>
      <c r="C714">
        <v>2122</v>
      </c>
      <c r="D714" t="s">
        <v>23</v>
      </c>
      <c r="E714" t="s">
        <v>238</v>
      </c>
      <c r="F714" t="s">
        <v>333</v>
      </c>
      <c r="G714" t="s">
        <v>409</v>
      </c>
      <c r="H714" t="s">
        <v>417</v>
      </c>
      <c r="I714" t="s">
        <v>23</v>
      </c>
      <c r="J714" t="s">
        <v>444</v>
      </c>
      <c r="K714" t="s">
        <v>494</v>
      </c>
      <c r="L714" t="s">
        <v>1190</v>
      </c>
      <c r="M714">
        <v>2110</v>
      </c>
      <c r="N714" t="s">
        <v>1251</v>
      </c>
      <c r="O714" t="s">
        <v>1253</v>
      </c>
      <c r="P714" t="s">
        <v>21</v>
      </c>
      <c r="Q714" t="s">
        <v>21</v>
      </c>
      <c r="R714" t="s">
        <v>1310</v>
      </c>
      <c r="S714" t="s">
        <v>1310</v>
      </c>
      <c r="T714" t="s">
        <v>1338</v>
      </c>
      <c r="U714" t="s">
        <v>1348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11"/>
  <sheetViews>
    <sheetView workbookViewId="0">
      <selection activeCell="C15" sqref="C15"/>
    </sheetView>
  </sheetViews>
  <sheetFormatPr defaultRowHeight="14.5" x14ac:dyDescent="0.35"/>
  <cols>
    <col min="7" max="7" width="17.7265625" bestFit="1" customWidth="1"/>
    <col min="8" max="8" width="15" bestFit="1" customWidth="1"/>
  </cols>
  <sheetData>
    <row r="1" spans="1:8" x14ac:dyDescent="0.35">
      <c r="A1" s="1" t="s">
        <v>6</v>
      </c>
      <c r="B1" s="1" t="s">
        <v>10</v>
      </c>
      <c r="C1" s="1" t="s">
        <v>12</v>
      </c>
      <c r="D1" s="1" t="s">
        <v>1350</v>
      </c>
      <c r="E1" s="1" t="s">
        <v>20</v>
      </c>
      <c r="F1" s="1" t="s">
        <v>1351</v>
      </c>
      <c r="G1" t="s">
        <v>1404</v>
      </c>
      <c r="H1" s="24" t="s">
        <v>1409</v>
      </c>
    </row>
    <row r="2" spans="1:8" x14ac:dyDescent="0.35">
      <c r="A2" t="s">
        <v>405</v>
      </c>
      <c r="B2" t="s">
        <v>434</v>
      </c>
      <c r="C2">
        <v>2112</v>
      </c>
      <c r="D2">
        <v>6</v>
      </c>
      <c r="E2" t="s">
        <v>1347</v>
      </c>
      <c r="F2" t="s">
        <v>1356</v>
      </c>
      <c r="G2" t="str">
        <f>C2&amp;E2</f>
        <v>2112FY21</v>
      </c>
      <c r="H2" t="str">
        <f>E2&amp;F2</f>
        <v>FY2121 Mar</v>
      </c>
    </row>
    <row r="3" spans="1:8" x14ac:dyDescent="0.35">
      <c r="A3" t="s">
        <v>405</v>
      </c>
      <c r="B3" t="s">
        <v>434</v>
      </c>
      <c r="C3">
        <v>2113</v>
      </c>
      <c r="D3">
        <v>32</v>
      </c>
      <c r="E3" t="s">
        <v>1347</v>
      </c>
      <c r="F3" t="s">
        <v>1356</v>
      </c>
      <c r="G3" t="str">
        <f t="shared" ref="G3:G66" si="0">C3&amp;E3</f>
        <v>2113FY21</v>
      </c>
      <c r="H3" t="str">
        <f t="shared" ref="H3:H66" si="1">E3&amp;F3</f>
        <v>FY2121 Mar</v>
      </c>
    </row>
    <row r="4" spans="1:8" x14ac:dyDescent="0.35">
      <c r="A4" t="s">
        <v>405</v>
      </c>
      <c r="B4" t="s">
        <v>434</v>
      </c>
      <c r="C4">
        <v>2114</v>
      </c>
      <c r="D4">
        <v>182</v>
      </c>
      <c r="E4" t="s">
        <v>1347</v>
      </c>
      <c r="F4" t="s">
        <v>1357</v>
      </c>
      <c r="G4" t="str">
        <f t="shared" si="0"/>
        <v>2114FY21</v>
      </c>
      <c r="H4" t="str">
        <f t="shared" si="1"/>
        <v>FY2121 Apr</v>
      </c>
    </row>
    <row r="5" spans="1:8" x14ac:dyDescent="0.35">
      <c r="A5" t="s">
        <v>405</v>
      </c>
      <c r="B5" t="s">
        <v>434</v>
      </c>
      <c r="C5">
        <v>2116</v>
      </c>
      <c r="D5">
        <v>140</v>
      </c>
      <c r="E5" t="s">
        <v>1347</v>
      </c>
      <c r="F5" t="s">
        <v>1357</v>
      </c>
      <c r="G5" t="str">
        <f t="shared" si="0"/>
        <v>2116FY21</v>
      </c>
      <c r="H5" t="str">
        <f t="shared" si="1"/>
        <v>FY2121 Apr</v>
      </c>
    </row>
    <row r="6" spans="1:8" x14ac:dyDescent="0.35">
      <c r="A6" t="s">
        <v>405</v>
      </c>
      <c r="B6" t="s">
        <v>434</v>
      </c>
      <c r="C6">
        <v>2118</v>
      </c>
      <c r="D6">
        <v>350</v>
      </c>
      <c r="E6" t="s">
        <v>1347</v>
      </c>
      <c r="F6" t="s">
        <v>1358</v>
      </c>
      <c r="G6" t="str">
        <f t="shared" si="0"/>
        <v>2118FY21</v>
      </c>
      <c r="H6" t="str">
        <f t="shared" si="1"/>
        <v>FY2121 May</v>
      </c>
    </row>
    <row r="7" spans="1:8" x14ac:dyDescent="0.35">
      <c r="A7" t="s">
        <v>405</v>
      </c>
      <c r="B7" t="s">
        <v>434</v>
      </c>
      <c r="C7">
        <v>2120</v>
      </c>
      <c r="D7">
        <v>380</v>
      </c>
      <c r="E7" t="s">
        <v>1347</v>
      </c>
      <c r="F7" t="s">
        <v>1358</v>
      </c>
      <c r="G7" t="str">
        <f t="shared" si="0"/>
        <v>2120FY21</v>
      </c>
      <c r="H7" t="str">
        <f t="shared" si="1"/>
        <v>FY2121 May</v>
      </c>
    </row>
    <row r="8" spans="1:8" x14ac:dyDescent="0.35">
      <c r="A8" t="s">
        <v>405</v>
      </c>
      <c r="B8" t="s">
        <v>434</v>
      </c>
      <c r="C8">
        <v>2123</v>
      </c>
      <c r="D8">
        <v>345</v>
      </c>
      <c r="E8" t="s">
        <v>1347</v>
      </c>
      <c r="F8" t="s">
        <v>1359</v>
      </c>
      <c r="G8" t="str">
        <f t="shared" si="0"/>
        <v>2123FY21</v>
      </c>
      <c r="H8" t="str">
        <f t="shared" si="1"/>
        <v>FY2121 Jun</v>
      </c>
    </row>
    <row r="9" spans="1:8" x14ac:dyDescent="0.35">
      <c r="A9" t="s">
        <v>405</v>
      </c>
      <c r="B9" t="s">
        <v>434</v>
      </c>
      <c r="C9">
        <v>2127</v>
      </c>
      <c r="D9">
        <v>555</v>
      </c>
      <c r="E9" t="s">
        <v>1347</v>
      </c>
      <c r="F9" t="s">
        <v>1360</v>
      </c>
      <c r="G9" t="str">
        <f t="shared" si="0"/>
        <v>2127FY21</v>
      </c>
      <c r="H9" t="str">
        <f t="shared" si="1"/>
        <v>FY2121 Jul</v>
      </c>
    </row>
    <row r="10" spans="1:8" x14ac:dyDescent="0.35">
      <c r="A10" t="s">
        <v>405</v>
      </c>
      <c r="B10" t="s">
        <v>434</v>
      </c>
      <c r="C10">
        <v>2128</v>
      </c>
      <c r="D10">
        <v>108</v>
      </c>
      <c r="E10" t="s">
        <v>1347</v>
      </c>
      <c r="F10" t="s">
        <v>1360</v>
      </c>
      <c r="G10" t="str">
        <f t="shared" si="0"/>
        <v>2128FY21</v>
      </c>
      <c r="H10" t="str">
        <f t="shared" si="1"/>
        <v>FY2121 Jul</v>
      </c>
    </row>
    <row r="11" spans="1:8" x14ac:dyDescent="0.35">
      <c r="A11" t="s">
        <v>405</v>
      </c>
      <c r="B11" t="s">
        <v>434</v>
      </c>
      <c r="C11">
        <v>2129</v>
      </c>
      <c r="D11">
        <v>234</v>
      </c>
      <c r="E11" t="s">
        <v>1347</v>
      </c>
      <c r="F11" t="s">
        <v>1360</v>
      </c>
      <c r="G11" t="str">
        <f t="shared" si="0"/>
        <v>2129FY21</v>
      </c>
      <c r="H11" t="str">
        <f t="shared" si="1"/>
        <v>FY2121 Jul</v>
      </c>
    </row>
    <row r="12" spans="1:8" x14ac:dyDescent="0.35">
      <c r="A12" t="s">
        <v>405</v>
      </c>
      <c r="B12" t="s">
        <v>434</v>
      </c>
      <c r="C12">
        <v>2130</v>
      </c>
      <c r="D12">
        <v>143</v>
      </c>
      <c r="E12" t="s">
        <v>1347</v>
      </c>
      <c r="F12" t="s">
        <v>1360</v>
      </c>
      <c r="G12" t="str">
        <f t="shared" si="0"/>
        <v>2130FY21</v>
      </c>
      <c r="H12" t="str">
        <f t="shared" si="1"/>
        <v>FY2121 Jul</v>
      </c>
    </row>
    <row r="13" spans="1:8" x14ac:dyDescent="0.35">
      <c r="A13" t="s">
        <v>405</v>
      </c>
      <c r="B13" t="s">
        <v>434</v>
      </c>
      <c r="C13">
        <v>2133</v>
      </c>
      <c r="D13">
        <v>679</v>
      </c>
      <c r="E13" t="s">
        <v>1347</v>
      </c>
      <c r="F13" t="s">
        <v>1361</v>
      </c>
      <c r="G13" t="str">
        <f t="shared" si="0"/>
        <v>2133FY21</v>
      </c>
      <c r="H13" t="str">
        <f t="shared" si="1"/>
        <v>FY2121 Aug</v>
      </c>
    </row>
    <row r="14" spans="1:8" x14ac:dyDescent="0.35">
      <c r="A14" t="s">
        <v>405</v>
      </c>
      <c r="B14" t="s">
        <v>435</v>
      </c>
      <c r="C14">
        <v>2116</v>
      </c>
      <c r="D14">
        <v>40</v>
      </c>
      <c r="E14" t="s">
        <v>1347</v>
      </c>
      <c r="F14" t="s">
        <v>1357</v>
      </c>
      <c r="G14" t="str">
        <f t="shared" si="0"/>
        <v>2116FY21</v>
      </c>
      <c r="H14" t="str">
        <f t="shared" si="1"/>
        <v>FY2121 Apr</v>
      </c>
    </row>
    <row r="15" spans="1:8" x14ac:dyDescent="0.35">
      <c r="A15" t="s">
        <v>405</v>
      </c>
      <c r="B15" t="s">
        <v>435</v>
      </c>
      <c r="C15">
        <v>2126</v>
      </c>
      <c r="D15">
        <v>217</v>
      </c>
      <c r="E15" t="s">
        <v>1347</v>
      </c>
      <c r="F15" t="s">
        <v>1359</v>
      </c>
      <c r="G15" t="str">
        <f t="shared" si="0"/>
        <v>2126FY21</v>
      </c>
      <c r="H15" t="str">
        <f t="shared" si="1"/>
        <v>FY2121 Jun</v>
      </c>
    </row>
    <row r="16" spans="1:8" x14ac:dyDescent="0.35">
      <c r="A16" t="s">
        <v>405</v>
      </c>
      <c r="B16" t="s">
        <v>435</v>
      </c>
      <c r="C16">
        <v>2127</v>
      </c>
      <c r="D16">
        <v>32</v>
      </c>
      <c r="E16" t="s">
        <v>1347</v>
      </c>
      <c r="F16" t="s">
        <v>1360</v>
      </c>
      <c r="G16" t="str">
        <f t="shared" si="0"/>
        <v>2127FY21</v>
      </c>
      <c r="H16" t="str">
        <f t="shared" si="1"/>
        <v>FY2121 Jul</v>
      </c>
    </row>
    <row r="17" spans="1:8" x14ac:dyDescent="0.35">
      <c r="A17" t="s">
        <v>406</v>
      </c>
      <c r="B17" t="s">
        <v>451</v>
      </c>
      <c r="C17">
        <v>2129</v>
      </c>
      <c r="D17">
        <v>3</v>
      </c>
      <c r="E17" t="s">
        <v>1347</v>
      </c>
      <c r="F17" t="s">
        <v>1360</v>
      </c>
      <c r="G17" t="str">
        <f t="shared" si="0"/>
        <v>2129FY21</v>
      </c>
      <c r="H17" t="str">
        <f t="shared" si="1"/>
        <v>FY2121 Jul</v>
      </c>
    </row>
    <row r="18" spans="1:8" x14ac:dyDescent="0.35">
      <c r="A18" t="s">
        <v>406</v>
      </c>
      <c r="B18" t="s">
        <v>451</v>
      </c>
      <c r="C18">
        <v>2131</v>
      </c>
      <c r="D18">
        <v>802</v>
      </c>
      <c r="E18" t="s">
        <v>1347</v>
      </c>
      <c r="F18" t="s">
        <v>1361</v>
      </c>
      <c r="G18" t="str">
        <f t="shared" si="0"/>
        <v>2131FY21</v>
      </c>
      <c r="H18" t="str">
        <f t="shared" si="1"/>
        <v>FY2121 Aug</v>
      </c>
    </row>
    <row r="19" spans="1:8" x14ac:dyDescent="0.35">
      <c r="A19" t="s">
        <v>406</v>
      </c>
      <c r="B19" t="s">
        <v>451</v>
      </c>
      <c r="C19">
        <v>2132</v>
      </c>
      <c r="D19">
        <v>1778</v>
      </c>
      <c r="E19" t="s">
        <v>1347</v>
      </c>
      <c r="F19" t="s">
        <v>1361</v>
      </c>
      <c r="G19" t="str">
        <f t="shared" si="0"/>
        <v>2132FY21</v>
      </c>
      <c r="H19" t="str">
        <f t="shared" si="1"/>
        <v>FY2121 Aug</v>
      </c>
    </row>
    <row r="20" spans="1:8" x14ac:dyDescent="0.35">
      <c r="A20" t="s">
        <v>406</v>
      </c>
      <c r="B20" t="s">
        <v>449</v>
      </c>
      <c r="C20">
        <v>2119</v>
      </c>
      <c r="D20">
        <v>40</v>
      </c>
      <c r="E20" t="s">
        <v>1347</v>
      </c>
      <c r="F20" t="s">
        <v>1358</v>
      </c>
      <c r="G20" t="str">
        <f t="shared" si="0"/>
        <v>2119FY21</v>
      </c>
      <c r="H20" t="str">
        <f t="shared" si="1"/>
        <v>FY2121 May</v>
      </c>
    </row>
    <row r="21" spans="1:8" x14ac:dyDescent="0.35">
      <c r="A21" t="s">
        <v>406</v>
      </c>
      <c r="B21" t="s">
        <v>449</v>
      </c>
      <c r="C21">
        <v>2121</v>
      </c>
      <c r="D21">
        <v>330</v>
      </c>
      <c r="E21" t="s">
        <v>1347</v>
      </c>
      <c r="F21" t="s">
        <v>1358</v>
      </c>
      <c r="G21" t="str">
        <f t="shared" si="0"/>
        <v>2121FY21</v>
      </c>
      <c r="H21" t="str">
        <f t="shared" si="1"/>
        <v>FY2121 May</v>
      </c>
    </row>
    <row r="22" spans="1:8" x14ac:dyDescent="0.35">
      <c r="A22" t="s">
        <v>406</v>
      </c>
      <c r="B22" t="s">
        <v>449</v>
      </c>
      <c r="C22">
        <v>2122</v>
      </c>
      <c r="D22">
        <v>370</v>
      </c>
      <c r="E22" t="s">
        <v>1347</v>
      </c>
      <c r="F22" t="s">
        <v>1358</v>
      </c>
      <c r="G22" t="str">
        <f t="shared" si="0"/>
        <v>2122FY21</v>
      </c>
      <c r="H22" t="str">
        <f t="shared" si="1"/>
        <v>FY2121 May</v>
      </c>
    </row>
    <row r="23" spans="1:8" x14ac:dyDescent="0.35">
      <c r="A23" t="s">
        <v>406</v>
      </c>
      <c r="B23" t="s">
        <v>449</v>
      </c>
      <c r="C23">
        <v>2123</v>
      </c>
      <c r="D23">
        <v>261</v>
      </c>
      <c r="E23" t="s">
        <v>1347</v>
      </c>
      <c r="F23" t="s">
        <v>1359</v>
      </c>
      <c r="G23" t="str">
        <f t="shared" si="0"/>
        <v>2123FY21</v>
      </c>
      <c r="H23" t="str">
        <f t="shared" si="1"/>
        <v>FY2121 Jun</v>
      </c>
    </row>
    <row r="24" spans="1:8" x14ac:dyDescent="0.35">
      <c r="A24" t="s">
        <v>406</v>
      </c>
      <c r="B24" t="s">
        <v>449</v>
      </c>
      <c r="C24">
        <v>2128</v>
      </c>
      <c r="D24">
        <v>1005</v>
      </c>
      <c r="E24" t="s">
        <v>1347</v>
      </c>
      <c r="F24" t="s">
        <v>1360</v>
      </c>
      <c r="G24" t="str">
        <f t="shared" si="0"/>
        <v>2128FY21</v>
      </c>
      <c r="H24" t="str">
        <f t="shared" si="1"/>
        <v>FY2121 Jul</v>
      </c>
    </row>
    <row r="25" spans="1:8" x14ac:dyDescent="0.35">
      <c r="A25" t="s">
        <v>406</v>
      </c>
      <c r="B25" t="s">
        <v>449</v>
      </c>
      <c r="C25">
        <v>2130</v>
      </c>
      <c r="D25">
        <v>735</v>
      </c>
      <c r="E25" t="s">
        <v>1347</v>
      </c>
      <c r="F25" t="s">
        <v>1360</v>
      </c>
      <c r="G25" t="str">
        <f t="shared" si="0"/>
        <v>2130FY21</v>
      </c>
      <c r="H25" t="str">
        <f t="shared" si="1"/>
        <v>FY2121 Jul</v>
      </c>
    </row>
    <row r="26" spans="1:8" x14ac:dyDescent="0.35">
      <c r="A26" t="s">
        <v>406</v>
      </c>
      <c r="B26" t="s">
        <v>436</v>
      </c>
      <c r="C26">
        <v>2115</v>
      </c>
      <c r="D26">
        <v>45</v>
      </c>
      <c r="E26" t="s">
        <v>1347</v>
      </c>
      <c r="F26" t="s">
        <v>1357</v>
      </c>
      <c r="G26" t="str">
        <f t="shared" si="0"/>
        <v>2115FY21</v>
      </c>
      <c r="H26" t="str">
        <f t="shared" si="1"/>
        <v>FY2121 Apr</v>
      </c>
    </row>
    <row r="27" spans="1:8" x14ac:dyDescent="0.35">
      <c r="A27" t="s">
        <v>406</v>
      </c>
      <c r="B27" t="s">
        <v>436</v>
      </c>
      <c r="C27">
        <v>2122</v>
      </c>
      <c r="D27">
        <v>274</v>
      </c>
      <c r="E27" t="s">
        <v>1347</v>
      </c>
      <c r="F27" t="s">
        <v>1358</v>
      </c>
      <c r="G27" t="str">
        <f t="shared" si="0"/>
        <v>2122FY21</v>
      </c>
      <c r="H27" t="str">
        <f t="shared" si="1"/>
        <v>FY2121 May</v>
      </c>
    </row>
    <row r="28" spans="1:8" x14ac:dyDescent="0.35">
      <c r="A28" t="s">
        <v>406</v>
      </c>
      <c r="B28" t="s">
        <v>436</v>
      </c>
      <c r="C28">
        <v>2129</v>
      </c>
      <c r="D28">
        <v>246</v>
      </c>
      <c r="E28" t="s">
        <v>1347</v>
      </c>
      <c r="F28" t="s">
        <v>1360</v>
      </c>
      <c r="G28" t="str">
        <f t="shared" si="0"/>
        <v>2129FY21</v>
      </c>
      <c r="H28" t="str">
        <f t="shared" si="1"/>
        <v>FY2121 Jul</v>
      </c>
    </row>
    <row r="29" spans="1:8" x14ac:dyDescent="0.35">
      <c r="A29" t="s">
        <v>406</v>
      </c>
      <c r="B29" t="s">
        <v>436</v>
      </c>
      <c r="C29">
        <v>2130</v>
      </c>
      <c r="D29">
        <v>257</v>
      </c>
      <c r="E29" t="s">
        <v>1347</v>
      </c>
      <c r="F29" t="s">
        <v>1360</v>
      </c>
      <c r="G29" t="str">
        <f t="shared" si="0"/>
        <v>2130FY21</v>
      </c>
      <c r="H29" t="str">
        <f t="shared" si="1"/>
        <v>FY2121 Jul</v>
      </c>
    </row>
    <row r="30" spans="1:8" x14ac:dyDescent="0.35">
      <c r="A30" t="s">
        <v>406</v>
      </c>
      <c r="B30" t="s">
        <v>437</v>
      </c>
      <c r="C30">
        <v>2115</v>
      </c>
      <c r="D30">
        <v>39</v>
      </c>
      <c r="E30" t="s">
        <v>1347</v>
      </c>
      <c r="F30" t="s">
        <v>1357</v>
      </c>
      <c r="G30" t="str">
        <f t="shared" si="0"/>
        <v>2115FY21</v>
      </c>
      <c r="H30" t="str">
        <f t="shared" si="1"/>
        <v>FY2121 Apr</v>
      </c>
    </row>
    <row r="31" spans="1:8" x14ac:dyDescent="0.35">
      <c r="A31" t="s">
        <v>406</v>
      </c>
      <c r="B31" t="s">
        <v>437</v>
      </c>
      <c r="C31">
        <v>2130</v>
      </c>
      <c r="D31">
        <v>72</v>
      </c>
      <c r="E31" t="s">
        <v>1347</v>
      </c>
      <c r="F31" t="s">
        <v>1360</v>
      </c>
      <c r="G31" t="str">
        <f t="shared" si="0"/>
        <v>2130FY21</v>
      </c>
      <c r="H31" t="str">
        <f t="shared" si="1"/>
        <v>FY2121 Jul</v>
      </c>
    </row>
    <row r="32" spans="1:8" x14ac:dyDescent="0.35">
      <c r="A32" t="s">
        <v>406</v>
      </c>
      <c r="B32" t="s">
        <v>437</v>
      </c>
      <c r="C32">
        <v>2131</v>
      </c>
      <c r="D32">
        <v>246</v>
      </c>
      <c r="E32" t="s">
        <v>1347</v>
      </c>
      <c r="F32" t="s">
        <v>1361</v>
      </c>
      <c r="G32" t="str">
        <f t="shared" si="0"/>
        <v>2131FY21</v>
      </c>
      <c r="H32" t="str">
        <f t="shared" si="1"/>
        <v>FY2121 Aug</v>
      </c>
    </row>
    <row r="33" spans="1:8" x14ac:dyDescent="0.35">
      <c r="A33" t="s">
        <v>406</v>
      </c>
      <c r="B33" t="s">
        <v>437</v>
      </c>
      <c r="C33">
        <v>2132</v>
      </c>
      <c r="D33">
        <v>124</v>
      </c>
      <c r="E33" t="s">
        <v>1347</v>
      </c>
      <c r="F33" t="s">
        <v>1361</v>
      </c>
      <c r="G33" t="str">
        <f t="shared" si="0"/>
        <v>2132FY21</v>
      </c>
      <c r="H33" t="str">
        <f t="shared" si="1"/>
        <v>FY2121 Aug</v>
      </c>
    </row>
    <row r="34" spans="1:8" x14ac:dyDescent="0.35">
      <c r="A34" t="s">
        <v>406</v>
      </c>
      <c r="B34" t="s">
        <v>438</v>
      </c>
      <c r="C34">
        <v>2119</v>
      </c>
      <c r="D34">
        <v>45</v>
      </c>
      <c r="E34" t="s">
        <v>1347</v>
      </c>
      <c r="F34" t="s">
        <v>1358</v>
      </c>
      <c r="G34" t="str">
        <f t="shared" si="0"/>
        <v>2119FY21</v>
      </c>
      <c r="H34" t="str">
        <f t="shared" si="1"/>
        <v>FY2121 May</v>
      </c>
    </row>
    <row r="35" spans="1:8" x14ac:dyDescent="0.35">
      <c r="A35" t="s">
        <v>406</v>
      </c>
      <c r="B35" t="s">
        <v>438</v>
      </c>
      <c r="C35">
        <v>2121</v>
      </c>
      <c r="D35">
        <v>848</v>
      </c>
      <c r="E35" t="s">
        <v>1347</v>
      </c>
      <c r="F35" t="s">
        <v>1358</v>
      </c>
      <c r="G35" t="str">
        <f t="shared" si="0"/>
        <v>2121FY21</v>
      </c>
      <c r="H35" t="str">
        <f t="shared" si="1"/>
        <v>FY2121 May</v>
      </c>
    </row>
    <row r="36" spans="1:8" x14ac:dyDescent="0.35">
      <c r="A36" t="s">
        <v>406</v>
      </c>
      <c r="B36" t="s">
        <v>438</v>
      </c>
      <c r="C36">
        <v>2122</v>
      </c>
      <c r="D36">
        <v>518</v>
      </c>
      <c r="E36" t="s">
        <v>1347</v>
      </c>
      <c r="F36" t="s">
        <v>1358</v>
      </c>
      <c r="G36" t="str">
        <f t="shared" si="0"/>
        <v>2122FY21</v>
      </c>
      <c r="H36" t="str">
        <f t="shared" si="1"/>
        <v>FY2121 May</v>
      </c>
    </row>
    <row r="37" spans="1:8" x14ac:dyDescent="0.35">
      <c r="A37" t="s">
        <v>406</v>
      </c>
      <c r="B37" t="s">
        <v>438</v>
      </c>
      <c r="C37">
        <v>2123</v>
      </c>
      <c r="D37">
        <v>1443</v>
      </c>
      <c r="E37" t="s">
        <v>1347</v>
      </c>
      <c r="F37" t="s">
        <v>1359</v>
      </c>
      <c r="G37" t="str">
        <f t="shared" si="0"/>
        <v>2123FY21</v>
      </c>
      <c r="H37" t="str">
        <f t="shared" si="1"/>
        <v>FY2121 Jun</v>
      </c>
    </row>
    <row r="38" spans="1:8" x14ac:dyDescent="0.35">
      <c r="A38" t="s">
        <v>406</v>
      </c>
      <c r="B38" t="s">
        <v>438</v>
      </c>
      <c r="C38">
        <v>2124</v>
      </c>
      <c r="D38">
        <v>300</v>
      </c>
      <c r="E38" t="s">
        <v>1347</v>
      </c>
      <c r="F38" t="s">
        <v>1359</v>
      </c>
      <c r="G38" t="str">
        <f t="shared" si="0"/>
        <v>2124FY21</v>
      </c>
      <c r="H38" t="str">
        <f t="shared" si="1"/>
        <v>FY2121 Jun</v>
      </c>
    </row>
    <row r="39" spans="1:8" x14ac:dyDescent="0.35">
      <c r="A39" t="s">
        <v>406</v>
      </c>
      <c r="B39" t="s">
        <v>438</v>
      </c>
      <c r="C39">
        <v>2128</v>
      </c>
      <c r="D39">
        <v>368</v>
      </c>
      <c r="E39" t="s">
        <v>1347</v>
      </c>
      <c r="F39" t="s">
        <v>1360</v>
      </c>
      <c r="G39" t="str">
        <f t="shared" si="0"/>
        <v>2128FY21</v>
      </c>
      <c r="H39" t="str">
        <f t="shared" si="1"/>
        <v>FY2121 Jul</v>
      </c>
    </row>
    <row r="40" spans="1:8" x14ac:dyDescent="0.35">
      <c r="A40" t="s">
        <v>406</v>
      </c>
      <c r="B40" t="s">
        <v>438</v>
      </c>
      <c r="C40">
        <v>2129</v>
      </c>
      <c r="D40">
        <v>608</v>
      </c>
      <c r="E40" t="s">
        <v>1347</v>
      </c>
      <c r="F40" t="s">
        <v>1360</v>
      </c>
      <c r="G40" t="str">
        <f t="shared" si="0"/>
        <v>2129FY21</v>
      </c>
      <c r="H40" t="str">
        <f t="shared" si="1"/>
        <v>FY2121 Jul</v>
      </c>
    </row>
    <row r="41" spans="1:8" x14ac:dyDescent="0.35">
      <c r="A41" t="s">
        <v>406</v>
      </c>
      <c r="B41" t="s">
        <v>438</v>
      </c>
      <c r="C41">
        <v>2130</v>
      </c>
      <c r="D41">
        <v>796</v>
      </c>
      <c r="E41" t="s">
        <v>1347</v>
      </c>
      <c r="F41" t="s">
        <v>1360</v>
      </c>
      <c r="G41" t="str">
        <f t="shared" si="0"/>
        <v>2130FY21</v>
      </c>
      <c r="H41" t="str">
        <f t="shared" si="1"/>
        <v>FY2121 Jul</v>
      </c>
    </row>
    <row r="42" spans="1:8" x14ac:dyDescent="0.35">
      <c r="A42" t="s">
        <v>406</v>
      </c>
      <c r="B42" t="s">
        <v>438</v>
      </c>
      <c r="C42">
        <v>2131</v>
      </c>
      <c r="D42">
        <v>122</v>
      </c>
      <c r="E42" t="s">
        <v>1347</v>
      </c>
      <c r="F42" t="s">
        <v>1361</v>
      </c>
      <c r="G42" t="str">
        <f t="shared" si="0"/>
        <v>2131FY21</v>
      </c>
      <c r="H42" t="str">
        <f t="shared" si="1"/>
        <v>FY2121 Aug</v>
      </c>
    </row>
    <row r="43" spans="1:8" x14ac:dyDescent="0.35">
      <c r="A43" t="s">
        <v>406</v>
      </c>
      <c r="B43" t="s">
        <v>438</v>
      </c>
      <c r="C43">
        <v>2132</v>
      </c>
      <c r="D43">
        <v>222</v>
      </c>
      <c r="E43" t="s">
        <v>1347</v>
      </c>
      <c r="F43" t="s">
        <v>1361</v>
      </c>
      <c r="G43" t="str">
        <f t="shared" si="0"/>
        <v>2132FY21</v>
      </c>
      <c r="H43" t="str">
        <f t="shared" si="1"/>
        <v>FY2121 Aug</v>
      </c>
    </row>
    <row r="44" spans="1:8" x14ac:dyDescent="0.35">
      <c r="A44" t="s">
        <v>407</v>
      </c>
      <c r="B44" t="s">
        <v>451</v>
      </c>
      <c r="C44">
        <v>2129</v>
      </c>
      <c r="D44">
        <v>50</v>
      </c>
      <c r="E44" t="s">
        <v>1347</v>
      </c>
      <c r="F44" t="s">
        <v>1360</v>
      </c>
      <c r="G44" t="str">
        <f t="shared" si="0"/>
        <v>2129FY21</v>
      </c>
      <c r="H44" t="str">
        <f t="shared" si="1"/>
        <v>FY2121 Jul</v>
      </c>
    </row>
    <row r="45" spans="1:8" x14ac:dyDescent="0.35">
      <c r="A45" t="s">
        <v>407</v>
      </c>
      <c r="B45" t="s">
        <v>451</v>
      </c>
      <c r="C45">
        <v>2132</v>
      </c>
      <c r="D45">
        <v>4</v>
      </c>
      <c r="E45" t="s">
        <v>1347</v>
      </c>
      <c r="F45" t="s">
        <v>1361</v>
      </c>
      <c r="G45" t="str">
        <f t="shared" si="0"/>
        <v>2132FY21</v>
      </c>
      <c r="H45" t="str">
        <f t="shared" si="1"/>
        <v>FY2121 Aug</v>
      </c>
    </row>
    <row r="46" spans="1:8" x14ac:dyDescent="0.35">
      <c r="A46" t="s">
        <v>407</v>
      </c>
      <c r="B46" t="s">
        <v>451</v>
      </c>
      <c r="C46">
        <v>2133</v>
      </c>
      <c r="D46">
        <v>1559</v>
      </c>
      <c r="E46" t="s">
        <v>1347</v>
      </c>
      <c r="F46" t="s">
        <v>1361</v>
      </c>
      <c r="G46" t="str">
        <f t="shared" si="0"/>
        <v>2133FY21</v>
      </c>
      <c r="H46" t="str">
        <f t="shared" si="1"/>
        <v>FY2121 Aug</v>
      </c>
    </row>
    <row r="47" spans="1:8" x14ac:dyDescent="0.35">
      <c r="A47" t="s">
        <v>407</v>
      </c>
      <c r="B47" t="s">
        <v>438</v>
      </c>
      <c r="C47">
        <v>2119</v>
      </c>
      <c r="D47">
        <v>2</v>
      </c>
      <c r="E47" t="s">
        <v>1347</v>
      </c>
      <c r="F47" t="s">
        <v>1358</v>
      </c>
      <c r="G47" t="str">
        <f t="shared" si="0"/>
        <v>2119FY21</v>
      </c>
      <c r="H47" t="str">
        <f t="shared" si="1"/>
        <v>FY2121 May</v>
      </c>
    </row>
    <row r="48" spans="1:8" x14ac:dyDescent="0.35">
      <c r="A48" t="s">
        <v>407</v>
      </c>
      <c r="B48" t="s">
        <v>438</v>
      </c>
      <c r="C48">
        <v>2120</v>
      </c>
      <c r="D48">
        <v>38</v>
      </c>
      <c r="E48" t="s">
        <v>1347</v>
      </c>
      <c r="F48" t="s">
        <v>1358</v>
      </c>
      <c r="G48" t="str">
        <f t="shared" si="0"/>
        <v>2120FY21</v>
      </c>
      <c r="H48" t="str">
        <f t="shared" si="1"/>
        <v>FY2121 May</v>
      </c>
    </row>
    <row r="49" spans="1:8" x14ac:dyDescent="0.35">
      <c r="A49" t="s">
        <v>407</v>
      </c>
      <c r="B49" t="s">
        <v>438</v>
      </c>
      <c r="C49">
        <v>2122</v>
      </c>
      <c r="D49">
        <v>85</v>
      </c>
      <c r="E49" t="s">
        <v>1347</v>
      </c>
      <c r="F49" t="s">
        <v>1358</v>
      </c>
      <c r="G49" t="str">
        <f t="shared" si="0"/>
        <v>2122FY21</v>
      </c>
      <c r="H49" t="str">
        <f t="shared" si="1"/>
        <v>FY2121 May</v>
      </c>
    </row>
    <row r="50" spans="1:8" x14ac:dyDescent="0.35">
      <c r="A50" t="s">
        <v>407</v>
      </c>
      <c r="B50" t="s">
        <v>438</v>
      </c>
      <c r="C50">
        <v>2124</v>
      </c>
      <c r="D50">
        <v>714</v>
      </c>
      <c r="E50" t="s">
        <v>1347</v>
      </c>
      <c r="F50" t="s">
        <v>1359</v>
      </c>
      <c r="G50" t="str">
        <f t="shared" si="0"/>
        <v>2124FY21</v>
      </c>
      <c r="H50" t="str">
        <f t="shared" si="1"/>
        <v>FY2121 Jun</v>
      </c>
    </row>
    <row r="51" spans="1:8" x14ac:dyDescent="0.35">
      <c r="A51" t="s">
        <v>407</v>
      </c>
      <c r="B51" t="s">
        <v>438</v>
      </c>
      <c r="C51">
        <v>2125</v>
      </c>
      <c r="D51">
        <v>688</v>
      </c>
      <c r="E51" t="s">
        <v>1347</v>
      </c>
      <c r="F51" t="s">
        <v>1359</v>
      </c>
      <c r="G51" t="str">
        <f t="shared" si="0"/>
        <v>2125FY21</v>
      </c>
      <c r="H51" t="str">
        <f t="shared" si="1"/>
        <v>FY2121 Jun</v>
      </c>
    </row>
    <row r="52" spans="1:8" x14ac:dyDescent="0.35">
      <c r="A52" t="s">
        <v>407</v>
      </c>
      <c r="B52" t="s">
        <v>438</v>
      </c>
      <c r="C52">
        <v>2126</v>
      </c>
      <c r="D52">
        <v>20</v>
      </c>
      <c r="E52" t="s">
        <v>1347</v>
      </c>
      <c r="F52" t="s">
        <v>1359</v>
      </c>
      <c r="G52" t="str">
        <f t="shared" si="0"/>
        <v>2126FY21</v>
      </c>
      <c r="H52" t="str">
        <f t="shared" si="1"/>
        <v>FY2121 Jun</v>
      </c>
    </row>
    <row r="53" spans="1:8" x14ac:dyDescent="0.35">
      <c r="A53" t="s">
        <v>407</v>
      </c>
      <c r="B53" t="s">
        <v>438</v>
      </c>
      <c r="C53">
        <v>2132</v>
      </c>
      <c r="D53">
        <v>862</v>
      </c>
      <c r="E53" t="s">
        <v>1347</v>
      </c>
      <c r="F53" t="s">
        <v>1361</v>
      </c>
      <c r="G53" t="str">
        <f t="shared" si="0"/>
        <v>2132FY21</v>
      </c>
      <c r="H53" t="str">
        <f t="shared" si="1"/>
        <v>FY2121 Aug</v>
      </c>
    </row>
    <row r="54" spans="1:8" x14ac:dyDescent="0.35">
      <c r="A54" t="s">
        <v>407</v>
      </c>
      <c r="B54" t="s">
        <v>438</v>
      </c>
      <c r="C54">
        <v>2133</v>
      </c>
      <c r="D54">
        <v>920</v>
      </c>
      <c r="E54" t="s">
        <v>1347</v>
      </c>
      <c r="F54" t="s">
        <v>1361</v>
      </c>
      <c r="G54" t="str">
        <f t="shared" si="0"/>
        <v>2133FY21</v>
      </c>
      <c r="H54" t="str">
        <f t="shared" si="1"/>
        <v>FY2121 Aug</v>
      </c>
    </row>
    <row r="55" spans="1:8" x14ac:dyDescent="0.35">
      <c r="A55" t="s">
        <v>407</v>
      </c>
      <c r="B55" t="s">
        <v>449</v>
      </c>
      <c r="C55">
        <v>2119</v>
      </c>
      <c r="D55">
        <v>2</v>
      </c>
      <c r="E55" t="s">
        <v>1347</v>
      </c>
      <c r="F55" t="s">
        <v>1358</v>
      </c>
      <c r="G55" t="str">
        <f t="shared" si="0"/>
        <v>2119FY21</v>
      </c>
      <c r="H55" t="str">
        <f t="shared" si="1"/>
        <v>FY2121 May</v>
      </c>
    </row>
    <row r="56" spans="1:8" x14ac:dyDescent="0.35">
      <c r="A56" t="s">
        <v>407</v>
      </c>
      <c r="B56" t="s">
        <v>449</v>
      </c>
      <c r="C56">
        <v>2120</v>
      </c>
      <c r="D56">
        <v>28</v>
      </c>
      <c r="E56" t="s">
        <v>1347</v>
      </c>
      <c r="F56" t="s">
        <v>1358</v>
      </c>
      <c r="G56" t="str">
        <f t="shared" si="0"/>
        <v>2120FY21</v>
      </c>
      <c r="H56" t="str">
        <f t="shared" si="1"/>
        <v>FY2121 May</v>
      </c>
    </row>
    <row r="57" spans="1:8" x14ac:dyDescent="0.35">
      <c r="A57" t="s">
        <v>407</v>
      </c>
      <c r="B57" t="s">
        <v>449</v>
      </c>
      <c r="C57">
        <v>2122</v>
      </c>
      <c r="D57">
        <v>195</v>
      </c>
      <c r="E57" t="s">
        <v>1347</v>
      </c>
      <c r="F57" t="s">
        <v>1358</v>
      </c>
      <c r="G57" t="str">
        <f t="shared" si="0"/>
        <v>2122FY21</v>
      </c>
      <c r="H57" t="str">
        <f t="shared" si="1"/>
        <v>FY2121 May</v>
      </c>
    </row>
    <row r="58" spans="1:8" x14ac:dyDescent="0.35">
      <c r="A58" t="s">
        <v>407</v>
      </c>
      <c r="B58" t="s">
        <v>449</v>
      </c>
      <c r="C58">
        <v>2123</v>
      </c>
      <c r="D58">
        <v>113</v>
      </c>
      <c r="E58" t="s">
        <v>1347</v>
      </c>
      <c r="F58" t="s">
        <v>1359</v>
      </c>
      <c r="G58" t="str">
        <f t="shared" si="0"/>
        <v>2123FY21</v>
      </c>
      <c r="H58" t="str">
        <f t="shared" si="1"/>
        <v>FY2121 Jun</v>
      </c>
    </row>
    <row r="59" spans="1:8" x14ac:dyDescent="0.35">
      <c r="A59" t="s">
        <v>407</v>
      </c>
      <c r="B59" t="s">
        <v>449</v>
      </c>
      <c r="C59">
        <v>2124</v>
      </c>
      <c r="D59">
        <v>156</v>
      </c>
      <c r="E59" t="s">
        <v>1347</v>
      </c>
      <c r="F59" t="s">
        <v>1359</v>
      </c>
      <c r="G59" t="str">
        <f t="shared" si="0"/>
        <v>2124FY21</v>
      </c>
      <c r="H59" t="str">
        <f t="shared" si="1"/>
        <v>FY2121 Jun</v>
      </c>
    </row>
    <row r="60" spans="1:8" x14ac:dyDescent="0.35">
      <c r="A60" t="s">
        <v>407</v>
      </c>
      <c r="B60" t="s">
        <v>449</v>
      </c>
      <c r="C60">
        <v>2125</v>
      </c>
      <c r="D60">
        <v>193</v>
      </c>
      <c r="E60" t="s">
        <v>1347</v>
      </c>
      <c r="F60" t="s">
        <v>1359</v>
      </c>
      <c r="G60" t="str">
        <f t="shared" si="0"/>
        <v>2125FY21</v>
      </c>
      <c r="H60" t="str">
        <f t="shared" si="1"/>
        <v>FY2121 Jun</v>
      </c>
    </row>
    <row r="61" spans="1:8" x14ac:dyDescent="0.35">
      <c r="A61" t="s">
        <v>407</v>
      </c>
      <c r="B61" t="s">
        <v>449</v>
      </c>
      <c r="C61">
        <v>2128</v>
      </c>
      <c r="D61">
        <v>38</v>
      </c>
      <c r="E61" t="s">
        <v>1347</v>
      </c>
      <c r="F61" t="s">
        <v>1360</v>
      </c>
      <c r="G61" t="str">
        <f t="shared" si="0"/>
        <v>2128FY21</v>
      </c>
      <c r="H61" t="str">
        <f t="shared" si="1"/>
        <v>FY2121 Jul</v>
      </c>
    </row>
    <row r="62" spans="1:8" x14ac:dyDescent="0.35">
      <c r="A62" t="s">
        <v>407</v>
      </c>
      <c r="B62" t="s">
        <v>449</v>
      </c>
      <c r="C62">
        <v>2129</v>
      </c>
      <c r="D62">
        <v>845</v>
      </c>
      <c r="E62" t="s">
        <v>1347</v>
      </c>
      <c r="F62" t="s">
        <v>1360</v>
      </c>
      <c r="G62" t="str">
        <f t="shared" si="0"/>
        <v>2129FY21</v>
      </c>
      <c r="H62" t="str">
        <f t="shared" si="1"/>
        <v>FY2121 Jul</v>
      </c>
    </row>
    <row r="63" spans="1:8" x14ac:dyDescent="0.35">
      <c r="A63" t="s">
        <v>407</v>
      </c>
      <c r="B63" t="s">
        <v>449</v>
      </c>
      <c r="C63">
        <v>2132</v>
      </c>
      <c r="D63">
        <v>87</v>
      </c>
      <c r="E63" t="s">
        <v>1347</v>
      </c>
      <c r="F63" t="s">
        <v>1361</v>
      </c>
      <c r="G63" t="str">
        <f t="shared" si="0"/>
        <v>2132FY21</v>
      </c>
      <c r="H63" t="str">
        <f t="shared" si="1"/>
        <v>FY2121 Aug</v>
      </c>
    </row>
    <row r="64" spans="1:8" x14ac:dyDescent="0.35">
      <c r="A64" t="s">
        <v>407</v>
      </c>
      <c r="B64" t="s">
        <v>449</v>
      </c>
      <c r="C64">
        <v>2133</v>
      </c>
      <c r="D64">
        <v>72</v>
      </c>
      <c r="E64" t="s">
        <v>1347</v>
      </c>
      <c r="F64" t="s">
        <v>1361</v>
      </c>
      <c r="G64" t="str">
        <f t="shared" si="0"/>
        <v>2133FY21</v>
      </c>
      <c r="H64" t="str">
        <f t="shared" si="1"/>
        <v>FY2121 Aug</v>
      </c>
    </row>
    <row r="65" spans="1:8" x14ac:dyDescent="0.35">
      <c r="A65" t="s">
        <v>407</v>
      </c>
      <c r="B65" t="s">
        <v>434</v>
      </c>
      <c r="C65">
        <v>2108</v>
      </c>
      <c r="D65">
        <v>2</v>
      </c>
      <c r="E65" t="s">
        <v>1347</v>
      </c>
      <c r="F65" t="s">
        <v>1362</v>
      </c>
      <c r="G65" t="str">
        <f t="shared" si="0"/>
        <v>2108FY21</v>
      </c>
      <c r="H65" t="str">
        <f t="shared" si="1"/>
        <v>FY2121 Feb</v>
      </c>
    </row>
    <row r="66" spans="1:8" x14ac:dyDescent="0.35">
      <c r="A66" t="s">
        <v>407</v>
      </c>
      <c r="B66" t="s">
        <v>434</v>
      </c>
      <c r="C66">
        <v>2109</v>
      </c>
      <c r="D66">
        <v>38</v>
      </c>
      <c r="E66" t="s">
        <v>1347</v>
      </c>
      <c r="F66" t="s">
        <v>1356</v>
      </c>
      <c r="G66" t="str">
        <f t="shared" si="0"/>
        <v>2109FY21</v>
      </c>
      <c r="H66" t="str">
        <f t="shared" si="1"/>
        <v>FY2121 Mar</v>
      </c>
    </row>
    <row r="67" spans="1:8" x14ac:dyDescent="0.35">
      <c r="A67" t="s">
        <v>407</v>
      </c>
      <c r="B67" t="s">
        <v>434</v>
      </c>
      <c r="C67">
        <v>2111</v>
      </c>
      <c r="D67">
        <v>506</v>
      </c>
      <c r="E67" t="s">
        <v>1347</v>
      </c>
      <c r="F67" t="s">
        <v>1356</v>
      </c>
      <c r="G67" t="str">
        <f t="shared" ref="G67:G130" si="2">C67&amp;E67</f>
        <v>2111FY21</v>
      </c>
      <c r="H67" t="str">
        <f t="shared" ref="H67:H130" si="3">E67&amp;F67</f>
        <v>FY2121 Mar</v>
      </c>
    </row>
    <row r="68" spans="1:8" x14ac:dyDescent="0.35">
      <c r="A68" t="s">
        <v>407</v>
      </c>
      <c r="B68" t="s">
        <v>434</v>
      </c>
      <c r="C68">
        <v>2112</v>
      </c>
      <c r="D68">
        <v>888</v>
      </c>
      <c r="E68" t="s">
        <v>1347</v>
      </c>
      <c r="F68" t="s">
        <v>1356</v>
      </c>
      <c r="G68" t="str">
        <f t="shared" si="2"/>
        <v>2112FY21</v>
      </c>
      <c r="H68" t="str">
        <f t="shared" si="3"/>
        <v>FY2121 Mar</v>
      </c>
    </row>
    <row r="69" spans="1:8" x14ac:dyDescent="0.35">
      <c r="A69" t="s">
        <v>407</v>
      </c>
      <c r="B69" t="s">
        <v>434</v>
      </c>
      <c r="C69">
        <v>2113</v>
      </c>
      <c r="D69">
        <v>417</v>
      </c>
      <c r="E69" t="s">
        <v>1347</v>
      </c>
      <c r="F69" t="s">
        <v>1356</v>
      </c>
      <c r="G69" t="str">
        <f t="shared" si="2"/>
        <v>2113FY21</v>
      </c>
      <c r="H69" t="str">
        <f t="shared" si="3"/>
        <v>FY2121 Mar</v>
      </c>
    </row>
    <row r="70" spans="1:8" x14ac:dyDescent="0.35">
      <c r="A70" t="s">
        <v>407</v>
      </c>
      <c r="B70" t="s">
        <v>434</v>
      </c>
      <c r="C70">
        <v>2114</v>
      </c>
      <c r="D70">
        <v>216</v>
      </c>
      <c r="E70" t="s">
        <v>1347</v>
      </c>
      <c r="F70" t="s">
        <v>1357</v>
      </c>
      <c r="G70" t="str">
        <f t="shared" si="2"/>
        <v>2114FY21</v>
      </c>
      <c r="H70" t="str">
        <f t="shared" si="3"/>
        <v>FY2121 Apr</v>
      </c>
    </row>
    <row r="71" spans="1:8" x14ac:dyDescent="0.35">
      <c r="A71" t="s">
        <v>407</v>
      </c>
      <c r="B71" t="s">
        <v>434</v>
      </c>
      <c r="C71">
        <v>2115</v>
      </c>
      <c r="D71">
        <v>449</v>
      </c>
      <c r="E71" t="s">
        <v>1347</v>
      </c>
      <c r="F71" t="s">
        <v>1357</v>
      </c>
      <c r="G71" t="str">
        <f t="shared" si="2"/>
        <v>2115FY21</v>
      </c>
      <c r="H71" t="str">
        <f t="shared" si="3"/>
        <v>FY2121 Apr</v>
      </c>
    </row>
    <row r="72" spans="1:8" x14ac:dyDescent="0.35">
      <c r="A72" t="s">
        <v>407</v>
      </c>
      <c r="B72" t="s">
        <v>434</v>
      </c>
      <c r="C72">
        <v>2116</v>
      </c>
      <c r="D72">
        <v>499</v>
      </c>
      <c r="E72" t="s">
        <v>1347</v>
      </c>
      <c r="F72" t="s">
        <v>1357</v>
      </c>
      <c r="G72" t="str">
        <f t="shared" si="2"/>
        <v>2116FY21</v>
      </c>
      <c r="H72" t="str">
        <f t="shared" si="3"/>
        <v>FY2121 Apr</v>
      </c>
    </row>
    <row r="73" spans="1:8" x14ac:dyDescent="0.35">
      <c r="A73" t="s">
        <v>407</v>
      </c>
      <c r="B73" t="s">
        <v>434</v>
      </c>
      <c r="C73">
        <v>2117</v>
      </c>
      <c r="D73">
        <v>1066</v>
      </c>
      <c r="E73" t="s">
        <v>1347</v>
      </c>
      <c r="F73" t="s">
        <v>1357</v>
      </c>
      <c r="G73" t="str">
        <f t="shared" si="2"/>
        <v>2117FY21</v>
      </c>
      <c r="H73" t="str">
        <f t="shared" si="3"/>
        <v>FY2121 Apr</v>
      </c>
    </row>
    <row r="74" spans="1:8" x14ac:dyDescent="0.35">
      <c r="A74" t="s">
        <v>407</v>
      </c>
      <c r="B74" t="s">
        <v>434</v>
      </c>
      <c r="C74">
        <v>2118</v>
      </c>
      <c r="D74">
        <v>853</v>
      </c>
      <c r="E74" t="s">
        <v>1347</v>
      </c>
      <c r="F74" t="s">
        <v>1358</v>
      </c>
      <c r="G74" t="str">
        <f t="shared" si="2"/>
        <v>2118FY21</v>
      </c>
      <c r="H74" t="str">
        <f t="shared" si="3"/>
        <v>FY2121 May</v>
      </c>
    </row>
    <row r="75" spans="1:8" x14ac:dyDescent="0.35">
      <c r="A75" t="s">
        <v>407</v>
      </c>
      <c r="B75" t="s">
        <v>434</v>
      </c>
      <c r="C75">
        <v>2119</v>
      </c>
      <c r="D75">
        <v>100</v>
      </c>
      <c r="E75" t="s">
        <v>1347</v>
      </c>
      <c r="F75" t="s">
        <v>1358</v>
      </c>
      <c r="G75" t="str">
        <f t="shared" si="2"/>
        <v>2119FY21</v>
      </c>
      <c r="H75" t="str">
        <f t="shared" si="3"/>
        <v>FY2121 May</v>
      </c>
    </row>
    <row r="76" spans="1:8" x14ac:dyDescent="0.35">
      <c r="A76" t="s">
        <v>407</v>
      </c>
      <c r="B76" t="s">
        <v>434</v>
      </c>
      <c r="C76">
        <v>2120</v>
      </c>
      <c r="D76">
        <v>578</v>
      </c>
      <c r="E76" t="s">
        <v>1347</v>
      </c>
      <c r="F76" t="s">
        <v>1358</v>
      </c>
      <c r="G76" t="str">
        <f t="shared" si="2"/>
        <v>2120FY21</v>
      </c>
      <c r="H76" t="str">
        <f t="shared" si="3"/>
        <v>FY2121 May</v>
      </c>
    </row>
    <row r="77" spans="1:8" x14ac:dyDescent="0.35">
      <c r="A77" t="s">
        <v>407</v>
      </c>
      <c r="B77" t="s">
        <v>434</v>
      </c>
      <c r="C77">
        <v>2121</v>
      </c>
      <c r="D77">
        <v>1072</v>
      </c>
      <c r="E77" t="s">
        <v>1347</v>
      </c>
      <c r="F77" t="s">
        <v>1358</v>
      </c>
      <c r="G77" t="str">
        <f t="shared" si="2"/>
        <v>2121FY21</v>
      </c>
      <c r="H77" t="str">
        <f t="shared" si="3"/>
        <v>FY2121 May</v>
      </c>
    </row>
    <row r="78" spans="1:8" x14ac:dyDescent="0.35">
      <c r="A78" t="s">
        <v>407</v>
      </c>
      <c r="B78" t="s">
        <v>434</v>
      </c>
      <c r="C78">
        <v>2122</v>
      </c>
      <c r="D78">
        <v>183</v>
      </c>
      <c r="E78" t="s">
        <v>1347</v>
      </c>
      <c r="F78" t="s">
        <v>1358</v>
      </c>
      <c r="G78" t="str">
        <f t="shared" si="2"/>
        <v>2122FY21</v>
      </c>
      <c r="H78" t="str">
        <f t="shared" si="3"/>
        <v>FY2121 May</v>
      </c>
    </row>
    <row r="79" spans="1:8" x14ac:dyDescent="0.35">
      <c r="A79" t="s">
        <v>407</v>
      </c>
      <c r="B79" t="s">
        <v>434</v>
      </c>
      <c r="C79">
        <v>2123</v>
      </c>
      <c r="D79">
        <v>1219</v>
      </c>
      <c r="E79" t="s">
        <v>1347</v>
      </c>
      <c r="F79" t="s">
        <v>1359</v>
      </c>
      <c r="G79" t="str">
        <f t="shared" si="2"/>
        <v>2123FY21</v>
      </c>
      <c r="H79" t="str">
        <f t="shared" si="3"/>
        <v>FY2121 Jun</v>
      </c>
    </row>
    <row r="80" spans="1:8" x14ac:dyDescent="0.35">
      <c r="A80" t="s">
        <v>407</v>
      </c>
      <c r="B80" t="s">
        <v>434</v>
      </c>
      <c r="C80">
        <v>2124</v>
      </c>
      <c r="D80">
        <v>251</v>
      </c>
      <c r="E80" t="s">
        <v>1347</v>
      </c>
      <c r="F80" t="s">
        <v>1359</v>
      </c>
      <c r="G80" t="str">
        <f t="shared" si="2"/>
        <v>2124FY21</v>
      </c>
      <c r="H80" t="str">
        <f t="shared" si="3"/>
        <v>FY2121 Jun</v>
      </c>
    </row>
    <row r="81" spans="1:8" x14ac:dyDescent="0.35">
      <c r="A81" t="s">
        <v>407</v>
      </c>
      <c r="B81" t="s">
        <v>434</v>
      </c>
      <c r="C81">
        <v>2125</v>
      </c>
      <c r="D81">
        <v>21</v>
      </c>
      <c r="E81" t="s">
        <v>1347</v>
      </c>
      <c r="F81" t="s">
        <v>1359</v>
      </c>
      <c r="G81" t="str">
        <f t="shared" si="2"/>
        <v>2125FY21</v>
      </c>
      <c r="H81" t="str">
        <f t="shared" si="3"/>
        <v>FY2121 Jun</v>
      </c>
    </row>
    <row r="82" spans="1:8" x14ac:dyDescent="0.35">
      <c r="A82" t="s">
        <v>407</v>
      </c>
      <c r="B82" t="s">
        <v>434</v>
      </c>
      <c r="C82">
        <v>2126</v>
      </c>
      <c r="D82">
        <v>1821</v>
      </c>
      <c r="E82" t="s">
        <v>1347</v>
      </c>
      <c r="F82" t="s">
        <v>1359</v>
      </c>
      <c r="G82" t="str">
        <f t="shared" si="2"/>
        <v>2126FY21</v>
      </c>
      <c r="H82" t="str">
        <f t="shared" si="3"/>
        <v>FY2121 Jun</v>
      </c>
    </row>
    <row r="83" spans="1:8" x14ac:dyDescent="0.35">
      <c r="A83" t="s">
        <v>407</v>
      </c>
      <c r="B83" t="s">
        <v>434</v>
      </c>
      <c r="C83">
        <v>2127</v>
      </c>
      <c r="D83">
        <v>702</v>
      </c>
      <c r="E83" t="s">
        <v>1347</v>
      </c>
      <c r="F83" t="s">
        <v>1360</v>
      </c>
      <c r="G83" t="str">
        <f t="shared" si="2"/>
        <v>2127FY21</v>
      </c>
      <c r="H83" t="str">
        <f t="shared" si="3"/>
        <v>FY2121 Jul</v>
      </c>
    </row>
    <row r="84" spans="1:8" x14ac:dyDescent="0.35">
      <c r="A84" t="s">
        <v>407</v>
      </c>
      <c r="B84" t="s">
        <v>434</v>
      </c>
      <c r="C84">
        <v>2128</v>
      </c>
      <c r="D84">
        <v>1828</v>
      </c>
      <c r="E84" t="s">
        <v>1347</v>
      </c>
      <c r="F84" t="s">
        <v>1360</v>
      </c>
      <c r="G84" t="str">
        <f t="shared" si="2"/>
        <v>2128FY21</v>
      </c>
      <c r="H84" t="str">
        <f t="shared" si="3"/>
        <v>FY2121 Jul</v>
      </c>
    </row>
    <row r="85" spans="1:8" x14ac:dyDescent="0.35">
      <c r="A85" t="s">
        <v>407</v>
      </c>
      <c r="B85" t="s">
        <v>434</v>
      </c>
      <c r="C85">
        <v>2129</v>
      </c>
      <c r="D85">
        <v>1859</v>
      </c>
      <c r="E85" t="s">
        <v>1347</v>
      </c>
      <c r="F85" t="s">
        <v>1360</v>
      </c>
      <c r="G85" t="str">
        <f t="shared" si="2"/>
        <v>2129FY21</v>
      </c>
      <c r="H85" t="str">
        <f t="shared" si="3"/>
        <v>FY2121 Jul</v>
      </c>
    </row>
    <row r="86" spans="1:8" x14ac:dyDescent="0.35">
      <c r="A86" t="s">
        <v>407</v>
      </c>
      <c r="B86" t="s">
        <v>434</v>
      </c>
      <c r="C86">
        <v>2132</v>
      </c>
      <c r="D86">
        <v>436</v>
      </c>
      <c r="E86" t="s">
        <v>1347</v>
      </c>
      <c r="F86" t="s">
        <v>1361</v>
      </c>
      <c r="G86" t="str">
        <f t="shared" si="2"/>
        <v>2132FY21</v>
      </c>
      <c r="H86" t="str">
        <f t="shared" si="3"/>
        <v>FY2121 Aug</v>
      </c>
    </row>
    <row r="87" spans="1:8" x14ac:dyDescent="0.35">
      <c r="A87" t="s">
        <v>407</v>
      </c>
      <c r="B87" t="s">
        <v>434</v>
      </c>
      <c r="C87">
        <v>2133</v>
      </c>
      <c r="D87">
        <v>301</v>
      </c>
      <c r="E87" t="s">
        <v>1347</v>
      </c>
      <c r="F87" t="s">
        <v>1361</v>
      </c>
      <c r="G87" t="str">
        <f t="shared" si="2"/>
        <v>2133FY21</v>
      </c>
      <c r="H87" t="str">
        <f t="shared" si="3"/>
        <v>FY2121 Aug</v>
      </c>
    </row>
    <row r="88" spans="1:8" x14ac:dyDescent="0.35">
      <c r="A88" t="s">
        <v>407</v>
      </c>
      <c r="B88" t="s">
        <v>436</v>
      </c>
      <c r="C88">
        <v>2115</v>
      </c>
      <c r="D88">
        <v>1</v>
      </c>
      <c r="E88" t="s">
        <v>1347</v>
      </c>
      <c r="F88" t="s">
        <v>1357</v>
      </c>
      <c r="G88" t="str">
        <f t="shared" si="2"/>
        <v>2115FY21</v>
      </c>
      <c r="H88" t="str">
        <f t="shared" si="3"/>
        <v>FY2121 Apr</v>
      </c>
    </row>
    <row r="89" spans="1:8" x14ac:dyDescent="0.35">
      <c r="A89" t="s">
        <v>407</v>
      </c>
      <c r="B89" t="s">
        <v>436</v>
      </c>
      <c r="C89">
        <v>2116</v>
      </c>
      <c r="D89">
        <v>51</v>
      </c>
      <c r="E89" t="s">
        <v>1347</v>
      </c>
      <c r="F89" t="s">
        <v>1357</v>
      </c>
      <c r="G89" t="str">
        <f t="shared" si="2"/>
        <v>2116FY21</v>
      </c>
      <c r="H89" t="str">
        <f t="shared" si="3"/>
        <v>FY2121 Apr</v>
      </c>
    </row>
    <row r="90" spans="1:8" x14ac:dyDescent="0.35">
      <c r="A90" t="s">
        <v>407</v>
      </c>
      <c r="B90" t="s">
        <v>436</v>
      </c>
      <c r="C90">
        <v>2124</v>
      </c>
      <c r="D90">
        <v>45</v>
      </c>
      <c r="E90" t="s">
        <v>1347</v>
      </c>
      <c r="F90" t="s">
        <v>1359</v>
      </c>
      <c r="G90" t="str">
        <f t="shared" si="2"/>
        <v>2124FY21</v>
      </c>
      <c r="H90" t="str">
        <f t="shared" si="3"/>
        <v>FY2121 Jun</v>
      </c>
    </row>
    <row r="91" spans="1:8" x14ac:dyDescent="0.35">
      <c r="A91" t="s">
        <v>407</v>
      </c>
      <c r="B91" t="s">
        <v>436</v>
      </c>
      <c r="C91">
        <v>2126</v>
      </c>
      <c r="D91">
        <v>48</v>
      </c>
      <c r="E91" t="s">
        <v>1347</v>
      </c>
      <c r="F91" t="s">
        <v>1359</v>
      </c>
      <c r="G91" t="str">
        <f t="shared" si="2"/>
        <v>2126FY21</v>
      </c>
      <c r="H91" t="str">
        <f t="shared" si="3"/>
        <v>FY2121 Jun</v>
      </c>
    </row>
    <row r="92" spans="1:8" x14ac:dyDescent="0.35">
      <c r="A92" t="s">
        <v>407</v>
      </c>
      <c r="B92" t="s">
        <v>436</v>
      </c>
      <c r="C92">
        <v>2127</v>
      </c>
      <c r="D92">
        <v>13</v>
      </c>
      <c r="E92" t="s">
        <v>1347</v>
      </c>
      <c r="F92" t="s">
        <v>1360</v>
      </c>
      <c r="G92" t="str">
        <f t="shared" si="2"/>
        <v>2127FY21</v>
      </c>
      <c r="H92" t="str">
        <f t="shared" si="3"/>
        <v>FY2121 Jul</v>
      </c>
    </row>
    <row r="93" spans="1:8" x14ac:dyDescent="0.35">
      <c r="A93" t="s">
        <v>407</v>
      </c>
      <c r="B93" t="s">
        <v>436</v>
      </c>
      <c r="C93">
        <v>2129</v>
      </c>
      <c r="D93">
        <v>10</v>
      </c>
      <c r="E93" t="s">
        <v>1347</v>
      </c>
      <c r="F93" t="s">
        <v>1360</v>
      </c>
      <c r="G93" t="str">
        <f t="shared" si="2"/>
        <v>2129FY21</v>
      </c>
      <c r="H93" t="str">
        <f t="shared" si="3"/>
        <v>FY2121 Jul</v>
      </c>
    </row>
    <row r="94" spans="1:8" x14ac:dyDescent="0.35">
      <c r="A94" t="s">
        <v>407</v>
      </c>
      <c r="B94" t="s">
        <v>436</v>
      </c>
      <c r="C94">
        <v>2132</v>
      </c>
      <c r="D94">
        <v>57</v>
      </c>
      <c r="E94" t="s">
        <v>1347</v>
      </c>
      <c r="F94" t="s">
        <v>1361</v>
      </c>
      <c r="G94" t="str">
        <f t="shared" si="2"/>
        <v>2132FY21</v>
      </c>
      <c r="H94" t="str">
        <f t="shared" si="3"/>
        <v>FY2121 Aug</v>
      </c>
    </row>
    <row r="95" spans="1:8" x14ac:dyDescent="0.35">
      <c r="A95" t="s">
        <v>407</v>
      </c>
      <c r="B95" t="s">
        <v>436</v>
      </c>
      <c r="C95">
        <v>2133</v>
      </c>
      <c r="D95">
        <v>33</v>
      </c>
      <c r="E95" t="s">
        <v>1347</v>
      </c>
      <c r="F95" t="s">
        <v>1361</v>
      </c>
      <c r="G95" t="str">
        <f t="shared" si="2"/>
        <v>2133FY21</v>
      </c>
      <c r="H95" t="str">
        <f t="shared" si="3"/>
        <v>FY2121 Aug</v>
      </c>
    </row>
    <row r="96" spans="1:8" x14ac:dyDescent="0.35">
      <c r="A96" t="s">
        <v>407</v>
      </c>
      <c r="B96" t="s">
        <v>437</v>
      </c>
      <c r="C96">
        <v>2116</v>
      </c>
      <c r="D96">
        <v>2</v>
      </c>
      <c r="E96" t="s">
        <v>1347</v>
      </c>
      <c r="F96" t="s">
        <v>1357</v>
      </c>
      <c r="G96" t="str">
        <f t="shared" si="2"/>
        <v>2116FY21</v>
      </c>
      <c r="H96" t="str">
        <f t="shared" si="3"/>
        <v>FY2121 Apr</v>
      </c>
    </row>
    <row r="97" spans="1:8" x14ac:dyDescent="0.35">
      <c r="A97" t="s">
        <v>407</v>
      </c>
      <c r="B97" t="s">
        <v>437</v>
      </c>
      <c r="C97">
        <v>2117</v>
      </c>
      <c r="D97">
        <v>31</v>
      </c>
      <c r="E97" t="s">
        <v>1347</v>
      </c>
      <c r="F97" t="s">
        <v>1357</v>
      </c>
      <c r="G97" t="str">
        <f t="shared" si="2"/>
        <v>2117FY21</v>
      </c>
      <c r="H97" t="str">
        <f t="shared" si="3"/>
        <v>FY2121 Apr</v>
      </c>
    </row>
    <row r="98" spans="1:8" x14ac:dyDescent="0.35">
      <c r="A98" t="s">
        <v>407</v>
      </c>
      <c r="B98" t="s">
        <v>437</v>
      </c>
      <c r="C98">
        <v>2124</v>
      </c>
      <c r="D98">
        <v>37</v>
      </c>
      <c r="E98" t="s">
        <v>1347</v>
      </c>
      <c r="F98" t="s">
        <v>1359</v>
      </c>
      <c r="G98" t="str">
        <f t="shared" si="2"/>
        <v>2124FY21</v>
      </c>
      <c r="H98" t="str">
        <f t="shared" si="3"/>
        <v>FY2121 Jun</v>
      </c>
    </row>
    <row r="99" spans="1:8" x14ac:dyDescent="0.35">
      <c r="A99" t="s">
        <v>407</v>
      </c>
      <c r="B99" t="s">
        <v>437</v>
      </c>
      <c r="C99">
        <v>2125</v>
      </c>
      <c r="D99">
        <v>80</v>
      </c>
      <c r="E99" t="s">
        <v>1347</v>
      </c>
      <c r="F99" t="s">
        <v>1359</v>
      </c>
      <c r="G99" t="str">
        <f t="shared" si="2"/>
        <v>2125FY21</v>
      </c>
      <c r="H99" t="str">
        <f t="shared" si="3"/>
        <v>FY2121 Jun</v>
      </c>
    </row>
    <row r="100" spans="1:8" x14ac:dyDescent="0.35">
      <c r="A100" t="s">
        <v>407</v>
      </c>
      <c r="B100" t="s">
        <v>437</v>
      </c>
      <c r="C100">
        <v>2126</v>
      </c>
      <c r="D100">
        <v>45</v>
      </c>
      <c r="E100" t="s">
        <v>1347</v>
      </c>
      <c r="F100" t="s">
        <v>1359</v>
      </c>
      <c r="G100" t="str">
        <f t="shared" si="2"/>
        <v>2126FY21</v>
      </c>
      <c r="H100" t="str">
        <f t="shared" si="3"/>
        <v>FY2121 Jun</v>
      </c>
    </row>
    <row r="101" spans="1:8" x14ac:dyDescent="0.35">
      <c r="A101" t="s">
        <v>407</v>
      </c>
      <c r="B101" t="s">
        <v>437</v>
      </c>
      <c r="C101">
        <v>2129</v>
      </c>
      <c r="D101">
        <v>3</v>
      </c>
      <c r="E101" t="s">
        <v>1347</v>
      </c>
      <c r="F101" t="s">
        <v>1360</v>
      </c>
      <c r="G101" t="str">
        <f t="shared" si="2"/>
        <v>2129FY21</v>
      </c>
      <c r="H101" t="str">
        <f t="shared" si="3"/>
        <v>FY2121 Jul</v>
      </c>
    </row>
    <row r="102" spans="1:8" x14ac:dyDescent="0.35">
      <c r="A102" t="s">
        <v>407</v>
      </c>
      <c r="B102" t="s">
        <v>437</v>
      </c>
      <c r="C102">
        <v>2132</v>
      </c>
      <c r="D102">
        <v>58</v>
      </c>
      <c r="E102" t="s">
        <v>1347</v>
      </c>
      <c r="F102" t="s">
        <v>1361</v>
      </c>
      <c r="G102" t="str">
        <f t="shared" si="2"/>
        <v>2132FY21</v>
      </c>
      <c r="H102" t="str">
        <f t="shared" si="3"/>
        <v>FY2121 Aug</v>
      </c>
    </row>
    <row r="103" spans="1:8" x14ac:dyDescent="0.35">
      <c r="A103" t="s">
        <v>407</v>
      </c>
      <c r="B103" t="s">
        <v>437</v>
      </c>
      <c r="C103">
        <v>2133</v>
      </c>
      <c r="D103">
        <v>42</v>
      </c>
      <c r="E103" t="s">
        <v>1347</v>
      </c>
      <c r="F103" t="s">
        <v>1361</v>
      </c>
      <c r="G103" t="str">
        <f t="shared" si="2"/>
        <v>2133FY21</v>
      </c>
      <c r="H103" t="str">
        <f t="shared" si="3"/>
        <v>FY2121 Aug</v>
      </c>
    </row>
    <row r="104" spans="1:8" x14ac:dyDescent="0.35">
      <c r="A104" t="s">
        <v>407</v>
      </c>
      <c r="B104" t="s">
        <v>435</v>
      </c>
      <c r="C104">
        <v>2118</v>
      </c>
      <c r="D104">
        <v>7</v>
      </c>
      <c r="E104" t="s">
        <v>1347</v>
      </c>
      <c r="F104" t="s">
        <v>1358</v>
      </c>
      <c r="G104" t="str">
        <f t="shared" si="2"/>
        <v>2118FY21</v>
      </c>
      <c r="H104" t="str">
        <f t="shared" si="3"/>
        <v>FY2121 May</v>
      </c>
    </row>
    <row r="105" spans="1:8" x14ac:dyDescent="0.35">
      <c r="A105" t="s">
        <v>407</v>
      </c>
      <c r="B105" t="s">
        <v>435</v>
      </c>
      <c r="C105">
        <v>2120</v>
      </c>
      <c r="D105">
        <v>145</v>
      </c>
      <c r="E105" t="s">
        <v>1347</v>
      </c>
      <c r="F105" t="s">
        <v>1358</v>
      </c>
      <c r="G105" t="str">
        <f t="shared" si="2"/>
        <v>2120FY21</v>
      </c>
      <c r="H105" t="str">
        <f t="shared" si="3"/>
        <v>FY2121 May</v>
      </c>
    </row>
    <row r="106" spans="1:8" x14ac:dyDescent="0.35">
      <c r="A106" t="s">
        <v>407</v>
      </c>
      <c r="B106" t="s">
        <v>435</v>
      </c>
      <c r="C106">
        <v>2121</v>
      </c>
      <c r="D106">
        <v>60</v>
      </c>
      <c r="E106" t="s">
        <v>1347</v>
      </c>
      <c r="F106" t="s">
        <v>1358</v>
      </c>
      <c r="G106" t="str">
        <f t="shared" si="2"/>
        <v>2121FY21</v>
      </c>
      <c r="H106" t="str">
        <f t="shared" si="3"/>
        <v>FY2121 May</v>
      </c>
    </row>
    <row r="107" spans="1:8" x14ac:dyDescent="0.35">
      <c r="A107" t="s">
        <v>407</v>
      </c>
      <c r="B107" t="s">
        <v>435</v>
      </c>
      <c r="C107">
        <v>2123</v>
      </c>
      <c r="D107">
        <v>486</v>
      </c>
      <c r="E107" t="s">
        <v>1347</v>
      </c>
      <c r="F107" t="s">
        <v>1359</v>
      </c>
      <c r="G107" t="str">
        <f t="shared" si="2"/>
        <v>2123FY21</v>
      </c>
      <c r="H107" t="str">
        <f t="shared" si="3"/>
        <v>FY2121 Jun</v>
      </c>
    </row>
    <row r="108" spans="1:8" x14ac:dyDescent="0.35">
      <c r="A108" t="s">
        <v>407</v>
      </c>
      <c r="B108" t="s">
        <v>435</v>
      </c>
      <c r="C108">
        <v>2124</v>
      </c>
      <c r="D108">
        <v>290</v>
      </c>
      <c r="E108" t="s">
        <v>1347</v>
      </c>
      <c r="F108" t="s">
        <v>1359</v>
      </c>
      <c r="G108" t="str">
        <f t="shared" si="2"/>
        <v>2124FY21</v>
      </c>
      <c r="H108" t="str">
        <f t="shared" si="3"/>
        <v>FY2121 Jun</v>
      </c>
    </row>
    <row r="109" spans="1:8" x14ac:dyDescent="0.35">
      <c r="A109" t="s">
        <v>407</v>
      </c>
      <c r="B109" t="s">
        <v>435</v>
      </c>
      <c r="C109">
        <v>2125</v>
      </c>
      <c r="D109">
        <v>257</v>
      </c>
      <c r="E109" t="s">
        <v>1347</v>
      </c>
      <c r="F109" t="s">
        <v>1359</v>
      </c>
      <c r="G109" t="str">
        <f t="shared" si="2"/>
        <v>2125FY21</v>
      </c>
      <c r="H109" t="str">
        <f t="shared" si="3"/>
        <v>FY2121 Jun</v>
      </c>
    </row>
    <row r="110" spans="1:8" x14ac:dyDescent="0.35">
      <c r="A110" t="s">
        <v>407</v>
      </c>
      <c r="B110" t="s">
        <v>435</v>
      </c>
      <c r="C110">
        <v>2126</v>
      </c>
      <c r="D110">
        <v>320</v>
      </c>
      <c r="E110" t="s">
        <v>1347</v>
      </c>
      <c r="F110" t="s">
        <v>1359</v>
      </c>
      <c r="G110" t="str">
        <f t="shared" si="2"/>
        <v>2126FY21</v>
      </c>
      <c r="H110" t="str">
        <f t="shared" si="3"/>
        <v>FY2121 Jun</v>
      </c>
    </row>
    <row r="111" spans="1:8" x14ac:dyDescent="0.35">
      <c r="A111" t="s">
        <v>407</v>
      </c>
      <c r="B111" t="s">
        <v>435</v>
      </c>
      <c r="C111">
        <v>2127</v>
      </c>
      <c r="D111">
        <v>549</v>
      </c>
      <c r="E111" t="s">
        <v>1347</v>
      </c>
      <c r="F111" t="s">
        <v>1360</v>
      </c>
      <c r="G111" t="str">
        <f t="shared" si="2"/>
        <v>2127FY21</v>
      </c>
      <c r="H111" t="str">
        <f t="shared" si="3"/>
        <v>FY2121 Jul</v>
      </c>
    </row>
    <row r="112" spans="1:8" x14ac:dyDescent="0.35">
      <c r="A112" t="s">
        <v>407</v>
      </c>
      <c r="B112" t="s">
        <v>435</v>
      </c>
      <c r="C112">
        <v>2128</v>
      </c>
      <c r="D112">
        <v>279</v>
      </c>
      <c r="E112" t="s">
        <v>1347</v>
      </c>
      <c r="F112" t="s">
        <v>1360</v>
      </c>
      <c r="G112" t="str">
        <f t="shared" si="2"/>
        <v>2128FY21</v>
      </c>
      <c r="H112" t="str">
        <f t="shared" si="3"/>
        <v>FY2121 Jul</v>
      </c>
    </row>
    <row r="113" spans="1:8" x14ac:dyDescent="0.35">
      <c r="A113" t="s">
        <v>407</v>
      </c>
      <c r="B113" t="s">
        <v>435</v>
      </c>
      <c r="C113">
        <v>2129</v>
      </c>
      <c r="D113">
        <v>309</v>
      </c>
      <c r="E113" t="s">
        <v>1347</v>
      </c>
      <c r="F113" t="s">
        <v>1360</v>
      </c>
      <c r="G113" t="str">
        <f t="shared" si="2"/>
        <v>2129FY21</v>
      </c>
      <c r="H113" t="str">
        <f t="shared" si="3"/>
        <v>FY2121 Jul</v>
      </c>
    </row>
    <row r="114" spans="1:8" x14ac:dyDescent="0.35">
      <c r="A114" t="s">
        <v>407</v>
      </c>
      <c r="B114" t="s">
        <v>435</v>
      </c>
      <c r="C114">
        <v>2132</v>
      </c>
      <c r="D114">
        <v>250</v>
      </c>
      <c r="E114" t="s">
        <v>1347</v>
      </c>
      <c r="F114" t="s">
        <v>1361</v>
      </c>
      <c r="G114" t="str">
        <f t="shared" si="2"/>
        <v>2132FY21</v>
      </c>
      <c r="H114" t="str">
        <f t="shared" si="3"/>
        <v>FY2121 Aug</v>
      </c>
    </row>
    <row r="115" spans="1:8" x14ac:dyDescent="0.35">
      <c r="A115" t="s">
        <v>407</v>
      </c>
      <c r="B115" t="s">
        <v>435</v>
      </c>
      <c r="C115">
        <v>2133</v>
      </c>
      <c r="D115">
        <v>1223</v>
      </c>
      <c r="E115" t="s">
        <v>1347</v>
      </c>
      <c r="F115" t="s">
        <v>1361</v>
      </c>
      <c r="G115" t="str">
        <f t="shared" si="2"/>
        <v>2133FY21</v>
      </c>
      <c r="H115" t="str">
        <f t="shared" si="3"/>
        <v>FY2121 Aug</v>
      </c>
    </row>
    <row r="116" spans="1:8" x14ac:dyDescent="0.35">
      <c r="A116" t="s">
        <v>407</v>
      </c>
      <c r="B116" t="s">
        <v>435</v>
      </c>
      <c r="C116">
        <v>2117</v>
      </c>
      <c r="D116">
        <v>2</v>
      </c>
      <c r="E116" t="s">
        <v>1347</v>
      </c>
      <c r="F116" t="s">
        <v>1357</v>
      </c>
      <c r="G116" t="str">
        <f t="shared" si="2"/>
        <v>2117FY21</v>
      </c>
      <c r="H116" t="str">
        <f t="shared" si="3"/>
        <v>FY2121 Apr</v>
      </c>
    </row>
    <row r="117" spans="1:8" x14ac:dyDescent="0.35">
      <c r="A117" t="s">
        <v>407</v>
      </c>
      <c r="B117" t="s">
        <v>435</v>
      </c>
      <c r="C117">
        <v>2118</v>
      </c>
      <c r="D117">
        <v>39</v>
      </c>
      <c r="E117" t="s">
        <v>1347</v>
      </c>
      <c r="F117" t="s">
        <v>1358</v>
      </c>
      <c r="G117" t="str">
        <f t="shared" si="2"/>
        <v>2118FY21</v>
      </c>
      <c r="H117" t="str">
        <f t="shared" si="3"/>
        <v>FY2121 May</v>
      </c>
    </row>
    <row r="118" spans="1:8" x14ac:dyDescent="0.35">
      <c r="A118" t="s">
        <v>407</v>
      </c>
      <c r="B118" t="s">
        <v>435</v>
      </c>
      <c r="C118">
        <v>2119</v>
      </c>
      <c r="D118">
        <v>18</v>
      </c>
      <c r="E118" t="s">
        <v>1347</v>
      </c>
      <c r="F118" t="s">
        <v>1358</v>
      </c>
      <c r="G118" t="str">
        <f t="shared" si="2"/>
        <v>2119FY21</v>
      </c>
      <c r="H118" t="str">
        <f t="shared" si="3"/>
        <v>FY2121 May</v>
      </c>
    </row>
    <row r="119" spans="1:8" x14ac:dyDescent="0.35">
      <c r="A119" t="s">
        <v>407</v>
      </c>
      <c r="B119" t="s">
        <v>435</v>
      </c>
      <c r="C119">
        <v>2120</v>
      </c>
      <c r="D119">
        <v>364</v>
      </c>
      <c r="E119" t="s">
        <v>1347</v>
      </c>
      <c r="F119" t="s">
        <v>1358</v>
      </c>
      <c r="G119" t="str">
        <f t="shared" si="2"/>
        <v>2120FY21</v>
      </c>
      <c r="H119" t="str">
        <f t="shared" si="3"/>
        <v>FY2121 May</v>
      </c>
    </row>
    <row r="120" spans="1:8" x14ac:dyDescent="0.35">
      <c r="A120" t="s">
        <v>407</v>
      </c>
      <c r="B120" t="s">
        <v>435</v>
      </c>
      <c r="C120">
        <v>2121</v>
      </c>
      <c r="D120">
        <v>336</v>
      </c>
      <c r="E120" t="s">
        <v>1347</v>
      </c>
      <c r="F120" t="s">
        <v>1358</v>
      </c>
      <c r="G120" t="str">
        <f t="shared" si="2"/>
        <v>2121FY21</v>
      </c>
      <c r="H120" t="str">
        <f t="shared" si="3"/>
        <v>FY2121 May</v>
      </c>
    </row>
    <row r="121" spans="1:8" x14ac:dyDescent="0.35">
      <c r="A121" t="s">
        <v>407</v>
      </c>
      <c r="B121" t="s">
        <v>435</v>
      </c>
      <c r="C121">
        <v>2122</v>
      </c>
      <c r="D121">
        <v>45</v>
      </c>
      <c r="E121" t="s">
        <v>1347</v>
      </c>
      <c r="F121" t="s">
        <v>1358</v>
      </c>
      <c r="G121" t="str">
        <f t="shared" si="2"/>
        <v>2122FY21</v>
      </c>
      <c r="H121" t="str">
        <f t="shared" si="3"/>
        <v>FY2121 May</v>
      </c>
    </row>
    <row r="122" spans="1:8" x14ac:dyDescent="0.35">
      <c r="A122" t="s">
        <v>407</v>
      </c>
      <c r="B122" t="s">
        <v>435</v>
      </c>
      <c r="C122">
        <v>2123</v>
      </c>
      <c r="D122">
        <v>1204</v>
      </c>
      <c r="E122" t="s">
        <v>1347</v>
      </c>
      <c r="F122" t="s">
        <v>1359</v>
      </c>
      <c r="G122" t="str">
        <f t="shared" si="2"/>
        <v>2123FY21</v>
      </c>
      <c r="H122" t="str">
        <f t="shared" si="3"/>
        <v>FY2121 Jun</v>
      </c>
    </row>
    <row r="123" spans="1:8" x14ac:dyDescent="0.35">
      <c r="A123" t="s">
        <v>407</v>
      </c>
      <c r="B123" t="s">
        <v>435</v>
      </c>
      <c r="C123">
        <v>2124</v>
      </c>
      <c r="D123">
        <v>211</v>
      </c>
      <c r="E123" t="s">
        <v>1347</v>
      </c>
      <c r="F123" t="s">
        <v>1359</v>
      </c>
      <c r="G123" t="str">
        <f t="shared" si="2"/>
        <v>2124FY21</v>
      </c>
      <c r="H123" t="str">
        <f t="shared" si="3"/>
        <v>FY2121 Jun</v>
      </c>
    </row>
    <row r="124" spans="1:8" x14ac:dyDescent="0.35">
      <c r="A124" t="s">
        <v>407</v>
      </c>
      <c r="B124" t="s">
        <v>435</v>
      </c>
      <c r="C124">
        <v>2125</v>
      </c>
      <c r="D124">
        <v>844</v>
      </c>
      <c r="E124" t="s">
        <v>1347</v>
      </c>
      <c r="F124" t="s">
        <v>1359</v>
      </c>
      <c r="G124" t="str">
        <f t="shared" si="2"/>
        <v>2125FY21</v>
      </c>
      <c r="H124" t="str">
        <f t="shared" si="3"/>
        <v>FY2121 Jun</v>
      </c>
    </row>
    <row r="125" spans="1:8" x14ac:dyDescent="0.35">
      <c r="A125" t="s">
        <v>407</v>
      </c>
      <c r="B125" t="s">
        <v>435</v>
      </c>
      <c r="C125">
        <v>2126</v>
      </c>
      <c r="D125">
        <v>1250</v>
      </c>
      <c r="E125" t="s">
        <v>1347</v>
      </c>
      <c r="F125" t="s">
        <v>1359</v>
      </c>
      <c r="G125" t="str">
        <f t="shared" si="2"/>
        <v>2126FY21</v>
      </c>
      <c r="H125" t="str">
        <f t="shared" si="3"/>
        <v>FY2121 Jun</v>
      </c>
    </row>
    <row r="126" spans="1:8" x14ac:dyDescent="0.35">
      <c r="A126" t="s">
        <v>407</v>
      </c>
      <c r="B126" t="s">
        <v>435</v>
      </c>
      <c r="C126">
        <v>2127</v>
      </c>
      <c r="D126">
        <v>912</v>
      </c>
      <c r="E126" t="s">
        <v>1347</v>
      </c>
      <c r="F126" t="s">
        <v>1360</v>
      </c>
      <c r="G126" t="str">
        <f t="shared" si="2"/>
        <v>2127FY21</v>
      </c>
      <c r="H126" t="str">
        <f t="shared" si="3"/>
        <v>FY2121 Jul</v>
      </c>
    </row>
    <row r="127" spans="1:8" x14ac:dyDescent="0.35">
      <c r="A127" t="s">
        <v>407</v>
      </c>
      <c r="B127" t="s">
        <v>435</v>
      </c>
      <c r="C127">
        <v>2128</v>
      </c>
      <c r="D127">
        <v>904</v>
      </c>
      <c r="E127" t="s">
        <v>1347</v>
      </c>
      <c r="F127" t="s">
        <v>1360</v>
      </c>
      <c r="G127" t="str">
        <f t="shared" si="2"/>
        <v>2128FY21</v>
      </c>
      <c r="H127" t="str">
        <f t="shared" si="3"/>
        <v>FY2121 Jul</v>
      </c>
    </row>
    <row r="128" spans="1:8" x14ac:dyDescent="0.35">
      <c r="A128" t="s">
        <v>407</v>
      </c>
      <c r="B128" t="s">
        <v>435</v>
      </c>
      <c r="C128">
        <v>2129</v>
      </c>
      <c r="D128">
        <v>561</v>
      </c>
      <c r="E128" t="s">
        <v>1347</v>
      </c>
      <c r="F128" t="s">
        <v>1360</v>
      </c>
      <c r="G128" t="str">
        <f t="shared" si="2"/>
        <v>2129FY21</v>
      </c>
      <c r="H128" t="str">
        <f t="shared" si="3"/>
        <v>FY2121 Jul</v>
      </c>
    </row>
    <row r="129" spans="1:8" x14ac:dyDescent="0.35">
      <c r="A129" t="s">
        <v>407</v>
      </c>
      <c r="B129" t="s">
        <v>435</v>
      </c>
      <c r="C129">
        <v>2132</v>
      </c>
      <c r="D129">
        <v>1271</v>
      </c>
      <c r="E129" t="s">
        <v>1347</v>
      </c>
      <c r="F129" t="s">
        <v>1361</v>
      </c>
      <c r="G129" t="str">
        <f t="shared" si="2"/>
        <v>2132FY21</v>
      </c>
      <c r="H129" t="str">
        <f t="shared" si="3"/>
        <v>FY2121 Aug</v>
      </c>
    </row>
    <row r="130" spans="1:8" x14ac:dyDescent="0.35">
      <c r="A130" t="s">
        <v>407</v>
      </c>
      <c r="B130" t="s">
        <v>435</v>
      </c>
      <c r="C130">
        <v>2133</v>
      </c>
      <c r="D130">
        <v>1353</v>
      </c>
      <c r="E130" t="s">
        <v>1347</v>
      </c>
      <c r="F130" t="s">
        <v>1361</v>
      </c>
      <c r="G130" t="str">
        <f t="shared" si="2"/>
        <v>2133FY21</v>
      </c>
      <c r="H130" t="str">
        <f t="shared" si="3"/>
        <v>FY2121 Aug</v>
      </c>
    </row>
    <row r="131" spans="1:8" x14ac:dyDescent="0.35">
      <c r="A131" t="s">
        <v>407</v>
      </c>
      <c r="B131" t="s">
        <v>448</v>
      </c>
      <c r="C131">
        <v>2119</v>
      </c>
      <c r="D131">
        <v>13</v>
      </c>
      <c r="E131" t="s">
        <v>1347</v>
      </c>
      <c r="F131" t="s">
        <v>1358</v>
      </c>
      <c r="G131" t="str">
        <f t="shared" ref="G131:G194" si="4">C131&amp;E131</f>
        <v>2119FY21</v>
      </c>
      <c r="H131" t="str">
        <f t="shared" ref="H131:H194" si="5">E131&amp;F131</f>
        <v>FY2121 May</v>
      </c>
    </row>
    <row r="132" spans="1:8" x14ac:dyDescent="0.35">
      <c r="A132" t="s">
        <v>407</v>
      </c>
      <c r="B132" t="s">
        <v>448</v>
      </c>
      <c r="C132">
        <v>2121</v>
      </c>
      <c r="D132">
        <v>341</v>
      </c>
      <c r="E132" t="s">
        <v>1347</v>
      </c>
      <c r="F132" t="s">
        <v>1358</v>
      </c>
      <c r="G132" t="str">
        <f t="shared" si="4"/>
        <v>2121FY21</v>
      </c>
      <c r="H132" t="str">
        <f t="shared" si="5"/>
        <v>FY2121 May</v>
      </c>
    </row>
    <row r="133" spans="1:8" x14ac:dyDescent="0.35">
      <c r="A133" t="s">
        <v>407</v>
      </c>
      <c r="B133" t="s">
        <v>448</v>
      </c>
      <c r="C133">
        <v>2122</v>
      </c>
      <c r="D133">
        <v>223</v>
      </c>
      <c r="E133" t="s">
        <v>1347</v>
      </c>
      <c r="F133" t="s">
        <v>1358</v>
      </c>
      <c r="G133" t="str">
        <f t="shared" si="4"/>
        <v>2122FY21</v>
      </c>
      <c r="H133" t="str">
        <f t="shared" si="5"/>
        <v>FY2121 May</v>
      </c>
    </row>
    <row r="134" spans="1:8" x14ac:dyDescent="0.35">
      <c r="A134" t="s">
        <v>407</v>
      </c>
      <c r="B134" t="s">
        <v>448</v>
      </c>
      <c r="C134">
        <v>2123</v>
      </c>
      <c r="D134">
        <v>100</v>
      </c>
      <c r="E134" t="s">
        <v>1347</v>
      </c>
      <c r="F134" t="s">
        <v>1359</v>
      </c>
      <c r="G134" t="str">
        <f t="shared" si="4"/>
        <v>2123FY21</v>
      </c>
      <c r="H134" t="str">
        <f t="shared" si="5"/>
        <v>FY2121 Jun</v>
      </c>
    </row>
    <row r="135" spans="1:8" x14ac:dyDescent="0.35">
      <c r="A135" t="s">
        <v>407</v>
      </c>
      <c r="B135" t="s">
        <v>448</v>
      </c>
      <c r="C135">
        <v>2124</v>
      </c>
      <c r="D135">
        <v>205</v>
      </c>
      <c r="E135" t="s">
        <v>1347</v>
      </c>
      <c r="F135" t="s">
        <v>1359</v>
      </c>
      <c r="G135" t="str">
        <f t="shared" si="4"/>
        <v>2124FY21</v>
      </c>
      <c r="H135" t="str">
        <f t="shared" si="5"/>
        <v>FY2121 Jun</v>
      </c>
    </row>
    <row r="136" spans="1:8" x14ac:dyDescent="0.35">
      <c r="A136" t="s">
        <v>407</v>
      </c>
      <c r="B136" t="s">
        <v>448</v>
      </c>
      <c r="C136">
        <v>2125</v>
      </c>
      <c r="D136">
        <v>260</v>
      </c>
      <c r="E136" t="s">
        <v>1347</v>
      </c>
      <c r="F136" t="s">
        <v>1359</v>
      </c>
      <c r="G136" t="str">
        <f t="shared" si="4"/>
        <v>2125FY21</v>
      </c>
      <c r="H136" t="str">
        <f t="shared" si="5"/>
        <v>FY2121 Jun</v>
      </c>
    </row>
    <row r="137" spans="1:8" x14ac:dyDescent="0.35">
      <c r="A137" t="s">
        <v>407</v>
      </c>
      <c r="B137" t="s">
        <v>448</v>
      </c>
      <c r="C137">
        <v>2126</v>
      </c>
      <c r="D137">
        <v>781</v>
      </c>
      <c r="E137" t="s">
        <v>1347</v>
      </c>
      <c r="F137" t="s">
        <v>1359</v>
      </c>
      <c r="G137" t="str">
        <f t="shared" si="4"/>
        <v>2126FY21</v>
      </c>
      <c r="H137" t="str">
        <f t="shared" si="5"/>
        <v>FY2121 Jun</v>
      </c>
    </row>
    <row r="138" spans="1:8" x14ac:dyDescent="0.35">
      <c r="A138" t="s">
        <v>407</v>
      </c>
      <c r="B138" t="s">
        <v>448</v>
      </c>
      <c r="C138">
        <v>2127</v>
      </c>
      <c r="D138">
        <v>90</v>
      </c>
      <c r="E138" t="s">
        <v>1347</v>
      </c>
      <c r="F138" t="s">
        <v>1360</v>
      </c>
      <c r="G138" t="str">
        <f t="shared" si="4"/>
        <v>2127FY21</v>
      </c>
      <c r="H138" t="str">
        <f t="shared" si="5"/>
        <v>FY2121 Jul</v>
      </c>
    </row>
    <row r="139" spans="1:8" x14ac:dyDescent="0.35">
      <c r="A139" t="s">
        <v>407</v>
      </c>
      <c r="B139" t="s">
        <v>448</v>
      </c>
      <c r="C139">
        <v>2129</v>
      </c>
      <c r="D139">
        <v>278</v>
      </c>
      <c r="E139" t="s">
        <v>1347</v>
      </c>
      <c r="F139" t="s">
        <v>1360</v>
      </c>
      <c r="G139" t="str">
        <f t="shared" si="4"/>
        <v>2129FY21</v>
      </c>
      <c r="H139" t="str">
        <f t="shared" si="5"/>
        <v>FY2121 Jul</v>
      </c>
    </row>
    <row r="140" spans="1:8" x14ac:dyDescent="0.35">
      <c r="A140" t="s">
        <v>407</v>
      </c>
      <c r="B140" t="s">
        <v>448</v>
      </c>
      <c r="C140">
        <v>2132</v>
      </c>
      <c r="D140">
        <v>589</v>
      </c>
      <c r="E140" t="s">
        <v>1347</v>
      </c>
      <c r="F140" t="s">
        <v>1361</v>
      </c>
      <c r="G140" t="str">
        <f t="shared" si="4"/>
        <v>2132FY21</v>
      </c>
      <c r="H140" t="str">
        <f t="shared" si="5"/>
        <v>FY2121 Aug</v>
      </c>
    </row>
    <row r="141" spans="1:8" x14ac:dyDescent="0.35">
      <c r="A141" t="s">
        <v>407</v>
      </c>
      <c r="B141" t="s">
        <v>448</v>
      </c>
      <c r="C141">
        <v>2133</v>
      </c>
      <c r="D141">
        <v>10</v>
      </c>
      <c r="E141" t="s">
        <v>1347</v>
      </c>
      <c r="F141" t="s">
        <v>1361</v>
      </c>
      <c r="G141" t="str">
        <f t="shared" si="4"/>
        <v>2133FY21</v>
      </c>
      <c r="H141" t="str">
        <f t="shared" si="5"/>
        <v>FY2121 Aug</v>
      </c>
    </row>
    <row r="142" spans="1:8" x14ac:dyDescent="0.35">
      <c r="A142" t="s">
        <v>407</v>
      </c>
      <c r="B142" t="s">
        <v>448</v>
      </c>
      <c r="C142">
        <v>2118</v>
      </c>
      <c r="D142">
        <v>2</v>
      </c>
      <c r="E142" t="s">
        <v>1347</v>
      </c>
      <c r="F142" t="s">
        <v>1358</v>
      </c>
      <c r="G142" t="str">
        <f t="shared" si="4"/>
        <v>2118FY21</v>
      </c>
      <c r="H142" t="str">
        <f t="shared" si="5"/>
        <v>FY2121 May</v>
      </c>
    </row>
    <row r="143" spans="1:8" x14ac:dyDescent="0.35">
      <c r="A143" t="s">
        <v>407</v>
      </c>
      <c r="B143" t="s">
        <v>448</v>
      </c>
      <c r="C143">
        <v>2119</v>
      </c>
      <c r="D143">
        <v>28</v>
      </c>
      <c r="E143" t="s">
        <v>1347</v>
      </c>
      <c r="F143" t="s">
        <v>1358</v>
      </c>
      <c r="G143" t="str">
        <f t="shared" si="4"/>
        <v>2119FY21</v>
      </c>
      <c r="H143" t="str">
        <f t="shared" si="5"/>
        <v>FY2121 May</v>
      </c>
    </row>
    <row r="144" spans="1:8" x14ac:dyDescent="0.35">
      <c r="A144" t="s">
        <v>407</v>
      </c>
      <c r="B144" t="s">
        <v>448</v>
      </c>
      <c r="C144">
        <v>2121</v>
      </c>
      <c r="D144">
        <v>464</v>
      </c>
      <c r="E144" t="s">
        <v>1347</v>
      </c>
      <c r="F144" t="s">
        <v>1358</v>
      </c>
      <c r="G144" t="str">
        <f t="shared" si="4"/>
        <v>2121FY21</v>
      </c>
      <c r="H144" t="str">
        <f t="shared" si="5"/>
        <v>FY2121 May</v>
      </c>
    </row>
    <row r="145" spans="1:8" x14ac:dyDescent="0.35">
      <c r="A145" t="s">
        <v>407</v>
      </c>
      <c r="B145" t="s">
        <v>448</v>
      </c>
      <c r="C145">
        <v>2122</v>
      </c>
      <c r="D145">
        <v>783</v>
      </c>
      <c r="E145" t="s">
        <v>1347</v>
      </c>
      <c r="F145" t="s">
        <v>1358</v>
      </c>
      <c r="G145" t="str">
        <f t="shared" si="4"/>
        <v>2122FY21</v>
      </c>
      <c r="H145" t="str">
        <f t="shared" si="5"/>
        <v>FY2121 May</v>
      </c>
    </row>
    <row r="146" spans="1:8" x14ac:dyDescent="0.35">
      <c r="A146" t="s">
        <v>407</v>
      </c>
      <c r="B146" t="s">
        <v>448</v>
      </c>
      <c r="C146">
        <v>2123</v>
      </c>
      <c r="D146">
        <v>499</v>
      </c>
      <c r="E146" t="s">
        <v>1347</v>
      </c>
      <c r="F146" t="s">
        <v>1359</v>
      </c>
      <c r="G146" t="str">
        <f t="shared" si="4"/>
        <v>2123FY21</v>
      </c>
      <c r="H146" t="str">
        <f t="shared" si="5"/>
        <v>FY2121 Jun</v>
      </c>
    </row>
    <row r="147" spans="1:8" x14ac:dyDescent="0.35">
      <c r="A147" t="s">
        <v>407</v>
      </c>
      <c r="B147" t="s">
        <v>448</v>
      </c>
      <c r="C147">
        <v>2124</v>
      </c>
      <c r="D147">
        <v>396</v>
      </c>
      <c r="E147" t="s">
        <v>1347</v>
      </c>
      <c r="F147" t="s">
        <v>1359</v>
      </c>
      <c r="G147" t="str">
        <f t="shared" si="4"/>
        <v>2124FY21</v>
      </c>
      <c r="H147" t="str">
        <f t="shared" si="5"/>
        <v>FY2121 Jun</v>
      </c>
    </row>
    <row r="148" spans="1:8" x14ac:dyDescent="0.35">
      <c r="A148" t="s">
        <v>407</v>
      </c>
      <c r="B148" t="s">
        <v>448</v>
      </c>
      <c r="C148">
        <v>2125</v>
      </c>
      <c r="D148">
        <v>110</v>
      </c>
      <c r="E148" t="s">
        <v>1347</v>
      </c>
      <c r="F148" t="s">
        <v>1359</v>
      </c>
      <c r="G148" t="str">
        <f t="shared" si="4"/>
        <v>2125FY21</v>
      </c>
      <c r="H148" t="str">
        <f t="shared" si="5"/>
        <v>FY2121 Jun</v>
      </c>
    </row>
    <row r="149" spans="1:8" x14ac:dyDescent="0.35">
      <c r="A149" t="s">
        <v>407</v>
      </c>
      <c r="B149" t="s">
        <v>448</v>
      </c>
      <c r="C149">
        <v>2126</v>
      </c>
      <c r="D149">
        <v>10</v>
      </c>
      <c r="E149" t="s">
        <v>1347</v>
      </c>
      <c r="F149" t="s">
        <v>1359</v>
      </c>
      <c r="G149" t="str">
        <f t="shared" si="4"/>
        <v>2126FY21</v>
      </c>
      <c r="H149" t="str">
        <f t="shared" si="5"/>
        <v>FY2121 Jun</v>
      </c>
    </row>
    <row r="150" spans="1:8" x14ac:dyDescent="0.35">
      <c r="A150" t="s">
        <v>407</v>
      </c>
      <c r="B150" t="s">
        <v>448</v>
      </c>
      <c r="C150">
        <v>2127</v>
      </c>
      <c r="D150">
        <v>665</v>
      </c>
      <c r="E150" t="s">
        <v>1347</v>
      </c>
      <c r="F150" t="s">
        <v>1360</v>
      </c>
      <c r="G150" t="str">
        <f t="shared" si="4"/>
        <v>2127FY21</v>
      </c>
      <c r="H150" t="str">
        <f t="shared" si="5"/>
        <v>FY2121 Jul</v>
      </c>
    </row>
    <row r="151" spans="1:8" x14ac:dyDescent="0.35">
      <c r="A151" t="s">
        <v>407</v>
      </c>
      <c r="B151" t="s">
        <v>448</v>
      </c>
      <c r="C151">
        <v>2128</v>
      </c>
      <c r="D151">
        <v>460</v>
      </c>
      <c r="E151" t="s">
        <v>1347</v>
      </c>
      <c r="F151" t="s">
        <v>1360</v>
      </c>
      <c r="G151" t="str">
        <f t="shared" si="4"/>
        <v>2128FY21</v>
      </c>
      <c r="H151" t="str">
        <f t="shared" si="5"/>
        <v>FY2121 Jul</v>
      </c>
    </row>
    <row r="152" spans="1:8" x14ac:dyDescent="0.35">
      <c r="A152" t="s">
        <v>407</v>
      </c>
      <c r="B152" t="s">
        <v>448</v>
      </c>
      <c r="C152">
        <v>2129</v>
      </c>
      <c r="D152">
        <v>998</v>
      </c>
      <c r="E152" t="s">
        <v>1347</v>
      </c>
      <c r="F152" t="s">
        <v>1360</v>
      </c>
      <c r="G152" t="str">
        <f t="shared" si="4"/>
        <v>2129FY21</v>
      </c>
      <c r="H152" t="str">
        <f t="shared" si="5"/>
        <v>FY2121 Jul</v>
      </c>
    </row>
    <row r="153" spans="1:8" x14ac:dyDescent="0.35">
      <c r="A153" t="s">
        <v>407</v>
      </c>
      <c r="B153" t="s">
        <v>448</v>
      </c>
      <c r="C153">
        <v>2132</v>
      </c>
      <c r="D153">
        <v>779</v>
      </c>
      <c r="E153" t="s">
        <v>1347</v>
      </c>
      <c r="F153" t="s">
        <v>1361</v>
      </c>
      <c r="G153" t="str">
        <f t="shared" si="4"/>
        <v>2132FY21</v>
      </c>
      <c r="H153" t="str">
        <f t="shared" si="5"/>
        <v>FY2121 Aug</v>
      </c>
    </row>
    <row r="154" spans="1:8" x14ac:dyDescent="0.35">
      <c r="A154" t="s">
        <v>407</v>
      </c>
      <c r="B154" t="s">
        <v>448</v>
      </c>
      <c r="C154">
        <v>2133</v>
      </c>
      <c r="D154">
        <v>1823</v>
      </c>
      <c r="E154" t="s">
        <v>1347</v>
      </c>
      <c r="F154" t="s">
        <v>1361</v>
      </c>
      <c r="G154" t="str">
        <f t="shared" si="4"/>
        <v>2133FY21</v>
      </c>
      <c r="H154" t="str">
        <f t="shared" si="5"/>
        <v>FY2121 Aug</v>
      </c>
    </row>
    <row r="155" spans="1:8" x14ac:dyDescent="0.35">
      <c r="A155" t="s">
        <v>407</v>
      </c>
      <c r="B155" t="s">
        <v>450</v>
      </c>
      <c r="C155">
        <v>2116</v>
      </c>
      <c r="D155">
        <v>1</v>
      </c>
      <c r="E155" t="s">
        <v>1347</v>
      </c>
      <c r="F155" t="s">
        <v>1357</v>
      </c>
      <c r="G155" t="str">
        <f t="shared" si="4"/>
        <v>2116FY21</v>
      </c>
      <c r="H155" t="str">
        <f t="shared" si="5"/>
        <v>FY2121 Apr</v>
      </c>
    </row>
    <row r="156" spans="1:8" x14ac:dyDescent="0.35">
      <c r="A156" t="s">
        <v>407</v>
      </c>
      <c r="B156" t="s">
        <v>450</v>
      </c>
      <c r="C156">
        <v>2117</v>
      </c>
      <c r="D156">
        <v>33</v>
      </c>
      <c r="E156" t="s">
        <v>1347</v>
      </c>
      <c r="F156" t="s">
        <v>1357</v>
      </c>
      <c r="G156" t="str">
        <f t="shared" si="4"/>
        <v>2117FY21</v>
      </c>
      <c r="H156" t="str">
        <f t="shared" si="5"/>
        <v>FY2121 Apr</v>
      </c>
    </row>
    <row r="157" spans="1:8" x14ac:dyDescent="0.35">
      <c r="A157" t="s">
        <v>407</v>
      </c>
      <c r="B157" t="s">
        <v>450</v>
      </c>
      <c r="C157">
        <v>2118</v>
      </c>
      <c r="D157">
        <v>11</v>
      </c>
      <c r="E157" t="s">
        <v>1347</v>
      </c>
      <c r="F157" t="s">
        <v>1358</v>
      </c>
      <c r="G157" t="str">
        <f t="shared" si="4"/>
        <v>2118FY21</v>
      </c>
      <c r="H157" t="str">
        <f t="shared" si="5"/>
        <v>FY2121 May</v>
      </c>
    </row>
    <row r="158" spans="1:8" x14ac:dyDescent="0.35">
      <c r="A158" t="s">
        <v>407</v>
      </c>
      <c r="B158" t="s">
        <v>450</v>
      </c>
      <c r="C158">
        <v>2119</v>
      </c>
      <c r="D158">
        <v>86</v>
      </c>
      <c r="E158" t="s">
        <v>1347</v>
      </c>
      <c r="F158" t="s">
        <v>1358</v>
      </c>
      <c r="G158" t="str">
        <f t="shared" si="4"/>
        <v>2119FY21</v>
      </c>
      <c r="H158" t="str">
        <f t="shared" si="5"/>
        <v>FY2121 May</v>
      </c>
    </row>
    <row r="159" spans="1:8" x14ac:dyDescent="0.35">
      <c r="A159" t="s">
        <v>407</v>
      </c>
      <c r="B159" t="s">
        <v>450</v>
      </c>
      <c r="C159">
        <v>2120</v>
      </c>
      <c r="D159">
        <v>286</v>
      </c>
      <c r="E159" t="s">
        <v>1347</v>
      </c>
      <c r="F159" t="s">
        <v>1358</v>
      </c>
      <c r="G159" t="str">
        <f t="shared" si="4"/>
        <v>2120FY21</v>
      </c>
      <c r="H159" t="str">
        <f t="shared" si="5"/>
        <v>FY2121 May</v>
      </c>
    </row>
    <row r="160" spans="1:8" x14ac:dyDescent="0.35">
      <c r="A160" t="s">
        <v>407</v>
      </c>
      <c r="B160" t="s">
        <v>450</v>
      </c>
      <c r="C160">
        <v>2121</v>
      </c>
      <c r="D160">
        <v>635</v>
      </c>
      <c r="E160" t="s">
        <v>1347</v>
      </c>
      <c r="F160" t="s">
        <v>1358</v>
      </c>
      <c r="G160" t="str">
        <f t="shared" si="4"/>
        <v>2121FY21</v>
      </c>
      <c r="H160" t="str">
        <f t="shared" si="5"/>
        <v>FY2121 May</v>
      </c>
    </row>
    <row r="161" spans="1:8" x14ac:dyDescent="0.35">
      <c r="A161" t="s">
        <v>407</v>
      </c>
      <c r="B161" t="s">
        <v>450</v>
      </c>
      <c r="C161">
        <v>2122</v>
      </c>
      <c r="D161">
        <v>279</v>
      </c>
      <c r="E161" t="s">
        <v>1347</v>
      </c>
      <c r="F161" t="s">
        <v>1358</v>
      </c>
      <c r="G161" t="str">
        <f t="shared" si="4"/>
        <v>2122FY21</v>
      </c>
      <c r="H161" t="str">
        <f t="shared" si="5"/>
        <v>FY2121 May</v>
      </c>
    </row>
    <row r="162" spans="1:8" x14ac:dyDescent="0.35">
      <c r="A162" t="s">
        <v>407</v>
      </c>
      <c r="B162" t="s">
        <v>450</v>
      </c>
      <c r="C162">
        <v>2123</v>
      </c>
      <c r="D162">
        <v>831</v>
      </c>
      <c r="E162" t="s">
        <v>1347</v>
      </c>
      <c r="F162" t="s">
        <v>1359</v>
      </c>
      <c r="G162" t="str">
        <f t="shared" si="4"/>
        <v>2123FY21</v>
      </c>
      <c r="H162" t="str">
        <f t="shared" si="5"/>
        <v>FY2121 Jun</v>
      </c>
    </row>
    <row r="163" spans="1:8" x14ac:dyDescent="0.35">
      <c r="A163" t="s">
        <v>407</v>
      </c>
      <c r="B163" t="s">
        <v>450</v>
      </c>
      <c r="C163">
        <v>2124</v>
      </c>
      <c r="D163">
        <v>147</v>
      </c>
      <c r="E163" t="s">
        <v>1347</v>
      </c>
      <c r="F163" t="s">
        <v>1359</v>
      </c>
      <c r="G163" t="str">
        <f t="shared" si="4"/>
        <v>2124FY21</v>
      </c>
      <c r="H163" t="str">
        <f t="shared" si="5"/>
        <v>FY2121 Jun</v>
      </c>
    </row>
    <row r="164" spans="1:8" x14ac:dyDescent="0.35">
      <c r="A164" t="s">
        <v>407</v>
      </c>
      <c r="B164" t="s">
        <v>450</v>
      </c>
      <c r="C164">
        <v>2125</v>
      </c>
      <c r="D164">
        <v>337</v>
      </c>
      <c r="E164" t="s">
        <v>1347</v>
      </c>
      <c r="F164" t="s">
        <v>1359</v>
      </c>
      <c r="G164" t="str">
        <f t="shared" si="4"/>
        <v>2125FY21</v>
      </c>
      <c r="H164" t="str">
        <f t="shared" si="5"/>
        <v>FY2121 Jun</v>
      </c>
    </row>
    <row r="165" spans="1:8" x14ac:dyDescent="0.35">
      <c r="A165" t="s">
        <v>407</v>
      </c>
      <c r="B165" t="s">
        <v>450</v>
      </c>
      <c r="C165">
        <v>2126</v>
      </c>
      <c r="D165">
        <v>565</v>
      </c>
      <c r="E165" t="s">
        <v>1347</v>
      </c>
      <c r="F165" t="s">
        <v>1359</v>
      </c>
      <c r="G165" t="str">
        <f t="shared" si="4"/>
        <v>2126FY21</v>
      </c>
      <c r="H165" t="str">
        <f t="shared" si="5"/>
        <v>FY2121 Jun</v>
      </c>
    </row>
    <row r="166" spans="1:8" x14ac:dyDescent="0.35">
      <c r="A166" t="s">
        <v>407</v>
      </c>
      <c r="B166" t="s">
        <v>450</v>
      </c>
      <c r="C166">
        <v>2127</v>
      </c>
      <c r="D166">
        <v>912</v>
      </c>
      <c r="E166" t="s">
        <v>1347</v>
      </c>
      <c r="F166" t="s">
        <v>1360</v>
      </c>
      <c r="G166" t="str">
        <f t="shared" si="4"/>
        <v>2127FY21</v>
      </c>
      <c r="H166" t="str">
        <f t="shared" si="5"/>
        <v>FY2121 Jul</v>
      </c>
    </row>
    <row r="167" spans="1:8" x14ac:dyDescent="0.35">
      <c r="A167" t="s">
        <v>407</v>
      </c>
      <c r="B167" t="s">
        <v>450</v>
      </c>
      <c r="C167">
        <v>2128</v>
      </c>
      <c r="D167">
        <v>361</v>
      </c>
      <c r="E167" t="s">
        <v>1347</v>
      </c>
      <c r="F167" t="s">
        <v>1360</v>
      </c>
      <c r="G167" t="str">
        <f t="shared" si="4"/>
        <v>2128FY21</v>
      </c>
      <c r="H167" t="str">
        <f t="shared" si="5"/>
        <v>FY2121 Jul</v>
      </c>
    </row>
    <row r="168" spans="1:8" x14ac:dyDescent="0.35">
      <c r="A168" t="s">
        <v>407</v>
      </c>
      <c r="B168" t="s">
        <v>450</v>
      </c>
      <c r="C168">
        <v>2129</v>
      </c>
      <c r="D168">
        <v>497</v>
      </c>
      <c r="E168" t="s">
        <v>1347</v>
      </c>
      <c r="F168" t="s">
        <v>1360</v>
      </c>
      <c r="G168" t="str">
        <f t="shared" si="4"/>
        <v>2129FY21</v>
      </c>
      <c r="H168" t="str">
        <f t="shared" si="5"/>
        <v>FY2121 Jul</v>
      </c>
    </row>
    <row r="169" spans="1:8" x14ac:dyDescent="0.35">
      <c r="A169" t="s">
        <v>407</v>
      </c>
      <c r="B169" t="s">
        <v>450</v>
      </c>
      <c r="C169">
        <v>2132</v>
      </c>
      <c r="D169">
        <v>213</v>
      </c>
      <c r="E169" t="s">
        <v>1347</v>
      </c>
      <c r="F169" t="s">
        <v>1361</v>
      </c>
      <c r="G169" t="str">
        <f t="shared" si="4"/>
        <v>2132FY21</v>
      </c>
      <c r="H169" t="str">
        <f t="shared" si="5"/>
        <v>FY2121 Aug</v>
      </c>
    </row>
    <row r="170" spans="1:8" x14ac:dyDescent="0.35">
      <c r="A170" t="s">
        <v>407</v>
      </c>
      <c r="B170" t="s">
        <v>450</v>
      </c>
      <c r="C170">
        <v>2133</v>
      </c>
      <c r="D170">
        <v>32</v>
      </c>
      <c r="E170" t="s">
        <v>1347</v>
      </c>
      <c r="F170" t="s">
        <v>1361</v>
      </c>
      <c r="G170" t="str">
        <f t="shared" si="4"/>
        <v>2133FY21</v>
      </c>
      <c r="H170" t="str">
        <f t="shared" si="5"/>
        <v>FY2121 Aug</v>
      </c>
    </row>
    <row r="171" spans="1:8" x14ac:dyDescent="0.35">
      <c r="A171" t="s">
        <v>407</v>
      </c>
      <c r="B171" t="s">
        <v>442</v>
      </c>
      <c r="C171">
        <v>2116</v>
      </c>
      <c r="D171">
        <v>288</v>
      </c>
      <c r="E171" t="s">
        <v>1348</v>
      </c>
      <c r="F171" t="s">
        <v>1357</v>
      </c>
      <c r="G171" t="str">
        <f t="shared" si="4"/>
        <v>2116FY20</v>
      </c>
      <c r="H171" t="str">
        <f t="shared" si="5"/>
        <v>FY2021 Apr</v>
      </c>
    </row>
    <row r="172" spans="1:8" x14ac:dyDescent="0.35">
      <c r="A172" t="s">
        <v>407</v>
      </c>
      <c r="B172" t="s">
        <v>442</v>
      </c>
      <c r="C172">
        <v>2118</v>
      </c>
      <c r="D172">
        <v>319</v>
      </c>
      <c r="E172" t="s">
        <v>1348</v>
      </c>
      <c r="F172" t="s">
        <v>1358</v>
      </c>
      <c r="G172" t="str">
        <f t="shared" si="4"/>
        <v>2118FY20</v>
      </c>
      <c r="H172" t="str">
        <f t="shared" si="5"/>
        <v>FY2021 May</v>
      </c>
    </row>
    <row r="173" spans="1:8" x14ac:dyDescent="0.35">
      <c r="A173" t="s">
        <v>407</v>
      </c>
      <c r="B173" t="s">
        <v>442</v>
      </c>
      <c r="C173">
        <v>2119</v>
      </c>
      <c r="D173">
        <v>1045</v>
      </c>
      <c r="E173" t="s">
        <v>1348</v>
      </c>
      <c r="F173" t="s">
        <v>1358</v>
      </c>
      <c r="G173" t="str">
        <f t="shared" si="4"/>
        <v>2119FY20</v>
      </c>
      <c r="H173" t="str">
        <f t="shared" si="5"/>
        <v>FY2021 May</v>
      </c>
    </row>
    <row r="174" spans="1:8" x14ac:dyDescent="0.35">
      <c r="A174" t="s">
        <v>407</v>
      </c>
      <c r="B174" t="s">
        <v>442</v>
      </c>
      <c r="C174">
        <v>2121</v>
      </c>
      <c r="D174">
        <v>481</v>
      </c>
      <c r="E174" t="s">
        <v>1348</v>
      </c>
      <c r="F174" t="s">
        <v>1358</v>
      </c>
      <c r="G174" t="str">
        <f t="shared" si="4"/>
        <v>2121FY20</v>
      </c>
      <c r="H174" t="str">
        <f t="shared" si="5"/>
        <v>FY2021 May</v>
      </c>
    </row>
    <row r="175" spans="1:8" x14ac:dyDescent="0.35">
      <c r="A175" t="s">
        <v>407</v>
      </c>
      <c r="B175" t="s">
        <v>442</v>
      </c>
      <c r="C175">
        <v>2122</v>
      </c>
      <c r="D175">
        <v>425</v>
      </c>
      <c r="E175" t="s">
        <v>1348</v>
      </c>
      <c r="F175" t="s">
        <v>1358</v>
      </c>
      <c r="G175" t="str">
        <f t="shared" si="4"/>
        <v>2122FY20</v>
      </c>
      <c r="H175" t="str">
        <f t="shared" si="5"/>
        <v>FY2021 May</v>
      </c>
    </row>
    <row r="176" spans="1:8" x14ac:dyDescent="0.35">
      <c r="A176" t="s">
        <v>407</v>
      </c>
      <c r="B176" t="s">
        <v>442</v>
      </c>
      <c r="C176">
        <v>2123</v>
      </c>
      <c r="D176">
        <v>101</v>
      </c>
      <c r="E176" t="s">
        <v>1348</v>
      </c>
      <c r="F176" t="s">
        <v>1359</v>
      </c>
      <c r="G176" t="str">
        <f t="shared" si="4"/>
        <v>2123FY20</v>
      </c>
      <c r="H176" t="str">
        <f t="shared" si="5"/>
        <v>FY2021 Jun</v>
      </c>
    </row>
    <row r="177" spans="1:8" x14ac:dyDescent="0.35">
      <c r="A177" t="s">
        <v>407</v>
      </c>
      <c r="B177" t="s">
        <v>442</v>
      </c>
      <c r="C177">
        <v>2124</v>
      </c>
      <c r="D177">
        <v>255</v>
      </c>
      <c r="E177" t="s">
        <v>1348</v>
      </c>
      <c r="F177" t="s">
        <v>1359</v>
      </c>
      <c r="G177" t="str">
        <f t="shared" si="4"/>
        <v>2124FY20</v>
      </c>
      <c r="H177" t="str">
        <f t="shared" si="5"/>
        <v>FY2021 Jun</v>
      </c>
    </row>
    <row r="178" spans="1:8" x14ac:dyDescent="0.35">
      <c r="A178" t="s">
        <v>407</v>
      </c>
      <c r="B178" t="s">
        <v>442</v>
      </c>
      <c r="C178">
        <v>2125</v>
      </c>
      <c r="D178">
        <v>517</v>
      </c>
      <c r="E178" t="s">
        <v>1348</v>
      </c>
      <c r="F178" t="s">
        <v>1359</v>
      </c>
      <c r="G178" t="str">
        <f t="shared" si="4"/>
        <v>2125FY20</v>
      </c>
      <c r="H178" t="str">
        <f t="shared" si="5"/>
        <v>FY2021 Jun</v>
      </c>
    </row>
    <row r="179" spans="1:8" x14ac:dyDescent="0.35">
      <c r="A179" t="s">
        <v>407</v>
      </c>
      <c r="B179" t="s">
        <v>442</v>
      </c>
      <c r="C179">
        <v>2126</v>
      </c>
      <c r="D179">
        <v>434</v>
      </c>
      <c r="E179" t="s">
        <v>1348</v>
      </c>
      <c r="F179" t="s">
        <v>1359</v>
      </c>
      <c r="G179" t="str">
        <f t="shared" si="4"/>
        <v>2126FY20</v>
      </c>
      <c r="H179" t="str">
        <f t="shared" si="5"/>
        <v>FY2021 Jun</v>
      </c>
    </row>
    <row r="180" spans="1:8" x14ac:dyDescent="0.35">
      <c r="A180" t="s">
        <v>407</v>
      </c>
      <c r="B180" t="s">
        <v>442</v>
      </c>
      <c r="C180">
        <v>2128</v>
      </c>
      <c r="D180">
        <v>1299</v>
      </c>
      <c r="E180" t="s">
        <v>1348</v>
      </c>
      <c r="F180" t="s">
        <v>1360</v>
      </c>
      <c r="G180" t="str">
        <f t="shared" si="4"/>
        <v>2128FY20</v>
      </c>
      <c r="H180" t="str">
        <f t="shared" si="5"/>
        <v>FY2021 Jul</v>
      </c>
    </row>
    <row r="181" spans="1:8" x14ac:dyDescent="0.35">
      <c r="A181" t="s">
        <v>407</v>
      </c>
      <c r="B181" t="s">
        <v>442</v>
      </c>
      <c r="C181">
        <v>2129</v>
      </c>
      <c r="D181">
        <v>550</v>
      </c>
      <c r="E181" t="s">
        <v>1348</v>
      </c>
      <c r="F181" t="s">
        <v>1360</v>
      </c>
      <c r="G181" t="str">
        <f t="shared" si="4"/>
        <v>2129FY20</v>
      </c>
      <c r="H181" t="str">
        <f t="shared" si="5"/>
        <v>FY2021 Jul</v>
      </c>
    </row>
    <row r="182" spans="1:8" x14ac:dyDescent="0.35">
      <c r="A182" t="s">
        <v>407</v>
      </c>
      <c r="B182" t="s">
        <v>442</v>
      </c>
      <c r="C182">
        <v>2102</v>
      </c>
      <c r="D182">
        <v>991</v>
      </c>
      <c r="E182" t="s">
        <v>1348</v>
      </c>
      <c r="F182" t="s">
        <v>1363</v>
      </c>
      <c r="G182" t="str">
        <f t="shared" si="4"/>
        <v>2102FY20</v>
      </c>
      <c r="H182" t="str">
        <f t="shared" si="5"/>
        <v>FY2021 Jan</v>
      </c>
    </row>
    <row r="183" spans="1:8" x14ac:dyDescent="0.35">
      <c r="A183" t="s">
        <v>407</v>
      </c>
      <c r="B183" t="s">
        <v>442</v>
      </c>
      <c r="C183">
        <v>2103</v>
      </c>
      <c r="D183">
        <v>877</v>
      </c>
      <c r="E183" t="s">
        <v>1348</v>
      </c>
      <c r="F183" t="s">
        <v>1363</v>
      </c>
      <c r="G183" t="str">
        <f t="shared" si="4"/>
        <v>2103FY20</v>
      </c>
      <c r="H183" t="str">
        <f t="shared" si="5"/>
        <v>FY2021 Jan</v>
      </c>
    </row>
    <row r="184" spans="1:8" x14ac:dyDescent="0.35">
      <c r="A184" t="s">
        <v>407</v>
      </c>
      <c r="B184" t="s">
        <v>442</v>
      </c>
      <c r="C184">
        <v>2104</v>
      </c>
      <c r="D184">
        <v>419</v>
      </c>
      <c r="E184" t="s">
        <v>1348</v>
      </c>
      <c r="F184" t="s">
        <v>1363</v>
      </c>
      <c r="G184" t="str">
        <f t="shared" si="4"/>
        <v>2104FY20</v>
      </c>
      <c r="H184" t="str">
        <f t="shared" si="5"/>
        <v>FY2021 Jan</v>
      </c>
    </row>
    <row r="185" spans="1:8" x14ac:dyDescent="0.35">
      <c r="A185" t="s">
        <v>407</v>
      </c>
      <c r="B185" t="s">
        <v>442</v>
      </c>
      <c r="C185">
        <v>2105</v>
      </c>
      <c r="D185">
        <v>481</v>
      </c>
      <c r="E185" t="s">
        <v>1348</v>
      </c>
      <c r="F185" t="s">
        <v>1362</v>
      </c>
      <c r="G185" t="str">
        <f t="shared" si="4"/>
        <v>2105FY20</v>
      </c>
      <c r="H185" t="str">
        <f t="shared" si="5"/>
        <v>FY2021 Feb</v>
      </c>
    </row>
    <row r="186" spans="1:8" x14ac:dyDescent="0.35">
      <c r="A186" t="s">
        <v>407</v>
      </c>
      <c r="B186" t="s">
        <v>442</v>
      </c>
      <c r="C186">
        <v>2106</v>
      </c>
      <c r="D186">
        <v>254</v>
      </c>
      <c r="E186" t="s">
        <v>1348</v>
      </c>
      <c r="F186" t="s">
        <v>1362</v>
      </c>
      <c r="G186" t="str">
        <f t="shared" si="4"/>
        <v>2106FY20</v>
      </c>
      <c r="H186" t="str">
        <f t="shared" si="5"/>
        <v>FY2021 Feb</v>
      </c>
    </row>
    <row r="187" spans="1:8" x14ac:dyDescent="0.35">
      <c r="A187" t="s">
        <v>407</v>
      </c>
      <c r="B187" t="s">
        <v>442</v>
      </c>
      <c r="C187">
        <v>2107</v>
      </c>
      <c r="D187">
        <v>295</v>
      </c>
      <c r="E187" t="s">
        <v>1348</v>
      </c>
      <c r="F187" t="s">
        <v>1362</v>
      </c>
      <c r="G187" t="str">
        <f t="shared" si="4"/>
        <v>2107FY20</v>
      </c>
      <c r="H187" t="str">
        <f t="shared" si="5"/>
        <v>FY2021 Feb</v>
      </c>
    </row>
    <row r="188" spans="1:8" x14ac:dyDescent="0.35">
      <c r="A188" t="s">
        <v>407</v>
      </c>
      <c r="B188" t="s">
        <v>442</v>
      </c>
      <c r="C188">
        <v>2108</v>
      </c>
      <c r="D188">
        <v>124</v>
      </c>
      <c r="E188" t="s">
        <v>1348</v>
      </c>
      <c r="F188" t="s">
        <v>1362</v>
      </c>
      <c r="G188" t="str">
        <f t="shared" si="4"/>
        <v>2108FY20</v>
      </c>
      <c r="H188" t="str">
        <f t="shared" si="5"/>
        <v>FY2021 Feb</v>
      </c>
    </row>
    <row r="189" spans="1:8" x14ac:dyDescent="0.35">
      <c r="A189" t="s">
        <v>407</v>
      </c>
      <c r="B189" t="s">
        <v>442</v>
      </c>
      <c r="C189">
        <v>2109</v>
      </c>
      <c r="D189">
        <v>2409</v>
      </c>
      <c r="E189" t="s">
        <v>1348</v>
      </c>
      <c r="F189" t="s">
        <v>1356</v>
      </c>
      <c r="G189" t="str">
        <f t="shared" si="4"/>
        <v>2109FY20</v>
      </c>
      <c r="H189" t="str">
        <f t="shared" si="5"/>
        <v>FY2021 Mar</v>
      </c>
    </row>
    <row r="190" spans="1:8" x14ac:dyDescent="0.35">
      <c r="A190" t="s">
        <v>407</v>
      </c>
      <c r="B190" t="s">
        <v>442</v>
      </c>
      <c r="C190">
        <v>2110</v>
      </c>
      <c r="D190">
        <v>2012</v>
      </c>
      <c r="E190" t="s">
        <v>1348</v>
      </c>
      <c r="F190" t="s">
        <v>1356</v>
      </c>
      <c r="G190" t="str">
        <f t="shared" si="4"/>
        <v>2110FY20</v>
      </c>
      <c r="H190" t="str">
        <f t="shared" si="5"/>
        <v>FY2021 Mar</v>
      </c>
    </row>
    <row r="191" spans="1:8" x14ac:dyDescent="0.35">
      <c r="A191" t="s">
        <v>407</v>
      </c>
      <c r="B191" t="s">
        <v>442</v>
      </c>
      <c r="C191">
        <v>2111</v>
      </c>
      <c r="D191">
        <v>578</v>
      </c>
      <c r="E191" t="s">
        <v>1348</v>
      </c>
      <c r="F191" t="s">
        <v>1356</v>
      </c>
      <c r="G191" t="str">
        <f t="shared" si="4"/>
        <v>2111FY20</v>
      </c>
      <c r="H191" t="str">
        <f t="shared" si="5"/>
        <v>FY2021 Mar</v>
      </c>
    </row>
    <row r="192" spans="1:8" x14ac:dyDescent="0.35">
      <c r="A192" t="s">
        <v>407</v>
      </c>
      <c r="B192" t="s">
        <v>442</v>
      </c>
      <c r="C192">
        <v>2112</v>
      </c>
      <c r="D192">
        <v>766</v>
      </c>
      <c r="E192" t="s">
        <v>1348</v>
      </c>
      <c r="F192" t="s">
        <v>1356</v>
      </c>
      <c r="G192" t="str">
        <f t="shared" si="4"/>
        <v>2112FY20</v>
      </c>
      <c r="H192" t="str">
        <f t="shared" si="5"/>
        <v>FY2021 Mar</v>
      </c>
    </row>
    <row r="193" spans="1:8" x14ac:dyDescent="0.35">
      <c r="A193" t="s">
        <v>407</v>
      </c>
      <c r="B193" t="s">
        <v>442</v>
      </c>
      <c r="C193">
        <v>2113</v>
      </c>
      <c r="D193">
        <v>576</v>
      </c>
      <c r="E193" t="s">
        <v>1348</v>
      </c>
      <c r="F193" t="s">
        <v>1356</v>
      </c>
      <c r="G193" t="str">
        <f t="shared" si="4"/>
        <v>2113FY20</v>
      </c>
      <c r="H193" t="str">
        <f t="shared" si="5"/>
        <v>FY2021 Mar</v>
      </c>
    </row>
    <row r="194" spans="1:8" x14ac:dyDescent="0.35">
      <c r="A194" t="s">
        <v>407</v>
      </c>
      <c r="B194" t="s">
        <v>442</v>
      </c>
      <c r="C194">
        <v>2114</v>
      </c>
      <c r="D194">
        <v>95</v>
      </c>
      <c r="E194" t="s">
        <v>1348</v>
      </c>
      <c r="F194" t="s">
        <v>1357</v>
      </c>
      <c r="G194" t="str">
        <f t="shared" si="4"/>
        <v>2114FY20</v>
      </c>
      <c r="H194" t="str">
        <f t="shared" si="5"/>
        <v>FY2021 Apr</v>
      </c>
    </row>
    <row r="195" spans="1:8" x14ac:dyDescent="0.35">
      <c r="A195" t="s">
        <v>407</v>
      </c>
      <c r="B195" t="s">
        <v>442</v>
      </c>
      <c r="C195">
        <v>2115</v>
      </c>
      <c r="D195">
        <v>341</v>
      </c>
      <c r="E195" t="s">
        <v>1348</v>
      </c>
      <c r="F195" t="s">
        <v>1357</v>
      </c>
      <c r="G195" t="str">
        <f t="shared" ref="G195:G258" si="6">C195&amp;E195</f>
        <v>2115FY20</v>
      </c>
      <c r="H195" t="str">
        <f t="shared" ref="H195:H258" si="7">E195&amp;F195</f>
        <v>FY2021 Apr</v>
      </c>
    </row>
    <row r="196" spans="1:8" x14ac:dyDescent="0.35">
      <c r="A196" t="s">
        <v>407</v>
      </c>
      <c r="B196" t="s">
        <v>442</v>
      </c>
      <c r="C196">
        <v>2116</v>
      </c>
      <c r="D196">
        <v>520</v>
      </c>
      <c r="E196" t="s">
        <v>1348</v>
      </c>
      <c r="F196" t="s">
        <v>1357</v>
      </c>
      <c r="G196" t="str">
        <f t="shared" si="6"/>
        <v>2116FY20</v>
      </c>
      <c r="H196" t="str">
        <f t="shared" si="7"/>
        <v>FY2021 Apr</v>
      </c>
    </row>
    <row r="197" spans="1:8" x14ac:dyDescent="0.35">
      <c r="A197" t="s">
        <v>407</v>
      </c>
      <c r="B197" t="s">
        <v>442</v>
      </c>
      <c r="C197">
        <v>2117</v>
      </c>
      <c r="D197">
        <v>277</v>
      </c>
      <c r="E197" t="s">
        <v>1348</v>
      </c>
      <c r="F197" t="s">
        <v>1357</v>
      </c>
      <c r="G197" t="str">
        <f t="shared" si="6"/>
        <v>2117FY20</v>
      </c>
      <c r="H197" t="str">
        <f t="shared" si="7"/>
        <v>FY2021 Apr</v>
      </c>
    </row>
    <row r="198" spans="1:8" x14ac:dyDescent="0.35">
      <c r="A198" t="s">
        <v>407</v>
      </c>
      <c r="B198" t="s">
        <v>442</v>
      </c>
      <c r="C198">
        <v>2118</v>
      </c>
      <c r="D198">
        <v>278</v>
      </c>
      <c r="E198" t="s">
        <v>1348</v>
      </c>
      <c r="F198" t="s">
        <v>1358</v>
      </c>
      <c r="G198" t="str">
        <f t="shared" si="6"/>
        <v>2118FY20</v>
      </c>
      <c r="H198" t="str">
        <f t="shared" si="7"/>
        <v>FY2021 May</v>
      </c>
    </row>
    <row r="199" spans="1:8" x14ac:dyDescent="0.35">
      <c r="A199" t="s">
        <v>407</v>
      </c>
      <c r="B199" t="s">
        <v>442</v>
      </c>
      <c r="C199">
        <v>2128</v>
      </c>
      <c r="D199">
        <v>1</v>
      </c>
      <c r="E199" t="s">
        <v>1348</v>
      </c>
      <c r="F199" t="s">
        <v>1360</v>
      </c>
      <c r="G199" t="str">
        <f t="shared" si="6"/>
        <v>2128FY20</v>
      </c>
      <c r="H199" t="str">
        <f t="shared" si="7"/>
        <v>FY2021 Jul</v>
      </c>
    </row>
    <row r="200" spans="1:8" x14ac:dyDescent="0.35">
      <c r="A200" t="s">
        <v>407</v>
      </c>
      <c r="B200" t="s">
        <v>439</v>
      </c>
      <c r="C200">
        <v>2101</v>
      </c>
      <c r="D200">
        <v>319</v>
      </c>
      <c r="E200" t="s">
        <v>1348</v>
      </c>
      <c r="F200" t="s">
        <v>1363</v>
      </c>
      <c r="G200" t="str">
        <f t="shared" si="6"/>
        <v>2101FY20</v>
      </c>
      <c r="H200" t="str">
        <f t="shared" si="7"/>
        <v>FY2021 Jan</v>
      </c>
    </row>
    <row r="201" spans="1:8" x14ac:dyDescent="0.35">
      <c r="A201" t="s">
        <v>407</v>
      </c>
      <c r="B201" t="s">
        <v>439</v>
      </c>
      <c r="C201">
        <v>2102</v>
      </c>
      <c r="D201">
        <v>1272</v>
      </c>
      <c r="E201" t="s">
        <v>1348</v>
      </c>
      <c r="F201" t="s">
        <v>1363</v>
      </c>
      <c r="G201" t="str">
        <f t="shared" si="6"/>
        <v>2102FY20</v>
      </c>
      <c r="H201" t="str">
        <f t="shared" si="7"/>
        <v>FY2021 Jan</v>
      </c>
    </row>
    <row r="202" spans="1:8" x14ac:dyDescent="0.35">
      <c r="A202" t="s">
        <v>407</v>
      </c>
      <c r="B202" t="s">
        <v>439</v>
      </c>
      <c r="C202">
        <v>2103</v>
      </c>
      <c r="D202">
        <v>1621</v>
      </c>
      <c r="E202" t="s">
        <v>1348</v>
      </c>
      <c r="F202" t="s">
        <v>1363</v>
      </c>
      <c r="G202" t="str">
        <f t="shared" si="6"/>
        <v>2103FY20</v>
      </c>
      <c r="H202" t="str">
        <f t="shared" si="7"/>
        <v>FY2021 Jan</v>
      </c>
    </row>
    <row r="203" spans="1:8" x14ac:dyDescent="0.35">
      <c r="A203" t="s">
        <v>407</v>
      </c>
      <c r="B203" t="s">
        <v>439</v>
      </c>
      <c r="C203">
        <v>2104</v>
      </c>
      <c r="D203">
        <v>700</v>
      </c>
      <c r="E203" t="s">
        <v>1348</v>
      </c>
      <c r="F203" t="s">
        <v>1363</v>
      </c>
      <c r="G203" t="str">
        <f t="shared" si="6"/>
        <v>2104FY20</v>
      </c>
      <c r="H203" t="str">
        <f t="shared" si="7"/>
        <v>FY2021 Jan</v>
      </c>
    </row>
    <row r="204" spans="1:8" x14ac:dyDescent="0.35">
      <c r="A204" t="s">
        <v>407</v>
      </c>
      <c r="B204" t="s">
        <v>439</v>
      </c>
      <c r="C204">
        <v>2105</v>
      </c>
      <c r="D204">
        <v>517</v>
      </c>
      <c r="E204" t="s">
        <v>1348</v>
      </c>
      <c r="F204" t="s">
        <v>1362</v>
      </c>
      <c r="G204" t="str">
        <f t="shared" si="6"/>
        <v>2105FY20</v>
      </c>
      <c r="H204" t="str">
        <f t="shared" si="7"/>
        <v>FY2021 Feb</v>
      </c>
    </row>
    <row r="205" spans="1:8" x14ac:dyDescent="0.35">
      <c r="A205" t="s">
        <v>407</v>
      </c>
      <c r="B205" t="s">
        <v>439</v>
      </c>
      <c r="C205">
        <v>2106</v>
      </c>
      <c r="D205">
        <v>1152</v>
      </c>
      <c r="E205" t="s">
        <v>1348</v>
      </c>
      <c r="F205" t="s">
        <v>1362</v>
      </c>
      <c r="G205" t="str">
        <f t="shared" si="6"/>
        <v>2106FY20</v>
      </c>
      <c r="H205" t="str">
        <f t="shared" si="7"/>
        <v>FY2021 Feb</v>
      </c>
    </row>
    <row r="206" spans="1:8" x14ac:dyDescent="0.35">
      <c r="A206" t="s">
        <v>407</v>
      </c>
      <c r="B206" t="s">
        <v>439</v>
      </c>
      <c r="C206">
        <v>2107</v>
      </c>
      <c r="D206">
        <v>739</v>
      </c>
      <c r="E206" t="s">
        <v>1348</v>
      </c>
      <c r="F206" t="s">
        <v>1362</v>
      </c>
      <c r="G206" t="str">
        <f t="shared" si="6"/>
        <v>2107FY20</v>
      </c>
      <c r="H206" t="str">
        <f t="shared" si="7"/>
        <v>FY2021 Feb</v>
      </c>
    </row>
    <row r="207" spans="1:8" x14ac:dyDescent="0.35">
      <c r="A207" t="s">
        <v>407</v>
      </c>
      <c r="B207" t="s">
        <v>439</v>
      </c>
      <c r="C207">
        <v>2108</v>
      </c>
      <c r="D207">
        <v>375</v>
      </c>
      <c r="E207" t="s">
        <v>1348</v>
      </c>
      <c r="F207" t="s">
        <v>1362</v>
      </c>
      <c r="G207" t="str">
        <f t="shared" si="6"/>
        <v>2108FY20</v>
      </c>
      <c r="H207" t="str">
        <f t="shared" si="7"/>
        <v>FY2021 Feb</v>
      </c>
    </row>
    <row r="208" spans="1:8" x14ac:dyDescent="0.35">
      <c r="A208" t="s">
        <v>407</v>
      </c>
      <c r="B208" t="s">
        <v>439</v>
      </c>
      <c r="C208">
        <v>2109</v>
      </c>
      <c r="D208">
        <v>320</v>
      </c>
      <c r="E208" t="s">
        <v>1348</v>
      </c>
      <c r="F208" t="s">
        <v>1356</v>
      </c>
      <c r="G208" t="str">
        <f t="shared" si="6"/>
        <v>2109FY20</v>
      </c>
      <c r="H208" t="str">
        <f t="shared" si="7"/>
        <v>FY2021 Mar</v>
      </c>
    </row>
    <row r="209" spans="1:8" x14ac:dyDescent="0.35">
      <c r="A209" t="s">
        <v>407</v>
      </c>
      <c r="B209" t="s">
        <v>439</v>
      </c>
      <c r="C209">
        <v>2110</v>
      </c>
      <c r="D209">
        <v>552</v>
      </c>
      <c r="E209" t="s">
        <v>1348</v>
      </c>
      <c r="F209" t="s">
        <v>1356</v>
      </c>
      <c r="G209" t="str">
        <f t="shared" si="6"/>
        <v>2110FY20</v>
      </c>
      <c r="H209" t="str">
        <f t="shared" si="7"/>
        <v>FY2021 Mar</v>
      </c>
    </row>
    <row r="210" spans="1:8" x14ac:dyDescent="0.35">
      <c r="A210" t="s">
        <v>407</v>
      </c>
      <c r="B210" t="s">
        <v>439</v>
      </c>
      <c r="C210">
        <v>2111</v>
      </c>
      <c r="D210">
        <v>307</v>
      </c>
      <c r="E210" t="s">
        <v>1348</v>
      </c>
      <c r="F210" t="s">
        <v>1356</v>
      </c>
      <c r="G210" t="str">
        <f t="shared" si="6"/>
        <v>2111FY20</v>
      </c>
      <c r="H210" t="str">
        <f t="shared" si="7"/>
        <v>FY2021 Mar</v>
      </c>
    </row>
    <row r="211" spans="1:8" x14ac:dyDescent="0.35">
      <c r="A211" t="s">
        <v>407</v>
      </c>
      <c r="B211" t="s">
        <v>439</v>
      </c>
      <c r="C211">
        <v>2112</v>
      </c>
      <c r="D211">
        <v>84</v>
      </c>
      <c r="E211" t="s">
        <v>1348</v>
      </c>
      <c r="F211" t="s">
        <v>1356</v>
      </c>
      <c r="G211" t="str">
        <f t="shared" si="6"/>
        <v>2112FY20</v>
      </c>
      <c r="H211" t="str">
        <f t="shared" si="7"/>
        <v>FY2021 Mar</v>
      </c>
    </row>
    <row r="212" spans="1:8" x14ac:dyDescent="0.35">
      <c r="A212" t="s">
        <v>407</v>
      </c>
      <c r="B212" t="s">
        <v>439</v>
      </c>
      <c r="C212">
        <v>2113</v>
      </c>
      <c r="D212">
        <v>313</v>
      </c>
      <c r="E212" t="s">
        <v>1348</v>
      </c>
      <c r="F212" t="s">
        <v>1356</v>
      </c>
      <c r="G212" t="str">
        <f t="shared" si="6"/>
        <v>2113FY20</v>
      </c>
      <c r="H212" t="str">
        <f t="shared" si="7"/>
        <v>FY2021 Mar</v>
      </c>
    </row>
    <row r="213" spans="1:8" x14ac:dyDescent="0.35">
      <c r="A213" t="s">
        <v>407</v>
      </c>
      <c r="B213" t="s">
        <v>439</v>
      </c>
      <c r="C213">
        <v>2114</v>
      </c>
      <c r="D213">
        <v>158</v>
      </c>
      <c r="E213" t="s">
        <v>1348</v>
      </c>
      <c r="F213" t="s">
        <v>1357</v>
      </c>
      <c r="G213" t="str">
        <f t="shared" si="6"/>
        <v>2114FY20</v>
      </c>
      <c r="H213" t="str">
        <f t="shared" si="7"/>
        <v>FY2021 Apr</v>
      </c>
    </row>
    <row r="214" spans="1:8" x14ac:dyDescent="0.35">
      <c r="A214" t="s">
        <v>407</v>
      </c>
      <c r="B214" t="s">
        <v>439</v>
      </c>
      <c r="C214">
        <v>2116</v>
      </c>
      <c r="D214">
        <v>647</v>
      </c>
      <c r="E214" t="s">
        <v>1348</v>
      </c>
      <c r="F214" t="s">
        <v>1357</v>
      </c>
      <c r="G214" t="str">
        <f t="shared" si="6"/>
        <v>2116FY20</v>
      </c>
      <c r="H214" t="str">
        <f t="shared" si="7"/>
        <v>FY2021 Apr</v>
      </c>
    </row>
    <row r="215" spans="1:8" x14ac:dyDescent="0.35">
      <c r="A215" t="s">
        <v>407</v>
      </c>
      <c r="B215" t="s">
        <v>439</v>
      </c>
      <c r="C215">
        <v>2117</v>
      </c>
      <c r="D215">
        <v>525</v>
      </c>
      <c r="E215" t="s">
        <v>1348</v>
      </c>
      <c r="F215" t="s">
        <v>1357</v>
      </c>
      <c r="G215" t="str">
        <f t="shared" si="6"/>
        <v>2117FY20</v>
      </c>
      <c r="H215" t="str">
        <f t="shared" si="7"/>
        <v>FY2021 Apr</v>
      </c>
    </row>
    <row r="216" spans="1:8" x14ac:dyDescent="0.35">
      <c r="A216" t="s">
        <v>407</v>
      </c>
      <c r="B216" t="s">
        <v>439</v>
      </c>
      <c r="C216">
        <v>2118</v>
      </c>
      <c r="D216">
        <v>785</v>
      </c>
      <c r="E216" t="s">
        <v>1348</v>
      </c>
      <c r="F216" t="s">
        <v>1358</v>
      </c>
      <c r="G216" t="str">
        <f t="shared" si="6"/>
        <v>2118FY20</v>
      </c>
      <c r="H216" t="str">
        <f t="shared" si="7"/>
        <v>FY2021 May</v>
      </c>
    </row>
    <row r="217" spans="1:8" x14ac:dyDescent="0.35">
      <c r="A217" t="s">
        <v>407</v>
      </c>
      <c r="B217" t="s">
        <v>439</v>
      </c>
      <c r="C217">
        <v>2119</v>
      </c>
      <c r="D217">
        <v>329</v>
      </c>
      <c r="E217" t="s">
        <v>1348</v>
      </c>
      <c r="F217" t="s">
        <v>1358</v>
      </c>
      <c r="G217" t="str">
        <f t="shared" si="6"/>
        <v>2119FY20</v>
      </c>
      <c r="H217" t="str">
        <f t="shared" si="7"/>
        <v>FY2021 May</v>
      </c>
    </row>
    <row r="218" spans="1:8" x14ac:dyDescent="0.35">
      <c r="A218" t="s">
        <v>407</v>
      </c>
      <c r="B218" t="s">
        <v>439</v>
      </c>
      <c r="C218">
        <v>2121</v>
      </c>
      <c r="D218">
        <v>728</v>
      </c>
      <c r="E218" t="s">
        <v>1348</v>
      </c>
      <c r="F218" t="s">
        <v>1358</v>
      </c>
      <c r="G218" t="str">
        <f t="shared" si="6"/>
        <v>2121FY20</v>
      </c>
      <c r="H218" t="str">
        <f t="shared" si="7"/>
        <v>FY2021 May</v>
      </c>
    </row>
    <row r="219" spans="1:8" x14ac:dyDescent="0.35">
      <c r="A219" t="s">
        <v>407</v>
      </c>
      <c r="B219" t="s">
        <v>439</v>
      </c>
      <c r="C219">
        <v>2122</v>
      </c>
      <c r="D219">
        <v>294</v>
      </c>
      <c r="E219" t="s">
        <v>1348</v>
      </c>
      <c r="F219" t="s">
        <v>1358</v>
      </c>
      <c r="G219" t="str">
        <f t="shared" si="6"/>
        <v>2122FY20</v>
      </c>
      <c r="H219" t="str">
        <f t="shared" si="7"/>
        <v>FY2021 May</v>
      </c>
    </row>
    <row r="220" spans="1:8" x14ac:dyDescent="0.35">
      <c r="A220" t="s">
        <v>407</v>
      </c>
      <c r="B220" t="s">
        <v>439</v>
      </c>
      <c r="C220">
        <v>2123</v>
      </c>
      <c r="D220">
        <v>53</v>
      </c>
      <c r="E220" t="s">
        <v>1348</v>
      </c>
      <c r="F220" t="s">
        <v>1359</v>
      </c>
      <c r="G220" t="str">
        <f t="shared" si="6"/>
        <v>2123FY20</v>
      </c>
      <c r="H220" t="str">
        <f t="shared" si="7"/>
        <v>FY2021 Jun</v>
      </c>
    </row>
    <row r="221" spans="1:8" x14ac:dyDescent="0.35">
      <c r="A221" t="s">
        <v>407</v>
      </c>
      <c r="B221" t="s">
        <v>439</v>
      </c>
      <c r="C221">
        <v>2124</v>
      </c>
      <c r="D221">
        <v>64</v>
      </c>
      <c r="E221" t="s">
        <v>1348</v>
      </c>
      <c r="F221" t="s">
        <v>1359</v>
      </c>
      <c r="G221" t="str">
        <f t="shared" si="6"/>
        <v>2124FY20</v>
      </c>
      <c r="H221" t="str">
        <f t="shared" si="7"/>
        <v>FY2021 Jun</v>
      </c>
    </row>
    <row r="222" spans="1:8" x14ac:dyDescent="0.35">
      <c r="A222" t="s">
        <v>407</v>
      </c>
      <c r="B222" t="s">
        <v>439</v>
      </c>
      <c r="C222">
        <v>2125</v>
      </c>
      <c r="D222">
        <v>38</v>
      </c>
      <c r="E222" t="s">
        <v>1348</v>
      </c>
      <c r="F222" t="s">
        <v>1359</v>
      </c>
      <c r="G222" t="str">
        <f t="shared" si="6"/>
        <v>2125FY20</v>
      </c>
      <c r="H222" t="str">
        <f t="shared" si="7"/>
        <v>FY2021 Jun</v>
      </c>
    </row>
    <row r="223" spans="1:8" x14ac:dyDescent="0.35">
      <c r="A223" t="s">
        <v>407</v>
      </c>
      <c r="B223" t="s">
        <v>439</v>
      </c>
      <c r="C223">
        <v>2126</v>
      </c>
      <c r="D223">
        <v>20</v>
      </c>
      <c r="E223" t="s">
        <v>1348</v>
      </c>
      <c r="F223" t="s">
        <v>1359</v>
      </c>
      <c r="G223" t="str">
        <f t="shared" si="6"/>
        <v>2126FY20</v>
      </c>
      <c r="H223" t="str">
        <f t="shared" si="7"/>
        <v>FY2021 Jun</v>
      </c>
    </row>
    <row r="224" spans="1:8" x14ac:dyDescent="0.35">
      <c r="A224" t="s">
        <v>407</v>
      </c>
      <c r="B224" t="s">
        <v>439</v>
      </c>
      <c r="C224">
        <v>2133</v>
      </c>
      <c r="D224">
        <v>169</v>
      </c>
      <c r="E224" t="s">
        <v>1348</v>
      </c>
      <c r="F224" t="s">
        <v>1361</v>
      </c>
      <c r="G224" t="str">
        <f t="shared" si="6"/>
        <v>2133FY20</v>
      </c>
      <c r="H224" t="str">
        <f t="shared" si="7"/>
        <v>FY2021 Aug</v>
      </c>
    </row>
    <row r="225" spans="1:8" x14ac:dyDescent="0.35">
      <c r="A225" t="s">
        <v>407</v>
      </c>
      <c r="B225" t="s">
        <v>452</v>
      </c>
      <c r="C225">
        <v>2101</v>
      </c>
      <c r="D225">
        <v>54</v>
      </c>
      <c r="E225" t="s">
        <v>1348</v>
      </c>
      <c r="F225" t="s">
        <v>1363</v>
      </c>
      <c r="G225" t="str">
        <f t="shared" si="6"/>
        <v>2101FY20</v>
      </c>
      <c r="H225" t="str">
        <f t="shared" si="7"/>
        <v>FY2021 Jan</v>
      </c>
    </row>
    <row r="226" spans="1:8" x14ac:dyDescent="0.35">
      <c r="A226" t="s">
        <v>407</v>
      </c>
      <c r="B226" t="s">
        <v>452</v>
      </c>
      <c r="C226">
        <v>2102</v>
      </c>
      <c r="D226">
        <v>8</v>
      </c>
      <c r="E226" t="s">
        <v>1348</v>
      </c>
      <c r="F226" t="s">
        <v>1363</v>
      </c>
      <c r="G226" t="str">
        <f t="shared" si="6"/>
        <v>2102FY20</v>
      </c>
      <c r="H226" t="str">
        <f t="shared" si="7"/>
        <v>FY2021 Jan</v>
      </c>
    </row>
    <row r="227" spans="1:8" x14ac:dyDescent="0.35">
      <c r="A227" t="s">
        <v>407</v>
      </c>
      <c r="B227" t="s">
        <v>452</v>
      </c>
      <c r="C227">
        <v>2103</v>
      </c>
      <c r="D227">
        <v>68</v>
      </c>
      <c r="E227" t="s">
        <v>1348</v>
      </c>
      <c r="F227" t="s">
        <v>1363</v>
      </c>
      <c r="G227" t="str">
        <f t="shared" si="6"/>
        <v>2103FY20</v>
      </c>
      <c r="H227" t="str">
        <f t="shared" si="7"/>
        <v>FY2021 Jan</v>
      </c>
    </row>
    <row r="228" spans="1:8" x14ac:dyDescent="0.35">
      <c r="A228" t="s">
        <v>407</v>
      </c>
      <c r="B228" t="s">
        <v>452</v>
      </c>
      <c r="C228">
        <v>2110</v>
      </c>
      <c r="D228">
        <v>70</v>
      </c>
      <c r="E228" t="s">
        <v>1348</v>
      </c>
      <c r="F228" t="s">
        <v>1356</v>
      </c>
      <c r="G228" t="str">
        <f t="shared" si="6"/>
        <v>2110FY20</v>
      </c>
      <c r="H228" t="str">
        <f t="shared" si="7"/>
        <v>FY2021 Mar</v>
      </c>
    </row>
    <row r="229" spans="1:8" x14ac:dyDescent="0.35">
      <c r="A229" t="s">
        <v>407</v>
      </c>
      <c r="B229" t="s">
        <v>452</v>
      </c>
      <c r="C229">
        <v>2111</v>
      </c>
      <c r="D229">
        <v>7</v>
      </c>
      <c r="E229" t="s">
        <v>1348</v>
      </c>
      <c r="F229" t="s">
        <v>1356</v>
      </c>
      <c r="G229" t="str">
        <f t="shared" si="6"/>
        <v>2111FY20</v>
      </c>
      <c r="H229" t="str">
        <f t="shared" si="7"/>
        <v>FY2021 Mar</v>
      </c>
    </row>
    <row r="230" spans="1:8" x14ac:dyDescent="0.35">
      <c r="A230" t="s">
        <v>407</v>
      </c>
      <c r="B230" t="s">
        <v>452</v>
      </c>
      <c r="C230">
        <v>2112</v>
      </c>
      <c r="D230">
        <v>41</v>
      </c>
      <c r="E230" t="s">
        <v>1348</v>
      </c>
      <c r="F230" t="s">
        <v>1356</v>
      </c>
      <c r="G230" t="str">
        <f t="shared" si="6"/>
        <v>2112FY20</v>
      </c>
      <c r="H230" t="str">
        <f t="shared" si="7"/>
        <v>FY2021 Mar</v>
      </c>
    </row>
    <row r="231" spans="1:8" x14ac:dyDescent="0.35">
      <c r="A231" t="s">
        <v>407</v>
      </c>
      <c r="B231" t="s">
        <v>452</v>
      </c>
      <c r="C231">
        <v>2113</v>
      </c>
      <c r="D231">
        <v>20</v>
      </c>
      <c r="E231" t="s">
        <v>1348</v>
      </c>
      <c r="F231" t="s">
        <v>1356</v>
      </c>
      <c r="G231" t="str">
        <f t="shared" si="6"/>
        <v>2113FY20</v>
      </c>
      <c r="H231" t="str">
        <f t="shared" si="7"/>
        <v>FY2021 Mar</v>
      </c>
    </row>
    <row r="232" spans="1:8" x14ac:dyDescent="0.35">
      <c r="A232" t="s">
        <v>407</v>
      </c>
      <c r="B232" t="s">
        <v>452</v>
      </c>
      <c r="C232">
        <v>2114</v>
      </c>
      <c r="D232">
        <v>43</v>
      </c>
      <c r="E232" t="s">
        <v>1348</v>
      </c>
      <c r="F232" t="s">
        <v>1357</v>
      </c>
      <c r="G232" t="str">
        <f t="shared" si="6"/>
        <v>2114FY20</v>
      </c>
      <c r="H232" t="str">
        <f t="shared" si="7"/>
        <v>FY2021 Apr</v>
      </c>
    </row>
    <row r="233" spans="1:8" x14ac:dyDescent="0.35">
      <c r="A233" t="s">
        <v>407</v>
      </c>
      <c r="B233" t="s">
        <v>452</v>
      </c>
      <c r="C233">
        <v>2119</v>
      </c>
      <c r="D233">
        <v>55</v>
      </c>
      <c r="E233" t="s">
        <v>1348</v>
      </c>
      <c r="F233" t="s">
        <v>1358</v>
      </c>
      <c r="G233" t="str">
        <f t="shared" si="6"/>
        <v>2119FY20</v>
      </c>
      <c r="H233" t="str">
        <f t="shared" si="7"/>
        <v>FY2021 May</v>
      </c>
    </row>
    <row r="234" spans="1:8" x14ac:dyDescent="0.35">
      <c r="A234" t="s">
        <v>407</v>
      </c>
      <c r="B234" t="s">
        <v>1353</v>
      </c>
      <c r="C234">
        <v>2102</v>
      </c>
      <c r="D234">
        <v>37</v>
      </c>
      <c r="E234" t="s">
        <v>1348</v>
      </c>
      <c r="F234" t="s">
        <v>1363</v>
      </c>
      <c r="G234" t="str">
        <f t="shared" si="6"/>
        <v>2102FY20</v>
      </c>
      <c r="H234" t="str">
        <f t="shared" si="7"/>
        <v>FY2021 Jan</v>
      </c>
    </row>
    <row r="235" spans="1:8" x14ac:dyDescent="0.35">
      <c r="A235" t="s">
        <v>407</v>
      </c>
      <c r="B235" t="s">
        <v>1353</v>
      </c>
      <c r="C235">
        <v>2103</v>
      </c>
      <c r="D235">
        <v>9</v>
      </c>
      <c r="E235" t="s">
        <v>1348</v>
      </c>
      <c r="F235" t="s">
        <v>1363</v>
      </c>
      <c r="G235" t="str">
        <f t="shared" si="6"/>
        <v>2103FY20</v>
      </c>
      <c r="H235" t="str">
        <f t="shared" si="7"/>
        <v>FY2021 Jan</v>
      </c>
    </row>
    <row r="236" spans="1:8" x14ac:dyDescent="0.35">
      <c r="A236" t="s">
        <v>407</v>
      </c>
      <c r="B236" t="s">
        <v>1353</v>
      </c>
      <c r="C236">
        <v>2106</v>
      </c>
      <c r="D236">
        <v>11</v>
      </c>
      <c r="E236" t="s">
        <v>1348</v>
      </c>
      <c r="F236" t="s">
        <v>1362</v>
      </c>
      <c r="G236" t="str">
        <f t="shared" si="6"/>
        <v>2106FY20</v>
      </c>
      <c r="H236" t="str">
        <f t="shared" si="7"/>
        <v>FY2021 Feb</v>
      </c>
    </row>
    <row r="237" spans="1:8" x14ac:dyDescent="0.35">
      <c r="A237" t="s">
        <v>407</v>
      </c>
      <c r="B237" t="s">
        <v>1353</v>
      </c>
      <c r="C237">
        <v>2107</v>
      </c>
      <c r="D237">
        <v>9</v>
      </c>
      <c r="E237" t="s">
        <v>1348</v>
      </c>
      <c r="F237" t="s">
        <v>1362</v>
      </c>
      <c r="G237" t="str">
        <f t="shared" si="6"/>
        <v>2107FY20</v>
      </c>
      <c r="H237" t="str">
        <f t="shared" si="7"/>
        <v>FY2021 Feb</v>
      </c>
    </row>
    <row r="238" spans="1:8" x14ac:dyDescent="0.35">
      <c r="A238" t="s">
        <v>407</v>
      </c>
      <c r="B238" t="s">
        <v>1353</v>
      </c>
      <c r="C238">
        <v>2110</v>
      </c>
      <c r="D238">
        <v>10</v>
      </c>
      <c r="E238" t="s">
        <v>1348</v>
      </c>
      <c r="F238" t="s">
        <v>1356</v>
      </c>
      <c r="G238" t="str">
        <f t="shared" si="6"/>
        <v>2110FY20</v>
      </c>
      <c r="H238" t="str">
        <f t="shared" si="7"/>
        <v>FY2021 Mar</v>
      </c>
    </row>
    <row r="239" spans="1:8" x14ac:dyDescent="0.35">
      <c r="A239" t="s">
        <v>407</v>
      </c>
      <c r="B239" t="s">
        <v>1353</v>
      </c>
      <c r="C239">
        <v>2114</v>
      </c>
      <c r="D239">
        <v>14</v>
      </c>
      <c r="E239" t="s">
        <v>1348</v>
      </c>
      <c r="F239" t="s">
        <v>1357</v>
      </c>
      <c r="G239" t="str">
        <f t="shared" si="6"/>
        <v>2114FY20</v>
      </c>
      <c r="H239" t="str">
        <f t="shared" si="7"/>
        <v>FY2021 Apr</v>
      </c>
    </row>
    <row r="240" spans="1:8" x14ac:dyDescent="0.35">
      <c r="A240" t="s">
        <v>407</v>
      </c>
      <c r="B240" t="s">
        <v>1353</v>
      </c>
      <c r="C240">
        <v>2115</v>
      </c>
      <c r="D240">
        <v>3</v>
      </c>
      <c r="E240" t="s">
        <v>1348</v>
      </c>
      <c r="F240" t="s">
        <v>1357</v>
      </c>
      <c r="G240" t="str">
        <f t="shared" si="6"/>
        <v>2115FY20</v>
      </c>
      <c r="H240" t="str">
        <f t="shared" si="7"/>
        <v>FY2021 Apr</v>
      </c>
    </row>
    <row r="241" spans="1:8" x14ac:dyDescent="0.35">
      <c r="A241" t="s">
        <v>407</v>
      </c>
      <c r="B241" t="s">
        <v>440</v>
      </c>
      <c r="C241">
        <v>2101</v>
      </c>
      <c r="D241">
        <v>1610</v>
      </c>
      <c r="E241" t="s">
        <v>1348</v>
      </c>
      <c r="F241" t="s">
        <v>1363</v>
      </c>
      <c r="G241" t="str">
        <f t="shared" si="6"/>
        <v>2101FY20</v>
      </c>
      <c r="H241" t="str">
        <f t="shared" si="7"/>
        <v>FY2021 Jan</v>
      </c>
    </row>
    <row r="242" spans="1:8" x14ac:dyDescent="0.35">
      <c r="A242" t="s">
        <v>407</v>
      </c>
      <c r="B242" t="s">
        <v>440</v>
      </c>
      <c r="C242">
        <v>2102</v>
      </c>
      <c r="D242">
        <v>1906</v>
      </c>
      <c r="E242" t="s">
        <v>1348</v>
      </c>
      <c r="F242" t="s">
        <v>1363</v>
      </c>
      <c r="G242" t="str">
        <f t="shared" si="6"/>
        <v>2102FY20</v>
      </c>
      <c r="H242" t="str">
        <f t="shared" si="7"/>
        <v>FY2021 Jan</v>
      </c>
    </row>
    <row r="243" spans="1:8" x14ac:dyDescent="0.35">
      <c r="A243" t="s">
        <v>407</v>
      </c>
      <c r="B243" t="s">
        <v>440</v>
      </c>
      <c r="C243">
        <v>2103</v>
      </c>
      <c r="D243">
        <v>2753</v>
      </c>
      <c r="E243" t="s">
        <v>1348</v>
      </c>
      <c r="F243" t="s">
        <v>1363</v>
      </c>
      <c r="G243" t="str">
        <f t="shared" si="6"/>
        <v>2103FY20</v>
      </c>
      <c r="H243" t="str">
        <f t="shared" si="7"/>
        <v>FY2021 Jan</v>
      </c>
    </row>
    <row r="244" spans="1:8" x14ac:dyDescent="0.35">
      <c r="A244" t="s">
        <v>407</v>
      </c>
      <c r="B244" t="s">
        <v>440</v>
      </c>
      <c r="C244">
        <v>2104</v>
      </c>
      <c r="D244">
        <v>3066</v>
      </c>
      <c r="E244" t="s">
        <v>1348</v>
      </c>
      <c r="F244" t="s">
        <v>1363</v>
      </c>
      <c r="G244" t="str">
        <f t="shared" si="6"/>
        <v>2104FY20</v>
      </c>
      <c r="H244" t="str">
        <f t="shared" si="7"/>
        <v>FY2021 Jan</v>
      </c>
    </row>
    <row r="245" spans="1:8" x14ac:dyDescent="0.35">
      <c r="A245" t="s">
        <v>407</v>
      </c>
      <c r="B245" t="s">
        <v>440</v>
      </c>
      <c r="C245">
        <v>2105</v>
      </c>
      <c r="D245">
        <v>1374</v>
      </c>
      <c r="E245" t="s">
        <v>1348</v>
      </c>
      <c r="F245" t="s">
        <v>1362</v>
      </c>
      <c r="G245" t="str">
        <f t="shared" si="6"/>
        <v>2105FY20</v>
      </c>
      <c r="H245" t="str">
        <f t="shared" si="7"/>
        <v>FY2021 Feb</v>
      </c>
    </row>
    <row r="246" spans="1:8" x14ac:dyDescent="0.35">
      <c r="A246" t="s">
        <v>407</v>
      </c>
      <c r="B246" t="s">
        <v>440</v>
      </c>
      <c r="C246">
        <v>2106</v>
      </c>
      <c r="D246">
        <v>1415</v>
      </c>
      <c r="E246" t="s">
        <v>1348</v>
      </c>
      <c r="F246" t="s">
        <v>1362</v>
      </c>
      <c r="G246" t="str">
        <f t="shared" si="6"/>
        <v>2106FY20</v>
      </c>
      <c r="H246" t="str">
        <f t="shared" si="7"/>
        <v>FY2021 Feb</v>
      </c>
    </row>
    <row r="247" spans="1:8" x14ac:dyDescent="0.35">
      <c r="A247" t="s">
        <v>407</v>
      </c>
      <c r="B247" t="s">
        <v>440</v>
      </c>
      <c r="C247">
        <v>2107</v>
      </c>
      <c r="D247">
        <v>3615</v>
      </c>
      <c r="E247" t="s">
        <v>1348</v>
      </c>
      <c r="F247" t="s">
        <v>1362</v>
      </c>
      <c r="G247" t="str">
        <f t="shared" si="6"/>
        <v>2107FY20</v>
      </c>
      <c r="H247" t="str">
        <f t="shared" si="7"/>
        <v>FY2021 Feb</v>
      </c>
    </row>
    <row r="248" spans="1:8" x14ac:dyDescent="0.35">
      <c r="A248" t="s">
        <v>407</v>
      </c>
      <c r="B248" t="s">
        <v>440</v>
      </c>
      <c r="C248">
        <v>2108</v>
      </c>
      <c r="D248">
        <v>4</v>
      </c>
      <c r="E248" t="s">
        <v>1348</v>
      </c>
      <c r="F248" t="s">
        <v>1362</v>
      </c>
      <c r="G248" t="str">
        <f t="shared" si="6"/>
        <v>2108FY20</v>
      </c>
      <c r="H248" t="str">
        <f t="shared" si="7"/>
        <v>FY2021 Feb</v>
      </c>
    </row>
    <row r="249" spans="1:8" x14ac:dyDescent="0.35">
      <c r="A249" t="s">
        <v>407</v>
      </c>
      <c r="B249" t="s">
        <v>443</v>
      </c>
      <c r="C249">
        <v>2101</v>
      </c>
      <c r="D249">
        <v>1572</v>
      </c>
      <c r="E249" t="s">
        <v>1348</v>
      </c>
      <c r="F249" t="s">
        <v>1363</v>
      </c>
      <c r="G249" t="str">
        <f t="shared" si="6"/>
        <v>2101FY20</v>
      </c>
      <c r="H249" t="str">
        <f t="shared" si="7"/>
        <v>FY2021 Jan</v>
      </c>
    </row>
    <row r="250" spans="1:8" x14ac:dyDescent="0.35">
      <c r="A250" t="s">
        <v>407</v>
      </c>
      <c r="B250" t="s">
        <v>443</v>
      </c>
      <c r="C250">
        <v>2102</v>
      </c>
      <c r="D250">
        <v>1587</v>
      </c>
      <c r="E250" t="s">
        <v>1348</v>
      </c>
      <c r="F250" t="s">
        <v>1363</v>
      </c>
      <c r="G250" t="str">
        <f t="shared" si="6"/>
        <v>2102FY20</v>
      </c>
      <c r="H250" t="str">
        <f t="shared" si="7"/>
        <v>FY2021 Jan</v>
      </c>
    </row>
    <row r="251" spans="1:8" x14ac:dyDescent="0.35">
      <c r="A251" t="s">
        <v>407</v>
      </c>
      <c r="B251" t="s">
        <v>443</v>
      </c>
      <c r="C251">
        <v>2103</v>
      </c>
      <c r="D251">
        <v>2415</v>
      </c>
      <c r="E251" t="s">
        <v>1348</v>
      </c>
      <c r="F251" t="s">
        <v>1363</v>
      </c>
      <c r="G251" t="str">
        <f t="shared" si="6"/>
        <v>2103FY20</v>
      </c>
      <c r="H251" t="str">
        <f t="shared" si="7"/>
        <v>FY2021 Jan</v>
      </c>
    </row>
    <row r="252" spans="1:8" x14ac:dyDescent="0.35">
      <c r="A252" t="s">
        <v>407</v>
      </c>
      <c r="B252" t="s">
        <v>443</v>
      </c>
      <c r="C252">
        <v>2104</v>
      </c>
      <c r="D252">
        <v>2867</v>
      </c>
      <c r="E252" t="s">
        <v>1348</v>
      </c>
      <c r="F252" t="s">
        <v>1363</v>
      </c>
      <c r="G252" t="str">
        <f t="shared" si="6"/>
        <v>2104FY20</v>
      </c>
      <c r="H252" t="str">
        <f t="shared" si="7"/>
        <v>FY2021 Jan</v>
      </c>
    </row>
    <row r="253" spans="1:8" x14ac:dyDescent="0.35">
      <c r="A253" t="s">
        <v>407</v>
      </c>
      <c r="B253" t="s">
        <v>443</v>
      </c>
      <c r="C253">
        <v>2105</v>
      </c>
      <c r="D253">
        <v>4064</v>
      </c>
      <c r="E253" t="s">
        <v>1348</v>
      </c>
      <c r="F253" t="s">
        <v>1362</v>
      </c>
      <c r="G253" t="str">
        <f t="shared" si="6"/>
        <v>2105FY20</v>
      </c>
      <c r="H253" t="str">
        <f t="shared" si="7"/>
        <v>FY2021 Feb</v>
      </c>
    </row>
    <row r="254" spans="1:8" x14ac:dyDescent="0.35">
      <c r="A254" t="s">
        <v>407</v>
      </c>
      <c r="B254" t="s">
        <v>443</v>
      </c>
      <c r="C254">
        <v>2106</v>
      </c>
      <c r="D254">
        <v>2731</v>
      </c>
      <c r="E254" t="s">
        <v>1348</v>
      </c>
      <c r="F254" t="s">
        <v>1362</v>
      </c>
      <c r="G254" t="str">
        <f t="shared" si="6"/>
        <v>2106FY20</v>
      </c>
      <c r="H254" t="str">
        <f t="shared" si="7"/>
        <v>FY2021 Feb</v>
      </c>
    </row>
    <row r="255" spans="1:8" x14ac:dyDescent="0.35">
      <c r="A255" t="s">
        <v>407</v>
      </c>
      <c r="B255" t="s">
        <v>443</v>
      </c>
      <c r="C255">
        <v>2107</v>
      </c>
      <c r="D255">
        <v>2223</v>
      </c>
      <c r="E255" t="s">
        <v>1348</v>
      </c>
      <c r="F255" t="s">
        <v>1362</v>
      </c>
      <c r="G255" t="str">
        <f t="shared" si="6"/>
        <v>2107FY20</v>
      </c>
      <c r="H255" t="str">
        <f t="shared" si="7"/>
        <v>FY2021 Feb</v>
      </c>
    </row>
    <row r="256" spans="1:8" x14ac:dyDescent="0.35">
      <c r="A256" t="s">
        <v>407</v>
      </c>
      <c r="B256" t="s">
        <v>443</v>
      </c>
      <c r="C256">
        <v>2108</v>
      </c>
      <c r="D256">
        <v>1675</v>
      </c>
      <c r="E256" t="s">
        <v>1348</v>
      </c>
      <c r="F256" t="s">
        <v>1362</v>
      </c>
      <c r="G256" t="str">
        <f t="shared" si="6"/>
        <v>2108FY20</v>
      </c>
      <c r="H256" t="str">
        <f t="shared" si="7"/>
        <v>FY2021 Feb</v>
      </c>
    </row>
    <row r="257" spans="1:8" x14ac:dyDescent="0.35">
      <c r="A257" t="s">
        <v>407</v>
      </c>
      <c r="B257" t="s">
        <v>441</v>
      </c>
      <c r="C257">
        <v>2101</v>
      </c>
      <c r="D257">
        <v>242</v>
      </c>
      <c r="E257" t="s">
        <v>1348</v>
      </c>
      <c r="F257" t="s">
        <v>1363</v>
      </c>
      <c r="G257" t="str">
        <f t="shared" si="6"/>
        <v>2101FY20</v>
      </c>
      <c r="H257" t="str">
        <f t="shared" si="7"/>
        <v>FY2021 Jan</v>
      </c>
    </row>
    <row r="258" spans="1:8" x14ac:dyDescent="0.35">
      <c r="A258" t="s">
        <v>407</v>
      </c>
      <c r="B258" t="s">
        <v>441</v>
      </c>
      <c r="C258">
        <v>2102</v>
      </c>
      <c r="D258">
        <v>695</v>
      </c>
      <c r="E258" t="s">
        <v>1348</v>
      </c>
      <c r="F258" t="s">
        <v>1363</v>
      </c>
      <c r="G258" t="str">
        <f t="shared" si="6"/>
        <v>2102FY20</v>
      </c>
      <c r="H258" t="str">
        <f t="shared" si="7"/>
        <v>FY2021 Jan</v>
      </c>
    </row>
    <row r="259" spans="1:8" x14ac:dyDescent="0.35">
      <c r="A259" t="s">
        <v>407</v>
      </c>
      <c r="B259" t="s">
        <v>441</v>
      </c>
      <c r="C259">
        <v>2103</v>
      </c>
      <c r="D259">
        <v>74</v>
      </c>
      <c r="E259" t="s">
        <v>1348</v>
      </c>
      <c r="F259" t="s">
        <v>1363</v>
      </c>
      <c r="G259" t="str">
        <f t="shared" ref="G259:G322" si="8">C259&amp;E259</f>
        <v>2103FY20</v>
      </c>
      <c r="H259" t="str">
        <f t="shared" ref="H259:H322" si="9">E259&amp;F259</f>
        <v>FY2021 Jan</v>
      </c>
    </row>
    <row r="260" spans="1:8" x14ac:dyDescent="0.35">
      <c r="A260" t="s">
        <v>407</v>
      </c>
      <c r="B260" t="s">
        <v>441</v>
      </c>
      <c r="C260">
        <v>2105</v>
      </c>
      <c r="D260">
        <v>799</v>
      </c>
      <c r="E260" t="s">
        <v>1348</v>
      </c>
      <c r="F260" t="s">
        <v>1362</v>
      </c>
      <c r="G260" t="str">
        <f t="shared" si="8"/>
        <v>2105FY20</v>
      </c>
      <c r="H260" t="str">
        <f t="shared" si="9"/>
        <v>FY2021 Feb</v>
      </c>
    </row>
    <row r="261" spans="1:8" x14ac:dyDescent="0.35">
      <c r="A261" t="s">
        <v>407</v>
      </c>
      <c r="B261" t="s">
        <v>441</v>
      </c>
      <c r="C261">
        <v>2106</v>
      </c>
      <c r="D261">
        <v>147</v>
      </c>
      <c r="E261" t="s">
        <v>1348</v>
      </c>
      <c r="F261" t="s">
        <v>1362</v>
      </c>
      <c r="G261" t="str">
        <f t="shared" si="8"/>
        <v>2106FY20</v>
      </c>
      <c r="H261" t="str">
        <f t="shared" si="9"/>
        <v>FY2021 Feb</v>
      </c>
    </row>
    <row r="262" spans="1:8" x14ac:dyDescent="0.35">
      <c r="A262" t="s">
        <v>407</v>
      </c>
      <c r="B262" t="s">
        <v>441</v>
      </c>
      <c r="C262">
        <v>2107</v>
      </c>
      <c r="D262">
        <v>821</v>
      </c>
      <c r="E262" t="s">
        <v>1348</v>
      </c>
      <c r="F262" t="s">
        <v>1362</v>
      </c>
      <c r="G262" t="str">
        <f t="shared" si="8"/>
        <v>2107FY20</v>
      </c>
      <c r="H262" t="str">
        <f t="shared" si="9"/>
        <v>FY2021 Feb</v>
      </c>
    </row>
    <row r="263" spans="1:8" x14ac:dyDescent="0.35">
      <c r="A263" t="s">
        <v>407</v>
      </c>
      <c r="B263" t="s">
        <v>444</v>
      </c>
      <c r="C263">
        <v>2101</v>
      </c>
      <c r="D263">
        <v>1106</v>
      </c>
      <c r="E263" t="s">
        <v>1348</v>
      </c>
      <c r="F263" t="s">
        <v>1363</v>
      </c>
      <c r="G263" t="str">
        <f t="shared" si="8"/>
        <v>2101FY20</v>
      </c>
      <c r="H263" t="str">
        <f t="shared" si="9"/>
        <v>FY2021 Jan</v>
      </c>
    </row>
    <row r="264" spans="1:8" x14ac:dyDescent="0.35">
      <c r="A264" t="s">
        <v>407</v>
      </c>
      <c r="B264" t="s">
        <v>444</v>
      </c>
      <c r="C264">
        <v>2102</v>
      </c>
      <c r="D264">
        <v>392</v>
      </c>
      <c r="E264" t="s">
        <v>1348</v>
      </c>
      <c r="F264" t="s">
        <v>1363</v>
      </c>
      <c r="G264" t="str">
        <f t="shared" si="8"/>
        <v>2102FY20</v>
      </c>
      <c r="H264" t="str">
        <f t="shared" si="9"/>
        <v>FY2021 Jan</v>
      </c>
    </row>
    <row r="265" spans="1:8" x14ac:dyDescent="0.35">
      <c r="A265" t="s">
        <v>407</v>
      </c>
      <c r="B265" t="s">
        <v>444</v>
      </c>
      <c r="C265">
        <v>2105</v>
      </c>
      <c r="D265">
        <v>371</v>
      </c>
      <c r="E265" t="s">
        <v>1348</v>
      </c>
      <c r="F265" t="s">
        <v>1362</v>
      </c>
      <c r="G265" t="str">
        <f t="shared" si="8"/>
        <v>2105FY20</v>
      </c>
      <c r="H265" t="str">
        <f t="shared" si="9"/>
        <v>FY2021 Feb</v>
      </c>
    </row>
    <row r="266" spans="1:8" x14ac:dyDescent="0.35">
      <c r="A266" t="s">
        <v>407</v>
      </c>
      <c r="B266" t="s">
        <v>444</v>
      </c>
      <c r="C266">
        <v>2106</v>
      </c>
      <c r="D266">
        <v>936</v>
      </c>
      <c r="E266" t="s">
        <v>1348</v>
      </c>
      <c r="F266" t="s">
        <v>1362</v>
      </c>
      <c r="G266" t="str">
        <f t="shared" si="8"/>
        <v>2106FY20</v>
      </c>
      <c r="H266" t="str">
        <f t="shared" si="9"/>
        <v>FY2021 Feb</v>
      </c>
    </row>
    <row r="267" spans="1:8" x14ac:dyDescent="0.35">
      <c r="A267" t="s">
        <v>407</v>
      </c>
      <c r="B267" t="s">
        <v>444</v>
      </c>
      <c r="C267">
        <v>2101</v>
      </c>
      <c r="D267">
        <v>319</v>
      </c>
      <c r="E267" t="s">
        <v>1348</v>
      </c>
      <c r="F267" t="s">
        <v>1363</v>
      </c>
      <c r="G267" t="str">
        <f t="shared" si="8"/>
        <v>2101FY20</v>
      </c>
      <c r="H267" t="str">
        <f t="shared" si="9"/>
        <v>FY2021 Jan</v>
      </c>
    </row>
    <row r="268" spans="1:8" x14ac:dyDescent="0.35">
      <c r="A268" t="s">
        <v>407</v>
      </c>
      <c r="B268" t="s">
        <v>444</v>
      </c>
      <c r="C268">
        <v>2102</v>
      </c>
      <c r="D268">
        <v>843</v>
      </c>
      <c r="E268" t="s">
        <v>1348</v>
      </c>
      <c r="F268" t="s">
        <v>1363</v>
      </c>
      <c r="G268" t="str">
        <f t="shared" si="8"/>
        <v>2102FY20</v>
      </c>
      <c r="H268" t="str">
        <f t="shared" si="9"/>
        <v>FY2021 Jan</v>
      </c>
    </row>
    <row r="269" spans="1:8" x14ac:dyDescent="0.35">
      <c r="A269" t="s">
        <v>407</v>
      </c>
      <c r="B269" t="s">
        <v>444</v>
      </c>
      <c r="C269">
        <v>2103</v>
      </c>
      <c r="D269">
        <v>1337</v>
      </c>
      <c r="E269" t="s">
        <v>1348</v>
      </c>
      <c r="F269" t="s">
        <v>1363</v>
      </c>
      <c r="G269" t="str">
        <f t="shared" si="8"/>
        <v>2103FY20</v>
      </c>
      <c r="H269" t="str">
        <f t="shared" si="9"/>
        <v>FY2021 Jan</v>
      </c>
    </row>
    <row r="270" spans="1:8" x14ac:dyDescent="0.35">
      <c r="A270" t="s">
        <v>407</v>
      </c>
      <c r="B270" t="s">
        <v>444</v>
      </c>
      <c r="C270">
        <v>2104</v>
      </c>
      <c r="D270">
        <v>1466</v>
      </c>
      <c r="E270" t="s">
        <v>1348</v>
      </c>
      <c r="F270" t="s">
        <v>1363</v>
      </c>
      <c r="G270" t="str">
        <f t="shared" si="8"/>
        <v>2104FY20</v>
      </c>
      <c r="H270" t="str">
        <f t="shared" si="9"/>
        <v>FY2021 Jan</v>
      </c>
    </row>
    <row r="271" spans="1:8" x14ac:dyDescent="0.35">
      <c r="A271" t="s">
        <v>407</v>
      </c>
      <c r="B271" t="s">
        <v>444</v>
      </c>
      <c r="C271">
        <v>2105</v>
      </c>
      <c r="D271">
        <v>919</v>
      </c>
      <c r="E271" t="s">
        <v>1348</v>
      </c>
      <c r="F271" t="s">
        <v>1362</v>
      </c>
      <c r="G271" t="str">
        <f t="shared" si="8"/>
        <v>2105FY20</v>
      </c>
      <c r="H271" t="str">
        <f t="shared" si="9"/>
        <v>FY2021 Feb</v>
      </c>
    </row>
    <row r="272" spans="1:8" x14ac:dyDescent="0.35">
      <c r="A272" t="s">
        <v>407</v>
      </c>
      <c r="B272" t="s">
        <v>444</v>
      </c>
      <c r="C272">
        <v>2106</v>
      </c>
      <c r="D272">
        <v>13</v>
      </c>
      <c r="E272" t="s">
        <v>1348</v>
      </c>
      <c r="F272" t="s">
        <v>1362</v>
      </c>
      <c r="G272" t="str">
        <f t="shared" si="8"/>
        <v>2106FY20</v>
      </c>
      <c r="H272" t="str">
        <f t="shared" si="9"/>
        <v>FY2021 Feb</v>
      </c>
    </row>
    <row r="273" spans="1:8" x14ac:dyDescent="0.35">
      <c r="A273" t="s">
        <v>407</v>
      </c>
      <c r="B273" t="s">
        <v>444</v>
      </c>
      <c r="C273">
        <v>2107</v>
      </c>
      <c r="D273">
        <v>655</v>
      </c>
      <c r="E273" t="s">
        <v>1348</v>
      </c>
      <c r="F273" t="s">
        <v>1362</v>
      </c>
      <c r="G273" t="str">
        <f t="shared" si="8"/>
        <v>2107FY20</v>
      </c>
      <c r="H273" t="str">
        <f t="shared" si="9"/>
        <v>FY2021 Feb</v>
      </c>
    </row>
    <row r="274" spans="1:8" x14ac:dyDescent="0.35">
      <c r="A274" t="s">
        <v>407</v>
      </c>
      <c r="B274" t="s">
        <v>444</v>
      </c>
      <c r="C274">
        <v>2108</v>
      </c>
      <c r="D274">
        <v>182</v>
      </c>
      <c r="E274" t="s">
        <v>1348</v>
      </c>
      <c r="F274" t="s">
        <v>1362</v>
      </c>
      <c r="G274" t="str">
        <f t="shared" si="8"/>
        <v>2108FY20</v>
      </c>
      <c r="H274" t="str">
        <f t="shared" si="9"/>
        <v>FY2021 Feb</v>
      </c>
    </row>
    <row r="275" spans="1:8" x14ac:dyDescent="0.35">
      <c r="A275" t="s">
        <v>407</v>
      </c>
      <c r="B275" t="s">
        <v>444</v>
      </c>
      <c r="C275">
        <v>2109</v>
      </c>
      <c r="D275">
        <v>924</v>
      </c>
      <c r="E275" t="s">
        <v>1348</v>
      </c>
      <c r="F275" t="s">
        <v>1356</v>
      </c>
      <c r="G275" t="str">
        <f t="shared" si="8"/>
        <v>2109FY20</v>
      </c>
      <c r="H275" t="str">
        <f t="shared" si="9"/>
        <v>FY2021 Mar</v>
      </c>
    </row>
    <row r="276" spans="1:8" x14ac:dyDescent="0.35">
      <c r="A276" t="s">
        <v>407</v>
      </c>
      <c r="B276" t="s">
        <v>444</v>
      </c>
      <c r="C276">
        <v>2110</v>
      </c>
      <c r="D276">
        <v>1482</v>
      </c>
      <c r="E276" t="s">
        <v>1348</v>
      </c>
      <c r="F276" t="s">
        <v>1356</v>
      </c>
      <c r="G276" t="str">
        <f t="shared" si="8"/>
        <v>2110FY20</v>
      </c>
      <c r="H276" t="str">
        <f t="shared" si="9"/>
        <v>FY2021 Mar</v>
      </c>
    </row>
    <row r="277" spans="1:8" x14ac:dyDescent="0.35">
      <c r="A277" t="s">
        <v>407</v>
      </c>
      <c r="B277" t="s">
        <v>444</v>
      </c>
      <c r="C277">
        <v>2111</v>
      </c>
      <c r="D277">
        <v>2197</v>
      </c>
      <c r="E277" t="s">
        <v>1348</v>
      </c>
      <c r="F277" t="s">
        <v>1356</v>
      </c>
      <c r="G277" t="str">
        <f t="shared" si="8"/>
        <v>2111FY20</v>
      </c>
      <c r="H277" t="str">
        <f t="shared" si="9"/>
        <v>FY2021 Mar</v>
      </c>
    </row>
    <row r="278" spans="1:8" x14ac:dyDescent="0.35">
      <c r="A278" t="s">
        <v>407</v>
      </c>
      <c r="B278" t="s">
        <v>444</v>
      </c>
      <c r="C278">
        <v>2112</v>
      </c>
      <c r="D278">
        <v>2485</v>
      </c>
      <c r="E278" t="s">
        <v>1348</v>
      </c>
      <c r="F278" t="s">
        <v>1356</v>
      </c>
      <c r="G278" t="str">
        <f t="shared" si="8"/>
        <v>2112FY20</v>
      </c>
      <c r="H278" t="str">
        <f t="shared" si="9"/>
        <v>FY2021 Mar</v>
      </c>
    </row>
    <row r="279" spans="1:8" x14ac:dyDescent="0.35">
      <c r="A279" t="s">
        <v>407</v>
      </c>
      <c r="B279" t="s">
        <v>444</v>
      </c>
      <c r="C279">
        <v>2113</v>
      </c>
      <c r="D279">
        <v>658</v>
      </c>
      <c r="E279" t="s">
        <v>1348</v>
      </c>
      <c r="F279" t="s">
        <v>1356</v>
      </c>
      <c r="G279" t="str">
        <f t="shared" si="8"/>
        <v>2113FY20</v>
      </c>
      <c r="H279" t="str">
        <f t="shared" si="9"/>
        <v>FY2021 Mar</v>
      </c>
    </row>
    <row r="280" spans="1:8" x14ac:dyDescent="0.35">
      <c r="A280" t="s">
        <v>407</v>
      </c>
      <c r="B280" t="s">
        <v>444</v>
      </c>
      <c r="C280">
        <v>2114</v>
      </c>
      <c r="D280">
        <v>257</v>
      </c>
      <c r="E280" t="s">
        <v>1348</v>
      </c>
      <c r="F280" t="s">
        <v>1357</v>
      </c>
      <c r="G280" t="str">
        <f t="shared" si="8"/>
        <v>2114FY20</v>
      </c>
      <c r="H280" t="str">
        <f t="shared" si="9"/>
        <v>FY2021 Apr</v>
      </c>
    </row>
    <row r="281" spans="1:8" x14ac:dyDescent="0.35">
      <c r="A281" t="s">
        <v>407</v>
      </c>
      <c r="B281" t="s">
        <v>444</v>
      </c>
      <c r="C281">
        <v>2115</v>
      </c>
      <c r="D281">
        <v>197</v>
      </c>
      <c r="E281" t="s">
        <v>1348</v>
      </c>
      <c r="F281" t="s">
        <v>1357</v>
      </c>
      <c r="G281" t="str">
        <f t="shared" si="8"/>
        <v>2115FY20</v>
      </c>
      <c r="H281" t="str">
        <f t="shared" si="9"/>
        <v>FY2021 Apr</v>
      </c>
    </row>
    <row r="282" spans="1:8" x14ac:dyDescent="0.35">
      <c r="A282" t="s">
        <v>407</v>
      </c>
      <c r="B282" t="s">
        <v>444</v>
      </c>
      <c r="C282">
        <v>2116</v>
      </c>
      <c r="D282">
        <v>1600</v>
      </c>
      <c r="E282" t="s">
        <v>1348</v>
      </c>
      <c r="F282" t="s">
        <v>1357</v>
      </c>
      <c r="G282" t="str">
        <f t="shared" si="8"/>
        <v>2116FY20</v>
      </c>
      <c r="H282" t="str">
        <f t="shared" si="9"/>
        <v>FY2021 Apr</v>
      </c>
    </row>
    <row r="283" spans="1:8" x14ac:dyDescent="0.35">
      <c r="A283" t="s">
        <v>407</v>
      </c>
      <c r="B283" t="s">
        <v>444</v>
      </c>
      <c r="C283">
        <v>2117</v>
      </c>
      <c r="D283">
        <v>584</v>
      </c>
      <c r="E283" t="s">
        <v>1348</v>
      </c>
      <c r="F283" t="s">
        <v>1357</v>
      </c>
      <c r="G283" t="str">
        <f t="shared" si="8"/>
        <v>2117FY20</v>
      </c>
      <c r="H283" t="str">
        <f t="shared" si="9"/>
        <v>FY2021 Apr</v>
      </c>
    </row>
    <row r="284" spans="1:8" x14ac:dyDescent="0.35">
      <c r="A284" t="s">
        <v>407</v>
      </c>
      <c r="B284" t="s">
        <v>444</v>
      </c>
      <c r="C284">
        <v>2118</v>
      </c>
      <c r="D284">
        <v>696</v>
      </c>
      <c r="E284" t="s">
        <v>1348</v>
      </c>
      <c r="F284" t="s">
        <v>1358</v>
      </c>
      <c r="G284" t="str">
        <f t="shared" si="8"/>
        <v>2118FY20</v>
      </c>
      <c r="H284" t="str">
        <f t="shared" si="9"/>
        <v>FY2021 May</v>
      </c>
    </row>
    <row r="285" spans="1:8" x14ac:dyDescent="0.35">
      <c r="A285" t="s">
        <v>407</v>
      </c>
      <c r="B285" t="s">
        <v>444</v>
      </c>
      <c r="C285">
        <v>2119</v>
      </c>
      <c r="D285">
        <v>100</v>
      </c>
      <c r="E285" t="s">
        <v>1348</v>
      </c>
      <c r="F285" t="s">
        <v>1358</v>
      </c>
      <c r="G285" t="str">
        <f t="shared" si="8"/>
        <v>2119FY20</v>
      </c>
      <c r="H285" t="str">
        <f t="shared" si="9"/>
        <v>FY2021 May</v>
      </c>
    </row>
    <row r="286" spans="1:8" x14ac:dyDescent="0.35">
      <c r="A286" t="s">
        <v>407</v>
      </c>
      <c r="B286" t="s">
        <v>444</v>
      </c>
      <c r="C286">
        <v>2120</v>
      </c>
      <c r="D286">
        <v>1308</v>
      </c>
      <c r="E286" t="s">
        <v>1348</v>
      </c>
      <c r="F286" t="s">
        <v>1358</v>
      </c>
      <c r="G286" t="str">
        <f t="shared" si="8"/>
        <v>2120FY20</v>
      </c>
      <c r="H286" t="str">
        <f t="shared" si="9"/>
        <v>FY2021 May</v>
      </c>
    </row>
    <row r="287" spans="1:8" x14ac:dyDescent="0.35">
      <c r="A287" t="s">
        <v>407</v>
      </c>
      <c r="B287" t="s">
        <v>444</v>
      </c>
      <c r="C287">
        <v>2121</v>
      </c>
      <c r="D287">
        <v>458</v>
      </c>
      <c r="E287" t="s">
        <v>1348</v>
      </c>
      <c r="F287" t="s">
        <v>1358</v>
      </c>
      <c r="G287" t="str">
        <f t="shared" si="8"/>
        <v>2121FY20</v>
      </c>
      <c r="H287" t="str">
        <f t="shared" si="9"/>
        <v>FY2021 May</v>
      </c>
    </row>
    <row r="288" spans="1:8" x14ac:dyDescent="0.35">
      <c r="A288" t="s">
        <v>407</v>
      </c>
      <c r="B288" t="s">
        <v>444</v>
      </c>
      <c r="C288">
        <v>2122</v>
      </c>
      <c r="D288">
        <v>1081</v>
      </c>
      <c r="E288" t="s">
        <v>1348</v>
      </c>
      <c r="F288" t="s">
        <v>1358</v>
      </c>
      <c r="G288" t="str">
        <f t="shared" si="8"/>
        <v>2122FY20</v>
      </c>
      <c r="H288" t="str">
        <f t="shared" si="9"/>
        <v>FY2021 May</v>
      </c>
    </row>
    <row r="289" spans="1:8" x14ac:dyDescent="0.35">
      <c r="A289" t="s">
        <v>407</v>
      </c>
      <c r="B289" t="s">
        <v>444</v>
      </c>
      <c r="C289">
        <v>2123</v>
      </c>
      <c r="D289">
        <v>861</v>
      </c>
      <c r="E289" t="s">
        <v>1348</v>
      </c>
      <c r="F289" t="s">
        <v>1359</v>
      </c>
      <c r="G289" t="str">
        <f t="shared" si="8"/>
        <v>2123FY20</v>
      </c>
      <c r="H289" t="str">
        <f t="shared" si="9"/>
        <v>FY2021 Jun</v>
      </c>
    </row>
    <row r="290" spans="1:8" x14ac:dyDescent="0.35">
      <c r="A290" t="s">
        <v>407</v>
      </c>
      <c r="B290" t="s">
        <v>444</v>
      </c>
      <c r="C290">
        <v>2124</v>
      </c>
      <c r="D290">
        <v>169</v>
      </c>
      <c r="E290" t="s">
        <v>1348</v>
      </c>
      <c r="F290" t="s">
        <v>1359</v>
      </c>
      <c r="G290" t="str">
        <f t="shared" si="8"/>
        <v>2124FY20</v>
      </c>
      <c r="H290" t="str">
        <f t="shared" si="9"/>
        <v>FY2021 Jun</v>
      </c>
    </row>
    <row r="291" spans="1:8" x14ac:dyDescent="0.35">
      <c r="A291" t="s">
        <v>407</v>
      </c>
      <c r="B291" t="s">
        <v>444</v>
      </c>
      <c r="C291">
        <v>2125</v>
      </c>
      <c r="D291">
        <v>251</v>
      </c>
      <c r="E291" t="s">
        <v>1348</v>
      </c>
      <c r="F291" t="s">
        <v>1359</v>
      </c>
      <c r="G291" t="str">
        <f t="shared" si="8"/>
        <v>2125FY20</v>
      </c>
      <c r="H291" t="str">
        <f t="shared" si="9"/>
        <v>FY2021 Jun</v>
      </c>
    </row>
    <row r="292" spans="1:8" x14ac:dyDescent="0.35">
      <c r="A292" t="s">
        <v>407</v>
      </c>
      <c r="B292" t="s">
        <v>444</v>
      </c>
      <c r="C292">
        <v>2127</v>
      </c>
      <c r="D292">
        <v>11</v>
      </c>
      <c r="E292" t="s">
        <v>1348</v>
      </c>
      <c r="F292" t="s">
        <v>1360</v>
      </c>
      <c r="G292" t="str">
        <f t="shared" si="8"/>
        <v>2127FY20</v>
      </c>
      <c r="H292" t="str">
        <f t="shared" si="9"/>
        <v>FY2021 Jul</v>
      </c>
    </row>
    <row r="293" spans="1:8" x14ac:dyDescent="0.35">
      <c r="A293" t="s">
        <v>407</v>
      </c>
      <c r="B293" t="s">
        <v>444</v>
      </c>
      <c r="C293">
        <v>2128</v>
      </c>
      <c r="D293">
        <v>945</v>
      </c>
      <c r="E293" t="s">
        <v>1348</v>
      </c>
      <c r="F293" t="s">
        <v>1360</v>
      </c>
      <c r="G293" t="str">
        <f t="shared" si="8"/>
        <v>2128FY20</v>
      </c>
      <c r="H293" t="str">
        <f t="shared" si="9"/>
        <v>FY2021 Jul</v>
      </c>
    </row>
    <row r="294" spans="1:8" x14ac:dyDescent="0.35">
      <c r="A294" t="s">
        <v>407</v>
      </c>
      <c r="B294" t="s">
        <v>444</v>
      </c>
      <c r="C294">
        <v>2129</v>
      </c>
      <c r="D294">
        <v>123</v>
      </c>
      <c r="E294" t="s">
        <v>1348</v>
      </c>
      <c r="F294" t="s">
        <v>1360</v>
      </c>
      <c r="G294" t="str">
        <f t="shared" si="8"/>
        <v>2129FY20</v>
      </c>
      <c r="H294" t="str">
        <f t="shared" si="9"/>
        <v>FY2021 Jul</v>
      </c>
    </row>
    <row r="295" spans="1:8" x14ac:dyDescent="0.35">
      <c r="A295" t="s">
        <v>407</v>
      </c>
      <c r="B295" t="s">
        <v>444</v>
      </c>
      <c r="C295">
        <v>2133</v>
      </c>
      <c r="D295">
        <v>152</v>
      </c>
      <c r="E295" t="s">
        <v>1348</v>
      </c>
      <c r="F295" t="s">
        <v>1361</v>
      </c>
      <c r="G295" t="str">
        <f t="shared" si="8"/>
        <v>2133FY20</v>
      </c>
      <c r="H295" t="str">
        <f t="shared" si="9"/>
        <v>FY2021 Aug</v>
      </c>
    </row>
    <row r="296" spans="1:8" x14ac:dyDescent="0.35">
      <c r="A296" t="s">
        <v>407</v>
      </c>
      <c r="B296" t="s">
        <v>446</v>
      </c>
      <c r="C296">
        <v>2101</v>
      </c>
      <c r="D296">
        <v>312</v>
      </c>
      <c r="E296" t="s">
        <v>1348</v>
      </c>
      <c r="F296" t="s">
        <v>1363</v>
      </c>
      <c r="G296" t="str">
        <f t="shared" si="8"/>
        <v>2101FY20</v>
      </c>
      <c r="H296" t="str">
        <f t="shared" si="9"/>
        <v>FY2021 Jan</v>
      </c>
    </row>
    <row r="297" spans="1:8" x14ac:dyDescent="0.35">
      <c r="A297" t="s">
        <v>407</v>
      </c>
      <c r="B297" t="s">
        <v>446</v>
      </c>
      <c r="C297">
        <v>2102</v>
      </c>
      <c r="D297">
        <v>277</v>
      </c>
      <c r="E297" t="s">
        <v>1348</v>
      </c>
      <c r="F297" t="s">
        <v>1363</v>
      </c>
      <c r="G297" t="str">
        <f t="shared" si="8"/>
        <v>2102FY20</v>
      </c>
      <c r="H297" t="str">
        <f t="shared" si="9"/>
        <v>FY2021 Jan</v>
      </c>
    </row>
    <row r="298" spans="1:8" x14ac:dyDescent="0.35">
      <c r="A298" t="s">
        <v>407</v>
      </c>
      <c r="B298" t="s">
        <v>446</v>
      </c>
      <c r="C298">
        <v>2103</v>
      </c>
      <c r="D298">
        <v>370</v>
      </c>
      <c r="E298" t="s">
        <v>1348</v>
      </c>
      <c r="F298" t="s">
        <v>1363</v>
      </c>
      <c r="G298" t="str">
        <f t="shared" si="8"/>
        <v>2103FY20</v>
      </c>
      <c r="H298" t="str">
        <f t="shared" si="9"/>
        <v>FY2021 Jan</v>
      </c>
    </row>
    <row r="299" spans="1:8" x14ac:dyDescent="0.35">
      <c r="A299" t="s">
        <v>407</v>
      </c>
      <c r="B299" t="s">
        <v>446</v>
      </c>
      <c r="C299">
        <v>2105</v>
      </c>
      <c r="D299">
        <v>300</v>
      </c>
      <c r="E299" t="s">
        <v>1348</v>
      </c>
      <c r="F299" t="s">
        <v>1362</v>
      </c>
      <c r="G299" t="str">
        <f t="shared" si="8"/>
        <v>2105FY20</v>
      </c>
      <c r="H299" t="str">
        <f t="shared" si="9"/>
        <v>FY2021 Feb</v>
      </c>
    </row>
    <row r="300" spans="1:8" x14ac:dyDescent="0.35">
      <c r="A300" t="s">
        <v>407</v>
      </c>
      <c r="B300" t="s">
        <v>446</v>
      </c>
      <c r="C300">
        <v>2106</v>
      </c>
      <c r="D300">
        <v>132</v>
      </c>
      <c r="E300" t="s">
        <v>1348</v>
      </c>
      <c r="F300" t="s">
        <v>1362</v>
      </c>
      <c r="G300" t="str">
        <f t="shared" si="8"/>
        <v>2106FY20</v>
      </c>
      <c r="H300" t="str">
        <f t="shared" si="9"/>
        <v>FY2021 Feb</v>
      </c>
    </row>
    <row r="301" spans="1:8" x14ac:dyDescent="0.35">
      <c r="A301" t="s">
        <v>407</v>
      </c>
      <c r="B301" t="s">
        <v>446</v>
      </c>
      <c r="C301">
        <v>2107</v>
      </c>
      <c r="D301">
        <v>321</v>
      </c>
      <c r="E301" t="s">
        <v>1348</v>
      </c>
      <c r="F301" t="s">
        <v>1362</v>
      </c>
      <c r="G301" t="str">
        <f t="shared" si="8"/>
        <v>2107FY20</v>
      </c>
      <c r="H301" t="str">
        <f t="shared" si="9"/>
        <v>FY2021 Feb</v>
      </c>
    </row>
    <row r="302" spans="1:8" x14ac:dyDescent="0.35">
      <c r="A302" t="s">
        <v>407</v>
      </c>
      <c r="B302" t="s">
        <v>446</v>
      </c>
      <c r="C302">
        <v>2108</v>
      </c>
      <c r="D302">
        <v>423</v>
      </c>
      <c r="E302" t="s">
        <v>1348</v>
      </c>
      <c r="F302" t="s">
        <v>1362</v>
      </c>
      <c r="G302" t="str">
        <f t="shared" si="8"/>
        <v>2108FY20</v>
      </c>
      <c r="H302" t="str">
        <f t="shared" si="9"/>
        <v>FY2021 Feb</v>
      </c>
    </row>
    <row r="303" spans="1:8" x14ac:dyDescent="0.35">
      <c r="A303" t="s">
        <v>407</v>
      </c>
      <c r="B303" t="s">
        <v>446</v>
      </c>
      <c r="C303">
        <v>2109</v>
      </c>
      <c r="D303">
        <v>227</v>
      </c>
      <c r="E303" t="s">
        <v>1348</v>
      </c>
      <c r="F303" t="s">
        <v>1356</v>
      </c>
      <c r="G303" t="str">
        <f t="shared" si="8"/>
        <v>2109FY20</v>
      </c>
      <c r="H303" t="str">
        <f t="shared" si="9"/>
        <v>FY2021 Mar</v>
      </c>
    </row>
    <row r="304" spans="1:8" x14ac:dyDescent="0.35">
      <c r="A304" t="s">
        <v>407</v>
      </c>
      <c r="B304" t="s">
        <v>446</v>
      </c>
      <c r="C304">
        <v>2110</v>
      </c>
      <c r="D304">
        <v>791</v>
      </c>
      <c r="E304" t="s">
        <v>1348</v>
      </c>
      <c r="F304" t="s">
        <v>1356</v>
      </c>
      <c r="G304" t="str">
        <f t="shared" si="8"/>
        <v>2110FY20</v>
      </c>
      <c r="H304" t="str">
        <f t="shared" si="9"/>
        <v>FY2021 Mar</v>
      </c>
    </row>
    <row r="305" spans="1:8" x14ac:dyDescent="0.35">
      <c r="A305" t="s">
        <v>407</v>
      </c>
      <c r="B305" t="s">
        <v>446</v>
      </c>
      <c r="C305">
        <v>2111</v>
      </c>
      <c r="D305">
        <v>1068</v>
      </c>
      <c r="E305" t="s">
        <v>1348</v>
      </c>
      <c r="F305" t="s">
        <v>1356</v>
      </c>
      <c r="G305" t="str">
        <f t="shared" si="8"/>
        <v>2111FY20</v>
      </c>
      <c r="H305" t="str">
        <f t="shared" si="9"/>
        <v>FY2021 Mar</v>
      </c>
    </row>
    <row r="306" spans="1:8" x14ac:dyDescent="0.35">
      <c r="A306" t="s">
        <v>407</v>
      </c>
      <c r="B306" t="s">
        <v>446</v>
      </c>
      <c r="C306">
        <v>2112</v>
      </c>
      <c r="D306">
        <v>876</v>
      </c>
      <c r="E306" t="s">
        <v>1348</v>
      </c>
      <c r="F306" t="s">
        <v>1356</v>
      </c>
      <c r="G306" t="str">
        <f t="shared" si="8"/>
        <v>2112FY20</v>
      </c>
      <c r="H306" t="str">
        <f t="shared" si="9"/>
        <v>FY2021 Mar</v>
      </c>
    </row>
    <row r="307" spans="1:8" x14ac:dyDescent="0.35">
      <c r="A307" t="s">
        <v>407</v>
      </c>
      <c r="B307" t="s">
        <v>446</v>
      </c>
      <c r="C307">
        <v>2113</v>
      </c>
      <c r="D307">
        <v>400</v>
      </c>
      <c r="E307" t="s">
        <v>1348</v>
      </c>
      <c r="F307" t="s">
        <v>1356</v>
      </c>
      <c r="G307" t="str">
        <f t="shared" si="8"/>
        <v>2113FY20</v>
      </c>
      <c r="H307" t="str">
        <f t="shared" si="9"/>
        <v>FY2021 Mar</v>
      </c>
    </row>
    <row r="308" spans="1:8" x14ac:dyDescent="0.35">
      <c r="A308" t="s">
        <v>407</v>
      </c>
      <c r="B308" t="s">
        <v>446</v>
      </c>
      <c r="C308">
        <v>2114</v>
      </c>
      <c r="D308">
        <v>328</v>
      </c>
      <c r="E308" t="s">
        <v>1348</v>
      </c>
      <c r="F308" t="s">
        <v>1357</v>
      </c>
      <c r="G308" t="str">
        <f t="shared" si="8"/>
        <v>2114FY20</v>
      </c>
      <c r="H308" t="str">
        <f t="shared" si="9"/>
        <v>FY2021 Apr</v>
      </c>
    </row>
    <row r="309" spans="1:8" x14ac:dyDescent="0.35">
      <c r="A309" t="s">
        <v>407</v>
      </c>
      <c r="B309" t="s">
        <v>446</v>
      </c>
      <c r="C309">
        <v>2115</v>
      </c>
      <c r="D309">
        <v>385</v>
      </c>
      <c r="E309" t="s">
        <v>1348</v>
      </c>
      <c r="F309" t="s">
        <v>1357</v>
      </c>
      <c r="G309" t="str">
        <f t="shared" si="8"/>
        <v>2115FY20</v>
      </c>
      <c r="H309" t="str">
        <f t="shared" si="9"/>
        <v>FY2021 Apr</v>
      </c>
    </row>
    <row r="310" spans="1:8" x14ac:dyDescent="0.35">
      <c r="A310" t="s">
        <v>407</v>
      </c>
      <c r="B310" t="s">
        <v>446</v>
      </c>
      <c r="C310">
        <v>2116</v>
      </c>
      <c r="D310">
        <v>453</v>
      </c>
      <c r="E310" t="s">
        <v>1348</v>
      </c>
      <c r="F310" t="s">
        <v>1357</v>
      </c>
      <c r="G310" t="str">
        <f t="shared" si="8"/>
        <v>2116FY20</v>
      </c>
      <c r="H310" t="str">
        <f t="shared" si="9"/>
        <v>FY2021 Apr</v>
      </c>
    </row>
    <row r="311" spans="1:8" x14ac:dyDescent="0.35">
      <c r="A311" t="s">
        <v>407</v>
      </c>
      <c r="B311" t="s">
        <v>446</v>
      </c>
      <c r="C311">
        <v>2117</v>
      </c>
      <c r="D311">
        <v>217</v>
      </c>
      <c r="E311" t="s">
        <v>1348</v>
      </c>
      <c r="F311" t="s">
        <v>1357</v>
      </c>
      <c r="G311" t="str">
        <f t="shared" si="8"/>
        <v>2117FY20</v>
      </c>
      <c r="H311" t="str">
        <f t="shared" si="9"/>
        <v>FY2021 Apr</v>
      </c>
    </row>
    <row r="312" spans="1:8" x14ac:dyDescent="0.35">
      <c r="A312" t="s">
        <v>407</v>
      </c>
      <c r="B312" t="s">
        <v>446</v>
      </c>
      <c r="C312">
        <v>2118</v>
      </c>
      <c r="D312">
        <v>594</v>
      </c>
      <c r="E312" t="s">
        <v>1348</v>
      </c>
      <c r="F312" t="s">
        <v>1358</v>
      </c>
      <c r="G312" t="str">
        <f t="shared" si="8"/>
        <v>2118FY20</v>
      </c>
      <c r="H312" t="str">
        <f t="shared" si="9"/>
        <v>FY2021 May</v>
      </c>
    </row>
    <row r="313" spans="1:8" x14ac:dyDescent="0.35">
      <c r="A313" t="s">
        <v>407</v>
      </c>
      <c r="B313" t="s">
        <v>446</v>
      </c>
      <c r="C313">
        <v>2119</v>
      </c>
      <c r="D313">
        <v>270</v>
      </c>
      <c r="E313" t="s">
        <v>1348</v>
      </c>
      <c r="F313" t="s">
        <v>1358</v>
      </c>
      <c r="G313" t="str">
        <f t="shared" si="8"/>
        <v>2119FY20</v>
      </c>
      <c r="H313" t="str">
        <f t="shared" si="9"/>
        <v>FY2021 May</v>
      </c>
    </row>
    <row r="314" spans="1:8" x14ac:dyDescent="0.35">
      <c r="A314" t="s">
        <v>407</v>
      </c>
      <c r="B314" t="s">
        <v>446</v>
      </c>
      <c r="C314">
        <v>2120</v>
      </c>
      <c r="D314">
        <v>1500</v>
      </c>
      <c r="E314" t="s">
        <v>1348</v>
      </c>
      <c r="F314" t="s">
        <v>1358</v>
      </c>
      <c r="G314" t="str">
        <f t="shared" si="8"/>
        <v>2120FY20</v>
      </c>
      <c r="H314" t="str">
        <f t="shared" si="9"/>
        <v>FY2021 May</v>
      </c>
    </row>
    <row r="315" spans="1:8" x14ac:dyDescent="0.35">
      <c r="A315" t="s">
        <v>407</v>
      </c>
      <c r="B315" t="s">
        <v>446</v>
      </c>
      <c r="C315">
        <v>2121</v>
      </c>
      <c r="D315">
        <v>655</v>
      </c>
      <c r="E315" t="s">
        <v>1348</v>
      </c>
      <c r="F315" t="s">
        <v>1358</v>
      </c>
      <c r="G315" t="str">
        <f t="shared" si="8"/>
        <v>2121FY20</v>
      </c>
      <c r="H315" t="str">
        <f t="shared" si="9"/>
        <v>FY2021 May</v>
      </c>
    </row>
    <row r="316" spans="1:8" x14ac:dyDescent="0.35">
      <c r="A316" t="s">
        <v>407</v>
      </c>
      <c r="B316" t="s">
        <v>446</v>
      </c>
      <c r="C316">
        <v>2122</v>
      </c>
      <c r="D316">
        <v>376</v>
      </c>
      <c r="E316" t="s">
        <v>1348</v>
      </c>
      <c r="F316" t="s">
        <v>1358</v>
      </c>
      <c r="G316" t="str">
        <f t="shared" si="8"/>
        <v>2122FY20</v>
      </c>
      <c r="H316" t="str">
        <f t="shared" si="9"/>
        <v>FY2021 May</v>
      </c>
    </row>
    <row r="317" spans="1:8" x14ac:dyDescent="0.35">
      <c r="A317" t="s">
        <v>407</v>
      </c>
      <c r="B317" t="s">
        <v>446</v>
      </c>
      <c r="C317">
        <v>2123</v>
      </c>
      <c r="D317">
        <v>787</v>
      </c>
      <c r="E317" t="s">
        <v>1348</v>
      </c>
      <c r="F317" t="s">
        <v>1359</v>
      </c>
      <c r="G317" t="str">
        <f t="shared" si="8"/>
        <v>2123FY20</v>
      </c>
      <c r="H317" t="str">
        <f t="shared" si="9"/>
        <v>FY2021 Jun</v>
      </c>
    </row>
    <row r="318" spans="1:8" x14ac:dyDescent="0.35">
      <c r="A318" t="s">
        <v>407</v>
      </c>
      <c r="B318" t="s">
        <v>446</v>
      </c>
      <c r="C318">
        <v>2125</v>
      </c>
      <c r="D318">
        <v>167</v>
      </c>
      <c r="E318" t="s">
        <v>1348</v>
      </c>
      <c r="F318" t="s">
        <v>1359</v>
      </c>
      <c r="G318" t="str">
        <f t="shared" si="8"/>
        <v>2125FY20</v>
      </c>
      <c r="H318" t="str">
        <f t="shared" si="9"/>
        <v>FY2021 Jun</v>
      </c>
    </row>
    <row r="319" spans="1:8" x14ac:dyDescent="0.35">
      <c r="A319" t="s">
        <v>407</v>
      </c>
      <c r="B319" t="s">
        <v>446</v>
      </c>
      <c r="C319">
        <v>2126</v>
      </c>
      <c r="D319">
        <v>16</v>
      </c>
      <c r="E319" t="s">
        <v>1348</v>
      </c>
      <c r="F319" t="s">
        <v>1359</v>
      </c>
      <c r="G319" t="str">
        <f t="shared" si="8"/>
        <v>2126FY20</v>
      </c>
      <c r="H319" t="str">
        <f t="shared" si="9"/>
        <v>FY2021 Jun</v>
      </c>
    </row>
    <row r="320" spans="1:8" x14ac:dyDescent="0.35">
      <c r="A320" t="s">
        <v>407</v>
      </c>
      <c r="B320" t="s">
        <v>446</v>
      </c>
      <c r="C320">
        <v>2127</v>
      </c>
      <c r="D320">
        <v>798</v>
      </c>
      <c r="E320" t="s">
        <v>1348</v>
      </c>
      <c r="F320" t="s">
        <v>1360</v>
      </c>
      <c r="G320" t="str">
        <f t="shared" si="8"/>
        <v>2127FY20</v>
      </c>
      <c r="H320" t="str">
        <f t="shared" si="9"/>
        <v>FY2021 Jul</v>
      </c>
    </row>
    <row r="321" spans="1:8" x14ac:dyDescent="0.35">
      <c r="A321" t="s">
        <v>407</v>
      </c>
      <c r="B321" t="s">
        <v>446</v>
      </c>
      <c r="C321">
        <v>2128</v>
      </c>
      <c r="D321">
        <v>899</v>
      </c>
      <c r="E321" t="s">
        <v>1348</v>
      </c>
      <c r="F321" t="s">
        <v>1360</v>
      </c>
      <c r="G321" t="str">
        <f t="shared" si="8"/>
        <v>2128FY20</v>
      </c>
      <c r="H321" t="str">
        <f t="shared" si="9"/>
        <v>FY2021 Jul</v>
      </c>
    </row>
    <row r="322" spans="1:8" x14ac:dyDescent="0.35">
      <c r="A322" t="s">
        <v>407</v>
      </c>
      <c r="B322" t="s">
        <v>446</v>
      </c>
      <c r="C322">
        <v>2129</v>
      </c>
      <c r="D322">
        <v>1143</v>
      </c>
      <c r="E322" t="s">
        <v>1348</v>
      </c>
      <c r="F322" t="s">
        <v>1360</v>
      </c>
      <c r="G322" t="str">
        <f t="shared" si="8"/>
        <v>2129FY20</v>
      </c>
      <c r="H322" t="str">
        <f t="shared" si="9"/>
        <v>FY2021 Jul</v>
      </c>
    </row>
    <row r="323" spans="1:8" x14ac:dyDescent="0.35">
      <c r="A323" t="s">
        <v>407</v>
      </c>
      <c r="B323" t="s">
        <v>446</v>
      </c>
      <c r="C323">
        <v>2132</v>
      </c>
      <c r="D323">
        <v>169</v>
      </c>
      <c r="E323" t="s">
        <v>1348</v>
      </c>
      <c r="F323" t="s">
        <v>1361</v>
      </c>
      <c r="G323" t="str">
        <f t="shared" ref="G323:G386" si="10">C323&amp;E323</f>
        <v>2132FY20</v>
      </c>
      <c r="H323" t="str">
        <f t="shared" ref="H323:H386" si="11">E323&amp;F323</f>
        <v>FY2021 Aug</v>
      </c>
    </row>
    <row r="324" spans="1:8" x14ac:dyDescent="0.35">
      <c r="A324" t="s">
        <v>407</v>
      </c>
      <c r="B324" t="s">
        <v>446</v>
      </c>
      <c r="C324">
        <v>2133</v>
      </c>
      <c r="D324">
        <v>193</v>
      </c>
      <c r="E324" t="s">
        <v>1348</v>
      </c>
      <c r="F324" t="s">
        <v>1361</v>
      </c>
      <c r="G324" t="str">
        <f t="shared" si="10"/>
        <v>2133FY20</v>
      </c>
      <c r="H324" t="str">
        <f t="shared" si="11"/>
        <v>FY2021 Aug</v>
      </c>
    </row>
    <row r="325" spans="1:8" x14ac:dyDescent="0.35">
      <c r="A325" t="s">
        <v>407</v>
      </c>
      <c r="B325" t="s">
        <v>447</v>
      </c>
      <c r="C325">
        <v>2101</v>
      </c>
      <c r="D325">
        <v>195</v>
      </c>
      <c r="E325" t="s">
        <v>1348</v>
      </c>
      <c r="F325" t="s">
        <v>1363</v>
      </c>
      <c r="G325" t="str">
        <f t="shared" si="10"/>
        <v>2101FY20</v>
      </c>
      <c r="H325" t="str">
        <f t="shared" si="11"/>
        <v>FY2021 Jan</v>
      </c>
    </row>
    <row r="326" spans="1:8" x14ac:dyDescent="0.35">
      <c r="A326" t="s">
        <v>407</v>
      </c>
      <c r="B326" t="s">
        <v>447</v>
      </c>
      <c r="C326">
        <v>2107</v>
      </c>
      <c r="D326">
        <v>50</v>
      </c>
      <c r="E326" t="s">
        <v>1348</v>
      </c>
      <c r="F326" t="s">
        <v>1362</v>
      </c>
      <c r="G326" t="str">
        <f t="shared" si="10"/>
        <v>2107FY20</v>
      </c>
      <c r="H326" t="str">
        <f t="shared" si="11"/>
        <v>FY2021 Feb</v>
      </c>
    </row>
    <row r="327" spans="1:8" x14ac:dyDescent="0.35">
      <c r="A327" t="s">
        <v>407</v>
      </c>
      <c r="B327" t="s">
        <v>447</v>
      </c>
      <c r="C327">
        <v>2108</v>
      </c>
      <c r="D327">
        <v>250</v>
      </c>
      <c r="E327" t="s">
        <v>1348</v>
      </c>
      <c r="F327" t="s">
        <v>1362</v>
      </c>
      <c r="G327" t="str">
        <f t="shared" si="10"/>
        <v>2108FY20</v>
      </c>
      <c r="H327" t="str">
        <f t="shared" si="11"/>
        <v>FY2021 Feb</v>
      </c>
    </row>
    <row r="328" spans="1:8" x14ac:dyDescent="0.35">
      <c r="A328" t="s">
        <v>407</v>
      </c>
      <c r="B328" t="s">
        <v>447</v>
      </c>
      <c r="C328">
        <v>2110</v>
      </c>
      <c r="D328">
        <v>130</v>
      </c>
      <c r="E328" t="s">
        <v>1348</v>
      </c>
      <c r="F328" t="s">
        <v>1356</v>
      </c>
      <c r="G328" t="str">
        <f t="shared" si="10"/>
        <v>2110FY20</v>
      </c>
      <c r="H328" t="str">
        <f t="shared" si="11"/>
        <v>FY2021 Mar</v>
      </c>
    </row>
    <row r="329" spans="1:8" x14ac:dyDescent="0.35">
      <c r="A329" t="s">
        <v>407</v>
      </c>
      <c r="B329" t="s">
        <v>447</v>
      </c>
      <c r="C329">
        <v>2112</v>
      </c>
      <c r="D329">
        <v>254</v>
      </c>
      <c r="E329" t="s">
        <v>1348</v>
      </c>
      <c r="F329" t="s">
        <v>1356</v>
      </c>
      <c r="G329" t="str">
        <f t="shared" si="10"/>
        <v>2112FY20</v>
      </c>
      <c r="H329" t="str">
        <f t="shared" si="11"/>
        <v>FY2021 Mar</v>
      </c>
    </row>
    <row r="330" spans="1:8" x14ac:dyDescent="0.35">
      <c r="A330" t="s">
        <v>407</v>
      </c>
      <c r="B330" t="s">
        <v>447</v>
      </c>
      <c r="C330">
        <v>2114</v>
      </c>
      <c r="D330">
        <v>200</v>
      </c>
      <c r="E330" t="s">
        <v>1348</v>
      </c>
      <c r="F330" t="s">
        <v>1357</v>
      </c>
      <c r="G330" t="str">
        <f t="shared" si="10"/>
        <v>2114FY20</v>
      </c>
      <c r="H330" t="str">
        <f t="shared" si="11"/>
        <v>FY2021 Apr</v>
      </c>
    </row>
    <row r="331" spans="1:8" x14ac:dyDescent="0.35">
      <c r="A331" t="s">
        <v>407</v>
      </c>
      <c r="B331" t="s">
        <v>447</v>
      </c>
      <c r="C331">
        <v>2117</v>
      </c>
      <c r="D331">
        <v>138</v>
      </c>
      <c r="E331" t="s">
        <v>1348</v>
      </c>
      <c r="F331" t="s">
        <v>1357</v>
      </c>
      <c r="G331" t="str">
        <f t="shared" si="10"/>
        <v>2117FY20</v>
      </c>
      <c r="H331" t="str">
        <f t="shared" si="11"/>
        <v>FY2021 Apr</v>
      </c>
    </row>
    <row r="332" spans="1:8" x14ac:dyDescent="0.35">
      <c r="A332" t="s">
        <v>407</v>
      </c>
      <c r="B332" t="s">
        <v>447</v>
      </c>
      <c r="C332">
        <v>2124</v>
      </c>
      <c r="D332">
        <v>50</v>
      </c>
      <c r="E332" t="s">
        <v>1348</v>
      </c>
      <c r="F332" t="s">
        <v>1359</v>
      </c>
      <c r="G332" t="str">
        <f t="shared" si="10"/>
        <v>2124FY20</v>
      </c>
      <c r="H332" t="str">
        <f t="shared" si="11"/>
        <v>FY2021 Jun</v>
      </c>
    </row>
    <row r="333" spans="1:8" x14ac:dyDescent="0.35">
      <c r="A333" t="s">
        <v>407</v>
      </c>
      <c r="B333" t="s">
        <v>447</v>
      </c>
      <c r="C333">
        <v>2125</v>
      </c>
      <c r="D333">
        <v>50</v>
      </c>
      <c r="E333" t="s">
        <v>1348</v>
      </c>
      <c r="F333" t="s">
        <v>1359</v>
      </c>
      <c r="G333" t="str">
        <f t="shared" si="10"/>
        <v>2125FY20</v>
      </c>
      <c r="H333" t="str">
        <f t="shared" si="11"/>
        <v>FY2021 Jun</v>
      </c>
    </row>
    <row r="334" spans="1:8" x14ac:dyDescent="0.35">
      <c r="A334" t="s">
        <v>407</v>
      </c>
      <c r="B334" t="s">
        <v>447</v>
      </c>
      <c r="C334">
        <v>2127</v>
      </c>
      <c r="D334">
        <v>200</v>
      </c>
      <c r="E334" t="s">
        <v>1348</v>
      </c>
      <c r="F334" t="s">
        <v>1360</v>
      </c>
      <c r="G334" t="str">
        <f t="shared" si="10"/>
        <v>2127FY20</v>
      </c>
      <c r="H334" t="str">
        <f t="shared" si="11"/>
        <v>FY2021 Jul</v>
      </c>
    </row>
    <row r="335" spans="1:8" x14ac:dyDescent="0.35">
      <c r="A335" t="s">
        <v>407</v>
      </c>
      <c r="B335" t="s">
        <v>447</v>
      </c>
      <c r="C335">
        <v>2128</v>
      </c>
      <c r="D335">
        <v>100</v>
      </c>
      <c r="E335" t="s">
        <v>1348</v>
      </c>
      <c r="F335" t="s">
        <v>1360</v>
      </c>
      <c r="G335" t="str">
        <f t="shared" si="10"/>
        <v>2128FY20</v>
      </c>
      <c r="H335" t="str">
        <f t="shared" si="11"/>
        <v>FY2021 Jul</v>
      </c>
    </row>
    <row r="336" spans="1:8" x14ac:dyDescent="0.35">
      <c r="A336" t="s">
        <v>407</v>
      </c>
      <c r="B336" t="s">
        <v>447</v>
      </c>
      <c r="C336">
        <v>2129</v>
      </c>
      <c r="D336">
        <v>19</v>
      </c>
      <c r="E336" t="s">
        <v>1348</v>
      </c>
      <c r="F336" t="s">
        <v>1360</v>
      </c>
      <c r="G336" t="str">
        <f t="shared" si="10"/>
        <v>2129FY20</v>
      </c>
      <c r="H336" t="str">
        <f t="shared" si="11"/>
        <v>FY2021 Jul</v>
      </c>
    </row>
    <row r="337" spans="1:8" x14ac:dyDescent="0.35">
      <c r="A337" t="s">
        <v>407</v>
      </c>
      <c r="B337" t="s">
        <v>447</v>
      </c>
      <c r="C337">
        <v>2133</v>
      </c>
      <c r="D337">
        <v>139</v>
      </c>
      <c r="E337" t="s">
        <v>1348</v>
      </c>
      <c r="F337" t="s">
        <v>1361</v>
      </c>
      <c r="G337" t="str">
        <f t="shared" si="10"/>
        <v>2133FY20</v>
      </c>
      <c r="H337" t="str">
        <f t="shared" si="11"/>
        <v>FY2021 Aug</v>
      </c>
    </row>
    <row r="338" spans="1:8" x14ac:dyDescent="0.35">
      <c r="A338" t="s">
        <v>407</v>
      </c>
      <c r="B338" t="s">
        <v>445</v>
      </c>
      <c r="C338">
        <v>2102</v>
      </c>
      <c r="D338">
        <v>190</v>
      </c>
      <c r="E338" t="s">
        <v>1348</v>
      </c>
      <c r="F338" t="s">
        <v>1363</v>
      </c>
      <c r="G338" t="str">
        <f t="shared" si="10"/>
        <v>2102FY20</v>
      </c>
      <c r="H338" t="str">
        <f t="shared" si="11"/>
        <v>FY2021 Jan</v>
      </c>
    </row>
    <row r="339" spans="1:8" x14ac:dyDescent="0.35">
      <c r="A339" t="s">
        <v>407</v>
      </c>
      <c r="B339" t="s">
        <v>445</v>
      </c>
      <c r="C339">
        <v>2103</v>
      </c>
      <c r="D339">
        <v>407</v>
      </c>
      <c r="E339" t="s">
        <v>1348</v>
      </c>
      <c r="F339" t="s">
        <v>1363</v>
      </c>
      <c r="G339" t="str">
        <f t="shared" si="10"/>
        <v>2103FY20</v>
      </c>
      <c r="H339" t="str">
        <f t="shared" si="11"/>
        <v>FY2021 Jan</v>
      </c>
    </row>
    <row r="340" spans="1:8" x14ac:dyDescent="0.35">
      <c r="A340" t="s">
        <v>407</v>
      </c>
      <c r="B340" t="s">
        <v>445</v>
      </c>
      <c r="C340">
        <v>2107</v>
      </c>
      <c r="D340">
        <v>5</v>
      </c>
      <c r="E340" t="s">
        <v>1348</v>
      </c>
      <c r="F340" t="s">
        <v>1362</v>
      </c>
      <c r="G340" t="str">
        <f t="shared" si="10"/>
        <v>2107FY20</v>
      </c>
      <c r="H340" t="str">
        <f t="shared" si="11"/>
        <v>FY2021 Feb</v>
      </c>
    </row>
    <row r="341" spans="1:8" x14ac:dyDescent="0.35">
      <c r="A341" t="s">
        <v>407</v>
      </c>
      <c r="B341" t="s">
        <v>445</v>
      </c>
      <c r="C341">
        <v>2109</v>
      </c>
      <c r="D341">
        <v>210</v>
      </c>
      <c r="E341" t="s">
        <v>1348</v>
      </c>
      <c r="F341" t="s">
        <v>1356</v>
      </c>
      <c r="G341" t="str">
        <f t="shared" si="10"/>
        <v>2109FY20</v>
      </c>
      <c r="H341" t="str">
        <f t="shared" si="11"/>
        <v>FY2021 Mar</v>
      </c>
    </row>
    <row r="342" spans="1:8" x14ac:dyDescent="0.35">
      <c r="A342" t="s">
        <v>407</v>
      </c>
      <c r="B342" t="s">
        <v>445</v>
      </c>
      <c r="C342">
        <v>2110</v>
      </c>
      <c r="D342">
        <v>170</v>
      </c>
      <c r="E342" t="s">
        <v>1348</v>
      </c>
      <c r="F342" t="s">
        <v>1356</v>
      </c>
      <c r="G342" t="str">
        <f t="shared" si="10"/>
        <v>2110FY20</v>
      </c>
      <c r="H342" t="str">
        <f t="shared" si="11"/>
        <v>FY2021 Mar</v>
      </c>
    </row>
    <row r="343" spans="1:8" x14ac:dyDescent="0.35">
      <c r="A343" t="s">
        <v>407</v>
      </c>
      <c r="B343" t="s">
        <v>445</v>
      </c>
      <c r="C343">
        <v>2111</v>
      </c>
      <c r="D343">
        <v>125</v>
      </c>
      <c r="E343" t="s">
        <v>1348</v>
      </c>
      <c r="F343" t="s">
        <v>1356</v>
      </c>
      <c r="G343" t="str">
        <f t="shared" si="10"/>
        <v>2111FY20</v>
      </c>
      <c r="H343" t="str">
        <f t="shared" si="11"/>
        <v>FY2021 Mar</v>
      </c>
    </row>
    <row r="344" spans="1:8" x14ac:dyDescent="0.35">
      <c r="A344" t="s">
        <v>407</v>
      </c>
      <c r="B344" t="s">
        <v>445</v>
      </c>
      <c r="C344">
        <v>2113</v>
      </c>
      <c r="D344">
        <v>52</v>
      </c>
      <c r="E344" t="s">
        <v>1348</v>
      </c>
      <c r="F344" t="s">
        <v>1356</v>
      </c>
      <c r="G344" t="str">
        <f t="shared" si="10"/>
        <v>2113FY20</v>
      </c>
      <c r="H344" t="str">
        <f t="shared" si="11"/>
        <v>FY2021 Mar</v>
      </c>
    </row>
    <row r="345" spans="1:8" x14ac:dyDescent="0.35">
      <c r="A345" t="s">
        <v>407</v>
      </c>
      <c r="B345" t="s">
        <v>445</v>
      </c>
      <c r="C345">
        <v>2114</v>
      </c>
      <c r="D345">
        <v>97</v>
      </c>
      <c r="E345" t="s">
        <v>1348</v>
      </c>
      <c r="F345" t="s">
        <v>1357</v>
      </c>
      <c r="G345" t="str">
        <f t="shared" si="10"/>
        <v>2114FY20</v>
      </c>
      <c r="H345" t="str">
        <f t="shared" si="11"/>
        <v>FY2021 Apr</v>
      </c>
    </row>
    <row r="346" spans="1:8" x14ac:dyDescent="0.35">
      <c r="A346" t="s">
        <v>407</v>
      </c>
      <c r="B346" t="s">
        <v>445</v>
      </c>
      <c r="C346">
        <v>2116</v>
      </c>
      <c r="D346">
        <v>129</v>
      </c>
      <c r="E346" t="s">
        <v>1348</v>
      </c>
      <c r="F346" t="s">
        <v>1357</v>
      </c>
      <c r="G346" t="str">
        <f t="shared" si="10"/>
        <v>2116FY20</v>
      </c>
      <c r="H346" t="str">
        <f t="shared" si="11"/>
        <v>FY2021 Apr</v>
      </c>
    </row>
    <row r="347" spans="1:8" x14ac:dyDescent="0.35">
      <c r="A347" t="s">
        <v>407</v>
      </c>
      <c r="B347" t="s">
        <v>445</v>
      </c>
      <c r="C347">
        <v>2117</v>
      </c>
      <c r="D347">
        <v>177</v>
      </c>
      <c r="E347" t="s">
        <v>1348</v>
      </c>
      <c r="F347" t="s">
        <v>1357</v>
      </c>
      <c r="G347" t="str">
        <f t="shared" si="10"/>
        <v>2117FY20</v>
      </c>
      <c r="H347" t="str">
        <f t="shared" si="11"/>
        <v>FY2021 Apr</v>
      </c>
    </row>
    <row r="348" spans="1:8" x14ac:dyDescent="0.35">
      <c r="A348" t="s">
        <v>407</v>
      </c>
      <c r="B348" t="s">
        <v>445</v>
      </c>
      <c r="C348">
        <v>2118</v>
      </c>
      <c r="D348">
        <v>78</v>
      </c>
      <c r="E348" t="s">
        <v>1348</v>
      </c>
      <c r="F348" t="s">
        <v>1358</v>
      </c>
      <c r="G348" t="str">
        <f t="shared" si="10"/>
        <v>2118FY20</v>
      </c>
      <c r="H348" t="str">
        <f t="shared" si="11"/>
        <v>FY2021 May</v>
      </c>
    </row>
    <row r="349" spans="1:8" x14ac:dyDescent="0.35">
      <c r="A349" t="s">
        <v>407</v>
      </c>
      <c r="B349" t="s">
        <v>445</v>
      </c>
      <c r="C349">
        <v>2122</v>
      </c>
      <c r="D349">
        <v>50</v>
      </c>
      <c r="E349" t="s">
        <v>1348</v>
      </c>
      <c r="F349" t="s">
        <v>1358</v>
      </c>
      <c r="G349" t="str">
        <f t="shared" si="10"/>
        <v>2122FY20</v>
      </c>
      <c r="H349" t="str">
        <f t="shared" si="11"/>
        <v>FY2021 May</v>
      </c>
    </row>
    <row r="350" spans="1:8" x14ac:dyDescent="0.35">
      <c r="A350" t="s">
        <v>407</v>
      </c>
      <c r="B350" t="s">
        <v>445</v>
      </c>
      <c r="C350">
        <v>2123</v>
      </c>
      <c r="D350">
        <v>50</v>
      </c>
      <c r="E350" t="s">
        <v>1348</v>
      </c>
      <c r="F350" t="s">
        <v>1359</v>
      </c>
      <c r="G350" t="str">
        <f t="shared" si="10"/>
        <v>2123FY20</v>
      </c>
      <c r="H350" t="str">
        <f t="shared" si="11"/>
        <v>FY2021 Jun</v>
      </c>
    </row>
    <row r="351" spans="1:8" x14ac:dyDescent="0.35">
      <c r="A351" t="s">
        <v>407</v>
      </c>
      <c r="B351" t="s">
        <v>445</v>
      </c>
      <c r="C351">
        <v>2125</v>
      </c>
      <c r="D351">
        <v>63</v>
      </c>
      <c r="E351" t="s">
        <v>1348</v>
      </c>
      <c r="F351" t="s">
        <v>1359</v>
      </c>
      <c r="G351" t="str">
        <f t="shared" si="10"/>
        <v>2125FY20</v>
      </c>
      <c r="H351" t="str">
        <f t="shared" si="11"/>
        <v>FY2021 Jun</v>
      </c>
    </row>
    <row r="352" spans="1:8" x14ac:dyDescent="0.35">
      <c r="A352" t="s">
        <v>407</v>
      </c>
      <c r="B352" t="s">
        <v>445</v>
      </c>
      <c r="C352">
        <v>2127</v>
      </c>
      <c r="D352">
        <v>34</v>
      </c>
      <c r="E352" t="s">
        <v>1348</v>
      </c>
      <c r="F352" t="s">
        <v>1360</v>
      </c>
      <c r="G352" t="str">
        <f t="shared" si="10"/>
        <v>2127FY20</v>
      </c>
      <c r="H352" t="str">
        <f t="shared" si="11"/>
        <v>FY2021 Jul</v>
      </c>
    </row>
    <row r="353" spans="1:8" x14ac:dyDescent="0.35">
      <c r="A353" t="s">
        <v>407</v>
      </c>
      <c r="B353" t="s">
        <v>445</v>
      </c>
      <c r="C353">
        <v>2128</v>
      </c>
      <c r="D353">
        <v>147</v>
      </c>
      <c r="E353" t="s">
        <v>1348</v>
      </c>
      <c r="F353" t="s">
        <v>1360</v>
      </c>
      <c r="G353" t="str">
        <f t="shared" si="10"/>
        <v>2128FY20</v>
      </c>
      <c r="H353" t="str">
        <f t="shared" si="11"/>
        <v>FY2021 Jul</v>
      </c>
    </row>
    <row r="354" spans="1:8" x14ac:dyDescent="0.35">
      <c r="A354" t="s">
        <v>407</v>
      </c>
      <c r="B354" t="s">
        <v>445</v>
      </c>
      <c r="C354">
        <v>2129</v>
      </c>
      <c r="D354">
        <v>61</v>
      </c>
      <c r="E354" t="s">
        <v>1348</v>
      </c>
      <c r="F354" t="s">
        <v>1360</v>
      </c>
      <c r="G354" t="str">
        <f t="shared" si="10"/>
        <v>2129FY20</v>
      </c>
      <c r="H354" t="str">
        <f t="shared" si="11"/>
        <v>FY2021 Jul</v>
      </c>
    </row>
    <row r="355" spans="1:8" x14ac:dyDescent="0.35">
      <c r="A355" t="s">
        <v>407</v>
      </c>
      <c r="B355" t="s">
        <v>445</v>
      </c>
      <c r="C355">
        <v>2133</v>
      </c>
      <c r="D355">
        <v>92</v>
      </c>
      <c r="E355" t="s">
        <v>1348</v>
      </c>
      <c r="F355" t="s">
        <v>1361</v>
      </c>
      <c r="G355" t="str">
        <f t="shared" si="10"/>
        <v>2133FY20</v>
      </c>
      <c r="H355" t="str">
        <f t="shared" si="11"/>
        <v>FY2021 Aug</v>
      </c>
    </row>
    <row r="356" spans="1:8" x14ac:dyDescent="0.35">
      <c r="A356" t="s">
        <v>407</v>
      </c>
      <c r="B356" t="s">
        <v>1354</v>
      </c>
      <c r="C356">
        <v>2102</v>
      </c>
      <c r="D356">
        <v>426</v>
      </c>
      <c r="E356" t="s">
        <v>1349</v>
      </c>
      <c r="F356" t="s">
        <v>1363</v>
      </c>
      <c r="G356" t="str">
        <f t="shared" si="10"/>
        <v>2102FY19</v>
      </c>
      <c r="H356" t="str">
        <f t="shared" si="11"/>
        <v>FY1921 Jan</v>
      </c>
    </row>
    <row r="357" spans="1:8" x14ac:dyDescent="0.35">
      <c r="A357" t="s">
        <v>407</v>
      </c>
      <c r="B357" t="s">
        <v>1354</v>
      </c>
      <c r="C357">
        <v>2103</v>
      </c>
      <c r="D357">
        <v>444</v>
      </c>
      <c r="E357" t="s">
        <v>1349</v>
      </c>
      <c r="F357" t="s">
        <v>1363</v>
      </c>
      <c r="G357" t="str">
        <f t="shared" si="10"/>
        <v>2103FY19</v>
      </c>
      <c r="H357" t="str">
        <f t="shared" si="11"/>
        <v>FY1921 Jan</v>
      </c>
    </row>
    <row r="358" spans="1:8" x14ac:dyDescent="0.35">
      <c r="A358" t="s">
        <v>407</v>
      </c>
      <c r="B358" t="s">
        <v>1354</v>
      </c>
      <c r="C358">
        <v>2104</v>
      </c>
      <c r="D358">
        <v>269</v>
      </c>
      <c r="E358" t="s">
        <v>1349</v>
      </c>
      <c r="F358" t="s">
        <v>1363</v>
      </c>
      <c r="G358" t="str">
        <f t="shared" si="10"/>
        <v>2104FY19</v>
      </c>
      <c r="H358" t="str">
        <f t="shared" si="11"/>
        <v>FY1921 Jan</v>
      </c>
    </row>
    <row r="359" spans="1:8" x14ac:dyDescent="0.35">
      <c r="A359" t="s">
        <v>407</v>
      </c>
      <c r="B359" t="s">
        <v>1354</v>
      </c>
      <c r="C359">
        <v>2105</v>
      </c>
      <c r="D359">
        <v>953</v>
      </c>
      <c r="E359" t="s">
        <v>1349</v>
      </c>
      <c r="F359" t="s">
        <v>1362</v>
      </c>
      <c r="G359" t="str">
        <f t="shared" si="10"/>
        <v>2105FY19</v>
      </c>
      <c r="H359" t="str">
        <f t="shared" si="11"/>
        <v>FY1921 Feb</v>
      </c>
    </row>
    <row r="360" spans="1:8" x14ac:dyDescent="0.35">
      <c r="A360" t="s">
        <v>407</v>
      </c>
      <c r="B360" t="s">
        <v>1354</v>
      </c>
      <c r="C360">
        <v>2106</v>
      </c>
      <c r="D360">
        <v>500</v>
      </c>
      <c r="E360" t="s">
        <v>1349</v>
      </c>
      <c r="F360" t="s">
        <v>1362</v>
      </c>
      <c r="G360" t="str">
        <f t="shared" si="10"/>
        <v>2106FY19</v>
      </c>
      <c r="H360" t="str">
        <f t="shared" si="11"/>
        <v>FY1921 Feb</v>
      </c>
    </row>
    <row r="361" spans="1:8" x14ac:dyDescent="0.35">
      <c r="A361" t="s">
        <v>407</v>
      </c>
      <c r="B361" t="s">
        <v>1354</v>
      </c>
      <c r="C361">
        <v>2107</v>
      </c>
      <c r="D361">
        <v>559</v>
      </c>
      <c r="E361" t="s">
        <v>1349</v>
      </c>
      <c r="F361" t="s">
        <v>1362</v>
      </c>
      <c r="G361" t="str">
        <f t="shared" si="10"/>
        <v>2107FY19</v>
      </c>
      <c r="H361" t="str">
        <f t="shared" si="11"/>
        <v>FY1921 Feb</v>
      </c>
    </row>
    <row r="362" spans="1:8" x14ac:dyDescent="0.35">
      <c r="A362" t="s">
        <v>407</v>
      </c>
      <c r="B362" t="s">
        <v>1354</v>
      </c>
      <c r="C362">
        <v>2108</v>
      </c>
      <c r="D362">
        <v>421</v>
      </c>
      <c r="E362" t="s">
        <v>1349</v>
      </c>
      <c r="F362" t="s">
        <v>1362</v>
      </c>
      <c r="G362" t="str">
        <f t="shared" si="10"/>
        <v>2108FY19</v>
      </c>
      <c r="H362" t="str">
        <f t="shared" si="11"/>
        <v>FY1921 Feb</v>
      </c>
    </row>
    <row r="363" spans="1:8" x14ac:dyDescent="0.35">
      <c r="A363" t="s">
        <v>407</v>
      </c>
      <c r="B363" t="s">
        <v>1355</v>
      </c>
      <c r="C363">
        <v>2101</v>
      </c>
      <c r="D363">
        <v>1753</v>
      </c>
      <c r="E363" t="s">
        <v>1349</v>
      </c>
      <c r="F363" t="s">
        <v>1363</v>
      </c>
      <c r="G363" t="str">
        <f t="shared" si="10"/>
        <v>2101FY19</v>
      </c>
      <c r="H363" t="str">
        <f t="shared" si="11"/>
        <v>FY1921 Jan</v>
      </c>
    </row>
    <row r="364" spans="1:8" x14ac:dyDescent="0.35">
      <c r="A364" t="s">
        <v>407</v>
      </c>
      <c r="B364" t="s">
        <v>1355</v>
      </c>
      <c r="C364">
        <v>2102</v>
      </c>
      <c r="D364">
        <v>499</v>
      </c>
      <c r="E364" t="s">
        <v>1349</v>
      </c>
      <c r="F364" t="s">
        <v>1363</v>
      </c>
      <c r="G364" t="str">
        <f t="shared" si="10"/>
        <v>2102FY19</v>
      </c>
      <c r="H364" t="str">
        <f t="shared" si="11"/>
        <v>FY1921 Jan</v>
      </c>
    </row>
    <row r="365" spans="1:8" x14ac:dyDescent="0.35">
      <c r="A365" t="s">
        <v>407</v>
      </c>
      <c r="B365" t="s">
        <v>1355</v>
      </c>
      <c r="C365">
        <v>2103</v>
      </c>
      <c r="D365">
        <v>1482</v>
      </c>
      <c r="E365" t="s">
        <v>1349</v>
      </c>
      <c r="F365" t="s">
        <v>1363</v>
      </c>
      <c r="G365" t="str">
        <f t="shared" si="10"/>
        <v>2103FY19</v>
      </c>
      <c r="H365" t="str">
        <f t="shared" si="11"/>
        <v>FY1921 Jan</v>
      </c>
    </row>
    <row r="366" spans="1:8" x14ac:dyDescent="0.35">
      <c r="A366" t="s">
        <v>407</v>
      </c>
      <c r="B366" t="s">
        <v>1355</v>
      </c>
      <c r="C366">
        <v>2104</v>
      </c>
      <c r="D366">
        <v>1371</v>
      </c>
      <c r="E366" t="s">
        <v>1349</v>
      </c>
      <c r="F366" t="s">
        <v>1363</v>
      </c>
      <c r="G366" t="str">
        <f t="shared" si="10"/>
        <v>2104FY19</v>
      </c>
      <c r="H366" t="str">
        <f t="shared" si="11"/>
        <v>FY1921 Jan</v>
      </c>
    </row>
    <row r="367" spans="1:8" x14ac:dyDescent="0.35">
      <c r="A367" t="s">
        <v>407</v>
      </c>
      <c r="B367" t="s">
        <v>1355</v>
      </c>
      <c r="C367">
        <v>2105</v>
      </c>
      <c r="D367">
        <v>4856</v>
      </c>
      <c r="E367" t="s">
        <v>1349</v>
      </c>
      <c r="F367" t="s">
        <v>1362</v>
      </c>
      <c r="G367" t="str">
        <f t="shared" si="10"/>
        <v>2105FY19</v>
      </c>
      <c r="H367" t="str">
        <f t="shared" si="11"/>
        <v>FY1921 Feb</v>
      </c>
    </row>
    <row r="368" spans="1:8" x14ac:dyDescent="0.35">
      <c r="A368" t="s">
        <v>407</v>
      </c>
      <c r="B368" t="s">
        <v>1355</v>
      </c>
      <c r="C368">
        <v>2106</v>
      </c>
      <c r="D368">
        <v>457</v>
      </c>
      <c r="E368" t="s">
        <v>1349</v>
      </c>
      <c r="F368" t="s">
        <v>1362</v>
      </c>
      <c r="G368" t="str">
        <f t="shared" si="10"/>
        <v>2106FY19</v>
      </c>
      <c r="H368" t="str">
        <f t="shared" si="11"/>
        <v>FY1921 Feb</v>
      </c>
    </row>
    <row r="369" spans="1:8" x14ac:dyDescent="0.35">
      <c r="A369" t="s">
        <v>407</v>
      </c>
      <c r="B369" t="s">
        <v>1355</v>
      </c>
      <c r="C369">
        <v>2107</v>
      </c>
      <c r="D369">
        <v>2631</v>
      </c>
      <c r="E369" t="s">
        <v>1349</v>
      </c>
      <c r="F369" t="s">
        <v>1362</v>
      </c>
      <c r="G369" t="str">
        <f t="shared" si="10"/>
        <v>2107FY19</v>
      </c>
      <c r="H369" t="str">
        <f t="shared" si="11"/>
        <v>FY1921 Feb</v>
      </c>
    </row>
    <row r="370" spans="1:8" x14ac:dyDescent="0.35">
      <c r="A370" t="s">
        <v>407</v>
      </c>
      <c r="B370" t="s">
        <v>1355</v>
      </c>
      <c r="C370">
        <v>2108</v>
      </c>
      <c r="D370">
        <v>664</v>
      </c>
      <c r="E370" t="s">
        <v>1349</v>
      </c>
      <c r="F370" t="s">
        <v>1362</v>
      </c>
      <c r="G370" t="str">
        <f t="shared" si="10"/>
        <v>2108FY19</v>
      </c>
      <c r="H370" t="str">
        <f t="shared" si="11"/>
        <v>FY1921 Feb</v>
      </c>
    </row>
    <row r="371" spans="1:8" x14ac:dyDescent="0.35">
      <c r="A371" t="s">
        <v>408</v>
      </c>
      <c r="B371" t="s">
        <v>452</v>
      </c>
      <c r="C371">
        <v>2015</v>
      </c>
      <c r="D371">
        <v>18</v>
      </c>
      <c r="E371" t="s">
        <v>1348</v>
      </c>
      <c r="F371" t="s">
        <v>1364</v>
      </c>
      <c r="G371" t="str">
        <f t="shared" si="10"/>
        <v>2015FY20</v>
      </c>
      <c r="H371" t="str">
        <f t="shared" si="11"/>
        <v>FY2020 Apr</v>
      </c>
    </row>
    <row r="372" spans="1:8" x14ac:dyDescent="0.35">
      <c r="A372" t="s">
        <v>408</v>
      </c>
      <c r="B372" t="s">
        <v>452</v>
      </c>
      <c r="C372">
        <v>2020</v>
      </c>
      <c r="D372">
        <v>5</v>
      </c>
      <c r="E372" t="s">
        <v>1348</v>
      </c>
      <c r="F372" t="s">
        <v>1365</v>
      </c>
      <c r="G372" t="str">
        <f t="shared" si="10"/>
        <v>2020FY20</v>
      </c>
      <c r="H372" t="str">
        <f t="shared" si="11"/>
        <v>FY2020 May</v>
      </c>
    </row>
    <row r="373" spans="1:8" x14ac:dyDescent="0.35">
      <c r="A373" t="s">
        <v>408</v>
      </c>
      <c r="B373" t="s">
        <v>452</v>
      </c>
      <c r="C373">
        <v>2022</v>
      </c>
      <c r="D373">
        <v>3</v>
      </c>
      <c r="E373" t="s">
        <v>1348</v>
      </c>
      <c r="F373" t="s">
        <v>1366</v>
      </c>
      <c r="G373" t="str">
        <f t="shared" si="10"/>
        <v>2022FY20</v>
      </c>
      <c r="H373" t="str">
        <f t="shared" si="11"/>
        <v>FY2020 Jun</v>
      </c>
    </row>
    <row r="374" spans="1:8" x14ac:dyDescent="0.35">
      <c r="A374" t="s">
        <v>408</v>
      </c>
      <c r="B374" t="s">
        <v>452</v>
      </c>
      <c r="C374">
        <v>2023</v>
      </c>
      <c r="D374">
        <v>15</v>
      </c>
      <c r="E374" t="s">
        <v>1348</v>
      </c>
      <c r="F374" t="s">
        <v>1366</v>
      </c>
      <c r="G374" t="str">
        <f t="shared" si="10"/>
        <v>2023FY20</v>
      </c>
      <c r="H374" t="str">
        <f t="shared" si="11"/>
        <v>FY2020 Jun</v>
      </c>
    </row>
    <row r="375" spans="1:8" x14ac:dyDescent="0.35">
      <c r="A375" t="s">
        <v>408</v>
      </c>
      <c r="B375" t="s">
        <v>452</v>
      </c>
      <c r="C375">
        <v>2024</v>
      </c>
      <c r="D375">
        <v>23</v>
      </c>
      <c r="E375" t="s">
        <v>1348</v>
      </c>
      <c r="F375" t="s">
        <v>1366</v>
      </c>
      <c r="G375" t="str">
        <f t="shared" si="10"/>
        <v>2024FY20</v>
      </c>
      <c r="H375" t="str">
        <f t="shared" si="11"/>
        <v>FY2020 Jun</v>
      </c>
    </row>
    <row r="376" spans="1:8" x14ac:dyDescent="0.35">
      <c r="A376" t="s">
        <v>408</v>
      </c>
      <c r="B376" t="s">
        <v>452</v>
      </c>
      <c r="C376">
        <v>2025</v>
      </c>
      <c r="D376">
        <v>25</v>
      </c>
      <c r="E376" t="s">
        <v>1348</v>
      </c>
      <c r="F376" t="s">
        <v>1366</v>
      </c>
      <c r="G376" t="str">
        <f t="shared" si="10"/>
        <v>2025FY20</v>
      </c>
      <c r="H376" t="str">
        <f t="shared" si="11"/>
        <v>FY2020 Jun</v>
      </c>
    </row>
    <row r="377" spans="1:8" x14ac:dyDescent="0.35">
      <c r="A377" t="s">
        <v>408</v>
      </c>
      <c r="B377" t="s">
        <v>452</v>
      </c>
      <c r="C377">
        <v>2027</v>
      </c>
      <c r="D377">
        <v>9</v>
      </c>
      <c r="E377" t="s">
        <v>1348</v>
      </c>
      <c r="F377" t="s">
        <v>1367</v>
      </c>
      <c r="G377" t="str">
        <f t="shared" si="10"/>
        <v>2027FY20</v>
      </c>
      <c r="H377" t="str">
        <f t="shared" si="11"/>
        <v>FY2020 Jul</v>
      </c>
    </row>
    <row r="378" spans="1:8" x14ac:dyDescent="0.35">
      <c r="A378" t="s">
        <v>408</v>
      </c>
      <c r="B378" t="s">
        <v>452</v>
      </c>
      <c r="C378">
        <v>2028</v>
      </c>
      <c r="D378">
        <v>5</v>
      </c>
      <c r="E378" t="s">
        <v>1348</v>
      </c>
      <c r="F378" t="s">
        <v>1367</v>
      </c>
      <c r="G378" t="str">
        <f t="shared" si="10"/>
        <v>2028FY20</v>
      </c>
      <c r="H378" t="str">
        <f t="shared" si="11"/>
        <v>FY2020 Jul</v>
      </c>
    </row>
    <row r="379" spans="1:8" x14ac:dyDescent="0.35">
      <c r="A379" t="s">
        <v>408</v>
      </c>
      <c r="B379" t="s">
        <v>452</v>
      </c>
      <c r="C379">
        <v>2029</v>
      </c>
      <c r="D379">
        <v>10</v>
      </c>
      <c r="E379" t="s">
        <v>1348</v>
      </c>
      <c r="F379" t="s">
        <v>1367</v>
      </c>
      <c r="G379" t="str">
        <f t="shared" si="10"/>
        <v>2029FY20</v>
      </c>
      <c r="H379" t="str">
        <f t="shared" si="11"/>
        <v>FY2020 Jul</v>
      </c>
    </row>
    <row r="380" spans="1:8" x14ac:dyDescent="0.35">
      <c r="A380" t="s">
        <v>408</v>
      </c>
      <c r="B380" t="s">
        <v>452</v>
      </c>
      <c r="C380">
        <v>2032</v>
      </c>
      <c r="D380">
        <v>20</v>
      </c>
      <c r="E380" t="s">
        <v>1348</v>
      </c>
      <c r="F380" t="s">
        <v>1368</v>
      </c>
      <c r="G380" t="str">
        <f t="shared" si="10"/>
        <v>2032FY20</v>
      </c>
      <c r="H380" t="str">
        <f t="shared" si="11"/>
        <v>FY2020 Aug</v>
      </c>
    </row>
    <row r="381" spans="1:8" x14ac:dyDescent="0.35">
      <c r="A381" t="s">
        <v>408</v>
      </c>
      <c r="B381" t="s">
        <v>452</v>
      </c>
      <c r="C381">
        <v>2035</v>
      </c>
      <c r="D381">
        <v>26</v>
      </c>
      <c r="E381" t="s">
        <v>1348</v>
      </c>
      <c r="F381" t="s">
        <v>1368</v>
      </c>
      <c r="G381" t="str">
        <f t="shared" si="10"/>
        <v>2035FY20</v>
      </c>
      <c r="H381" t="str">
        <f t="shared" si="11"/>
        <v>FY2020 Aug</v>
      </c>
    </row>
    <row r="382" spans="1:8" x14ac:dyDescent="0.35">
      <c r="A382" t="s">
        <v>408</v>
      </c>
      <c r="B382" t="s">
        <v>452</v>
      </c>
      <c r="C382">
        <v>2036</v>
      </c>
      <c r="D382">
        <v>5</v>
      </c>
      <c r="E382" t="s">
        <v>1348</v>
      </c>
      <c r="F382" t="s">
        <v>1369</v>
      </c>
      <c r="G382" t="str">
        <f t="shared" si="10"/>
        <v>2036FY20</v>
      </c>
      <c r="H382" t="str">
        <f t="shared" si="11"/>
        <v>FY2020 Sep</v>
      </c>
    </row>
    <row r="383" spans="1:8" x14ac:dyDescent="0.35">
      <c r="A383" t="s">
        <v>408</v>
      </c>
      <c r="B383" t="s">
        <v>452</v>
      </c>
      <c r="C383">
        <v>2041</v>
      </c>
      <c r="D383">
        <v>8</v>
      </c>
      <c r="E383" t="s">
        <v>1348</v>
      </c>
      <c r="F383" t="s">
        <v>1370</v>
      </c>
      <c r="G383" t="str">
        <f t="shared" si="10"/>
        <v>2041FY20</v>
      </c>
      <c r="H383" t="str">
        <f t="shared" si="11"/>
        <v>FY2020 Oct</v>
      </c>
    </row>
    <row r="384" spans="1:8" x14ac:dyDescent="0.35">
      <c r="A384" t="s">
        <v>408</v>
      </c>
      <c r="B384" t="s">
        <v>452</v>
      </c>
      <c r="C384">
        <v>2042</v>
      </c>
      <c r="D384">
        <v>5</v>
      </c>
      <c r="E384" t="s">
        <v>1348</v>
      </c>
      <c r="F384" t="s">
        <v>1370</v>
      </c>
      <c r="G384" t="str">
        <f t="shared" si="10"/>
        <v>2042FY20</v>
      </c>
      <c r="H384" t="str">
        <f t="shared" si="11"/>
        <v>FY2020 Oct</v>
      </c>
    </row>
    <row r="385" spans="1:8" x14ac:dyDescent="0.35">
      <c r="A385" t="s">
        <v>408</v>
      </c>
      <c r="B385" t="s">
        <v>452</v>
      </c>
      <c r="C385">
        <v>2044</v>
      </c>
      <c r="D385">
        <v>13</v>
      </c>
      <c r="E385" t="s">
        <v>1348</v>
      </c>
      <c r="F385" t="s">
        <v>1371</v>
      </c>
      <c r="G385" t="str">
        <f t="shared" si="10"/>
        <v>2044FY20</v>
      </c>
      <c r="H385" t="str">
        <f t="shared" si="11"/>
        <v>FY2020 Nov</v>
      </c>
    </row>
    <row r="386" spans="1:8" x14ac:dyDescent="0.35">
      <c r="A386" t="s">
        <v>408</v>
      </c>
      <c r="B386" t="s">
        <v>452</v>
      </c>
      <c r="C386">
        <v>2045</v>
      </c>
      <c r="D386">
        <v>5</v>
      </c>
      <c r="E386" t="s">
        <v>1348</v>
      </c>
      <c r="F386" t="s">
        <v>1371</v>
      </c>
      <c r="G386" t="str">
        <f t="shared" si="10"/>
        <v>2045FY20</v>
      </c>
      <c r="H386" t="str">
        <f t="shared" si="11"/>
        <v>FY2020 Nov</v>
      </c>
    </row>
    <row r="387" spans="1:8" x14ac:dyDescent="0.35">
      <c r="A387" t="s">
        <v>408</v>
      </c>
      <c r="B387" t="s">
        <v>452</v>
      </c>
      <c r="C387">
        <v>2047</v>
      </c>
      <c r="D387">
        <v>5</v>
      </c>
      <c r="E387" t="s">
        <v>1348</v>
      </c>
      <c r="F387" t="s">
        <v>1371</v>
      </c>
      <c r="G387" t="str">
        <f t="shared" ref="G387:G450" si="12">C387&amp;E387</f>
        <v>2047FY20</v>
      </c>
      <c r="H387" t="str">
        <f t="shared" ref="H387:H450" si="13">E387&amp;F387</f>
        <v>FY2020 Nov</v>
      </c>
    </row>
    <row r="388" spans="1:8" x14ac:dyDescent="0.35">
      <c r="A388" t="s">
        <v>408</v>
      </c>
      <c r="B388" t="s">
        <v>452</v>
      </c>
      <c r="C388">
        <v>2049</v>
      </c>
      <c r="D388">
        <v>30</v>
      </c>
      <c r="E388" t="s">
        <v>1348</v>
      </c>
      <c r="F388" t="s">
        <v>1372</v>
      </c>
      <c r="G388" t="str">
        <f t="shared" si="12"/>
        <v>2049FY20</v>
      </c>
      <c r="H388" t="str">
        <f t="shared" si="13"/>
        <v>FY2020 Dec</v>
      </c>
    </row>
    <row r="389" spans="1:8" x14ac:dyDescent="0.35">
      <c r="A389" t="s">
        <v>408</v>
      </c>
      <c r="B389" t="s">
        <v>452</v>
      </c>
      <c r="C389">
        <v>2051</v>
      </c>
      <c r="D389">
        <v>5</v>
      </c>
      <c r="E389" t="s">
        <v>1348</v>
      </c>
      <c r="F389" t="s">
        <v>1372</v>
      </c>
      <c r="G389" t="str">
        <f t="shared" si="12"/>
        <v>2051FY20</v>
      </c>
      <c r="H389" t="str">
        <f t="shared" si="13"/>
        <v>FY2020 Dec</v>
      </c>
    </row>
    <row r="390" spans="1:8" x14ac:dyDescent="0.35">
      <c r="A390" t="s">
        <v>408</v>
      </c>
      <c r="B390" t="s">
        <v>452</v>
      </c>
      <c r="C390">
        <v>2052</v>
      </c>
      <c r="D390">
        <v>10</v>
      </c>
      <c r="E390" t="s">
        <v>1348</v>
      </c>
      <c r="F390" t="s">
        <v>1372</v>
      </c>
      <c r="G390" t="str">
        <f t="shared" si="12"/>
        <v>2052FY20</v>
      </c>
      <c r="H390" t="str">
        <f t="shared" si="13"/>
        <v>FY2020 Dec</v>
      </c>
    </row>
    <row r="391" spans="1:8" x14ac:dyDescent="0.35">
      <c r="A391" t="s">
        <v>408</v>
      </c>
      <c r="B391" t="s">
        <v>452</v>
      </c>
      <c r="C391">
        <v>2103</v>
      </c>
      <c r="D391">
        <v>15</v>
      </c>
      <c r="E391" t="s">
        <v>1348</v>
      </c>
      <c r="F391" t="s">
        <v>1363</v>
      </c>
      <c r="G391" t="str">
        <f t="shared" si="12"/>
        <v>2103FY20</v>
      </c>
      <c r="H391" t="str">
        <f t="shared" si="13"/>
        <v>FY2021 Jan</v>
      </c>
    </row>
    <row r="392" spans="1:8" x14ac:dyDescent="0.35">
      <c r="A392" t="s">
        <v>408</v>
      </c>
      <c r="B392" t="s">
        <v>452</v>
      </c>
      <c r="C392">
        <v>2105</v>
      </c>
      <c r="D392">
        <v>5</v>
      </c>
      <c r="E392" t="s">
        <v>1348</v>
      </c>
      <c r="F392" t="s">
        <v>1362</v>
      </c>
      <c r="G392" t="str">
        <f t="shared" si="12"/>
        <v>2105FY20</v>
      </c>
      <c r="H392" t="str">
        <f t="shared" si="13"/>
        <v>FY2021 Feb</v>
      </c>
    </row>
    <row r="393" spans="1:8" x14ac:dyDescent="0.35">
      <c r="A393" t="s">
        <v>408</v>
      </c>
      <c r="B393" t="s">
        <v>452</v>
      </c>
      <c r="C393">
        <v>2107</v>
      </c>
      <c r="D393">
        <v>20</v>
      </c>
      <c r="E393" t="s">
        <v>1348</v>
      </c>
      <c r="F393" t="s">
        <v>1362</v>
      </c>
      <c r="G393" t="str">
        <f t="shared" si="12"/>
        <v>2107FY20</v>
      </c>
      <c r="H393" t="str">
        <f t="shared" si="13"/>
        <v>FY2021 Feb</v>
      </c>
    </row>
    <row r="394" spans="1:8" x14ac:dyDescent="0.35">
      <c r="A394" t="s">
        <v>408</v>
      </c>
      <c r="B394" t="s">
        <v>452</v>
      </c>
      <c r="C394">
        <v>2112</v>
      </c>
      <c r="D394">
        <v>25</v>
      </c>
      <c r="E394" t="s">
        <v>1348</v>
      </c>
      <c r="F394" t="s">
        <v>1356</v>
      </c>
      <c r="G394" t="str">
        <f t="shared" si="12"/>
        <v>2112FY20</v>
      </c>
      <c r="H394" t="str">
        <f t="shared" si="13"/>
        <v>FY2021 Mar</v>
      </c>
    </row>
    <row r="395" spans="1:8" x14ac:dyDescent="0.35">
      <c r="A395" t="s">
        <v>408</v>
      </c>
      <c r="B395" t="s">
        <v>452</v>
      </c>
      <c r="C395">
        <v>2115</v>
      </c>
      <c r="D395">
        <v>5</v>
      </c>
      <c r="E395" t="s">
        <v>1348</v>
      </c>
      <c r="F395" t="s">
        <v>1357</v>
      </c>
      <c r="G395" t="str">
        <f t="shared" si="12"/>
        <v>2115FY20</v>
      </c>
      <c r="H395" t="str">
        <f t="shared" si="13"/>
        <v>FY2021 Apr</v>
      </c>
    </row>
    <row r="396" spans="1:8" x14ac:dyDescent="0.35">
      <c r="A396" t="s">
        <v>408</v>
      </c>
      <c r="B396" t="s">
        <v>452</v>
      </c>
      <c r="C396">
        <v>2119</v>
      </c>
      <c r="D396">
        <v>10</v>
      </c>
      <c r="E396" t="s">
        <v>1348</v>
      </c>
      <c r="F396" t="s">
        <v>1358</v>
      </c>
      <c r="G396" t="str">
        <f t="shared" si="12"/>
        <v>2119FY20</v>
      </c>
      <c r="H396" t="str">
        <f t="shared" si="13"/>
        <v>FY2021 May</v>
      </c>
    </row>
    <row r="397" spans="1:8" x14ac:dyDescent="0.35">
      <c r="A397" t="s">
        <v>408</v>
      </c>
      <c r="B397" t="s">
        <v>452</v>
      </c>
      <c r="C397">
        <v>2120</v>
      </c>
      <c r="D397">
        <v>5</v>
      </c>
      <c r="E397" t="s">
        <v>1348</v>
      </c>
      <c r="F397" t="s">
        <v>1358</v>
      </c>
      <c r="G397" t="str">
        <f t="shared" si="12"/>
        <v>2120FY20</v>
      </c>
      <c r="H397" t="str">
        <f t="shared" si="13"/>
        <v>FY2021 May</v>
      </c>
    </row>
    <row r="398" spans="1:8" x14ac:dyDescent="0.35">
      <c r="A398" t="s">
        <v>408</v>
      </c>
      <c r="B398" t="s">
        <v>452</v>
      </c>
      <c r="C398">
        <v>2122</v>
      </c>
      <c r="D398">
        <v>5</v>
      </c>
      <c r="E398" t="s">
        <v>1348</v>
      </c>
      <c r="F398" t="s">
        <v>1358</v>
      </c>
      <c r="G398" t="str">
        <f t="shared" si="12"/>
        <v>2122FY20</v>
      </c>
      <c r="H398" t="str">
        <f t="shared" si="13"/>
        <v>FY2021 May</v>
      </c>
    </row>
    <row r="399" spans="1:8" x14ac:dyDescent="0.35">
      <c r="A399" t="s">
        <v>408</v>
      </c>
      <c r="B399" t="s">
        <v>452</v>
      </c>
      <c r="C399">
        <v>2129</v>
      </c>
      <c r="D399">
        <v>20</v>
      </c>
      <c r="E399" t="s">
        <v>1348</v>
      </c>
      <c r="F399" t="s">
        <v>1360</v>
      </c>
      <c r="G399" t="str">
        <f t="shared" si="12"/>
        <v>2129FY20</v>
      </c>
      <c r="H399" t="str">
        <f t="shared" si="13"/>
        <v>FY2021 Jul</v>
      </c>
    </row>
    <row r="400" spans="1:8" x14ac:dyDescent="0.35">
      <c r="A400" t="s">
        <v>408</v>
      </c>
      <c r="B400" t="s">
        <v>1353</v>
      </c>
      <c r="C400">
        <v>2015</v>
      </c>
      <c r="D400">
        <v>38</v>
      </c>
      <c r="E400" t="s">
        <v>1348</v>
      </c>
      <c r="F400" t="s">
        <v>1364</v>
      </c>
      <c r="G400" t="str">
        <f t="shared" si="12"/>
        <v>2015FY20</v>
      </c>
      <c r="H400" t="str">
        <f t="shared" si="13"/>
        <v>FY2020 Apr</v>
      </c>
    </row>
    <row r="401" spans="1:8" x14ac:dyDescent="0.35">
      <c r="A401" t="s">
        <v>408</v>
      </c>
      <c r="B401" t="s">
        <v>1353</v>
      </c>
      <c r="C401">
        <v>2017</v>
      </c>
      <c r="D401">
        <v>3</v>
      </c>
      <c r="E401" t="s">
        <v>1348</v>
      </c>
      <c r="F401" t="s">
        <v>1364</v>
      </c>
      <c r="G401" t="str">
        <f t="shared" si="12"/>
        <v>2017FY20</v>
      </c>
      <c r="H401" t="str">
        <f t="shared" si="13"/>
        <v>FY2020 Apr</v>
      </c>
    </row>
    <row r="402" spans="1:8" x14ac:dyDescent="0.35">
      <c r="A402" t="s">
        <v>408</v>
      </c>
      <c r="B402" t="s">
        <v>1353</v>
      </c>
      <c r="C402">
        <v>2018</v>
      </c>
      <c r="D402">
        <v>1</v>
      </c>
      <c r="E402" t="s">
        <v>1348</v>
      </c>
      <c r="F402" t="s">
        <v>1365</v>
      </c>
      <c r="G402" t="str">
        <f t="shared" si="12"/>
        <v>2018FY20</v>
      </c>
      <c r="H402" t="str">
        <f t="shared" si="13"/>
        <v>FY2020 May</v>
      </c>
    </row>
    <row r="403" spans="1:8" x14ac:dyDescent="0.35">
      <c r="A403" t="s">
        <v>408</v>
      </c>
      <c r="B403" t="s">
        <v>1353</v>
      </c>
      <c r="C403">
        <v>2020</v>
      </c>
      <c r="D403">
        <v>26</v>
      </c>
      <c r="E403" t="s">
        <v>1348</v>
      </c>
      <c r="F403" t="s">
        <v>1365</v>
      </c>
      <c r="G403" t="str">
        <f t="shared" si="12"/>
        <v>2020FY20</v>
      </c>
      <c r="H403" t="str">
        <f t="shared" si="13"/>
        <v>FY2020 May</v>
      </c>
    </row>
    <row r="404" spans="1:8" x14ac:dyDescent="0.35">
      <c r="A404" t="s">
        <v>408</v>
      </c>
      <c r="B404" t="s">
        <v>1353</v>
      </c>
      <c r="C404">
        <v>2021</v>
      </c>
      <c r="D404">
        <v>12</v>
      </c>
      <c r="E404" t="s">
        <v>1348</v>
      </c>
      <c r="F404" t="s">
        <v>1365</v>
      </c>
      <c r="G404" t="str">
        <f t="shared" si="12"/>
        <v>2021FY20</v>
      </c>
      <c r="H404" t="str">
        <f t="shared" si="13"/>
        <v>FY2020 May</v>
      </c>
    </row>
    <row r="405" spans="1:8" x14ac:dyDescent="0.35">
      <c r="A405" t="s">
        <v>408</v>
      </c>
      <c r="B405" t="s">
        <v>1353</v>
      </c>
      <c r="C405">
        <v>2022</v>
      </c>
      <c r="D405">
        <v>7</v>
      </c>
      <c r="E405" t="s">
        <v>1348</v>
      </c>
      <c r="F405" t="s">
        <v>1366</v>
      </c>
      <c r="G405" t="str">
        <f t="shared" si="12"/>
        <v>2022FY20</v>
      </c>
      <c r="H405" t="str">
        <f t="shared" si="13"/>
        <v>FY2020 Jun</v>
      </c>
    </row>
    <row r="406" spans="1:8" x14ac:dyDescent="0.35">
      <c r="A406" t="s">
        <v>408</v>
      </c>
      <c r="B406" t="s">
        <v>1353</v>
      </c>
      <c r="C406">
        <v>2023</v>
      </c>
      <c r="D406">
        <v>8</v>
      </c>
      <c r="E406" t="s">
        <v>1348</v>
      </c>
      <c r="F406" t="s">
        <v>1366</v>
      </c>
      <c r="G406" t="str">
        <f t="shared" si="12"/>
        <v>2023FY20</v>
      </c>
      <c r="H406" t="str">
        <f t="shared" si="13"/>
        <v>FY2020 Jun</v>
      </c>
    </row>
    <row r="407" spans="1:8" x14ac:dyDescent="0.35">
      <c r="A407" t="s">
        <v>408</v>
      </c>
      <c r="B407" t="s">
        <v>1353</v>
      </c>
      <c r="C407">
        <v>2024</v>
      </c>
      <c r="D407">
        <v>38</v>
      </c>
      <c r="E407" t="s">
        <v>1348</v>
      </c>
      <c r="F407" t="s">
        <v>1366</v>
      </c>
      <c r="G407" t="str">
        <f t="shared" si="12"/>
        <v>2024FY20</v>
      </c>
      <c r="H407" t="str">
        <f t="shared" si="13"/>
        <v>FY2020 Jun</v>
      </c>
    </row>
    <row r="408" spans="1:8" x14ac:dyDescent="0.35">
      <c r="A408" t="s">
        <v>408</v>
      </c>
      <c r="B408" t="s">
        <v>1353</v>
      </c>
      <c r="C408">
        <v>2025</v>
      </c>
      <c r="D408">
        <v>30</v>
      </c>
      <c r="E408" t="s">
        <v>1348</v>
      </c>
      <c r="F408" t="s">
        <v>1366</v>
      </c>
      <c r="G408" t="str">
        <f t="shared" si="12"/>
        <v>2025FY20</v>
      </c>
      <c r="H408" t="str">
        <f t="shared" si="13"/>
        <v>FY2020 Jun</v>
      </c>
    </row>
    <row r="409" spans="1:8" x14ac:dyDescent="0.35">
      <c r="A409" t="s">
        <v>408</v>
      </c>
      <c r="B409" t="s">
        <v>1353</v>
      </c>
      <c r="C409">
        <v>2026</v>
      </c>
      <c r="D409">
        <v>29</v>
      </c>
      <c r="E409" t="s">
        <v>1348</v>
      </c>
      <c r="F409" t="s">
        <v>1366</v>
      </c>
      <c r="G409" t="str">
        <f t="shared" si="12"/>
        <v>2026FY20</v>
      </c>
      <c r="H409" t="str">
        <f t="shared" si="13"/>
        <v>FY2020 Jun</v>
      </c>
    </row>
    <row r="410" spans="1:8" x14ac:dyDescent="0.35">
      <c r="A410" t="s">
        <v>408</v>
      </c>
      <c r="B410" t="s">
        <v>1353</v>
      </c>
      <c r="C410">
        <v>2029</v>
      </c>
      <c r="D410">
        <v>25</v>
      </c>
      <c r="E410" t="s">
        <v>1348</v>
      </c>
      <c r="F410" t="s">
        <v>1367</v>
      </c>
      <c r="G410" t="str">
        <f t="shared" si="12"/>
        <v>2029FY20</v>
      </c>
      <c r="H410" t="str">
        <f t="shared" si="13"/>
        <v>FY2020 Jul</v>
      </c>
    </row>
    <row r="411" spans="1:8" x14ac:dyDescent="0.35">
      <c r="A411" t="s">
        <v>408</v>
      </c>
      <c r="B411" t="s">
        <v>1353</v>
      </c>
      <c r="C411">
        <v>2030</v>
      </c>
      <c r="D411">
        <v>8</v>
      </c>
      <c r="E411" t="s">
        <v>1348</v>
      </c>
      <c r="F411" t="s">
        <v>1367</v>
      </c>
      <c r="G411" t="str">
        <f t="shared" si="12"/>
        <v>2030FY20</v>
      </c>
      <c r="H411" t="str">
        <f t="shared" si="13"/>
        <v>FY2020 Jul</v>
      </c>
    </row>
    <row r="412" spans="1:8" x14ac:dyDescent="0.35">
      <c r="A412" t="s">
        <v>408</v>
      </c>
      <c r="B412" t="s">
        <v>1353</v>
      </c>
      <c r="C412">
        <v>2032</v>
      </c>
      <c r="D412">
        <v>23</v>
      </c>
      <c r="E412" t="s">
        <v>1348</v>
      </c>
      <c r="F412" t="s">
        <v>1368</v>
      </c>
      <c r="G412" t="str">
        <f t="shared" si="12"/>
        <v>2032FY20</v>
      </c>
      <c r="H412" t="str">
        <f t="shared" si="13"/>
        <v>FY2020 Aug</v>
      </c>
    </row>
    <row r="413" spans="1:8" x14ac:dyDescent="0.35">
      <c r="A413" t="s">
        <v>408</v>
      </c>
      <c r="B413" t="s">
        <v>1353</v>
      </c>
      <c r="C413">
        <v>2034</v>
      </c>
      <c r="D413">
        <v>4</v>
      </c>
      <c r="E413" t="s">
        <v>1348</v>
      </c>
      <c r="F413" t="s">
        <v>1368</v>
      </c>
      <c r="G413" t="str">
        <f t="shared" si="12"/>
        <v>2034FY20</v>
      </c>
      <c r="H413" t="str">
        <f t="shared" si="13"/>
        <v>FY2020 Aug</v>
      </c>
    </row>
    <row r="414" spans="1:8" x14ac:dyDescent="0.35">
      <c r="A414" t="s">
        <v>408</v>
      </c>
      <c r="B414" t="s">
        <v>1353</v>
      </c>
      <c r="C414">
        <v>2035</v>
      </c>
      <c r="D414">
        <v>39</v>
      </c>
      <c r="E414" t="s">
        <v>1348</v>
      </c>
      <c r="F414" t="s">
        <v>1368</v>
      </c>
      <c r="G414" t="str">
        <f t="shared" si="12"/>
        <v>2035FY20</v>
      </c>
      <c r="H414" t="str">
        <f t="shared" si="13"/>
        <v>FY2020 Aug</v>
      </c>
    </row>
    <row r="415" spans="1:8" x14ac:dyDescent="0.35">
      <c r="A415" t="s">
        <v>408</v>
      </c>
      <c r="B415" t="s">
        <v>1353</v>
      </c>
      <c r="C415">
        <v>2036</v>
      </c>
      <c r="D415">
        <v>24</v>
      </c>
      <c r="E415" t="s">
        <v>1348</v>
      </c>
      <c r="F415" t="s">
        <v>1369</v>
      </c>
      <c r="G415" t="str">
        <f t="shared" si="12"/>
        <v>2036FY20</v>
      </c>
      <c r="H415" t="str">
        <f t="shared" si="13"/>
        <v>FY2020 Sep</v>
      </c>
    </row>
    <row r="416" spans="1:8" x14ac:dyDescent="0.35">
      <c r="A416" t="s">
        <v>408</v>
      </c>
      <c r="B416" t="s">
        <v>1353</v>
      </c>
      <c r="C416">
        <v>2037</v>
      </c>
      <c r="D416">
        <v>43</v>
      </c>
      <c r="E416" t="s">
        <v>1348</v>
      </c>
      <c r="F416" t="s">
        <v>1369</v>
      </c>
      <c r="G416" t="str">
        <f t="shared" si="12"/>
        <v>2037FY20</v>
      </c>
      <c r="H416" t="str">
        <f t="shared" si="13"/>
        <v>FY2020 Sep</v>
      </c>
    </row>
    <row r="417" spans="1:8" x14ac:dyDescent="0.35">
      <c r="A417" t="s">
        <v>408</v>
      </c>
      <c r="B417" t="s">
        <v>1353</v>
      </c>
      <c r="C417">
        <v>2038</v>
      </c>
      <c r="D417">
        <v>8</v>
      </c>
      <c r="E417" t="s">
        <v>1348</v>
      </c>
      <c r="F417" t="s">
        <v>1369</v>
      </c>
      <c r="G417" t="str">
        <f t="shared" si="12"/>
        <v>2038FY20</v>
      </c>
      <c r="H417" t="str">
        <f t="shared" si="13"/>
        <v>FY2020 Sep</v>
      </c>
    </row>
    <row r="418" spans="1:8" x14ac:dyDescent="0.35">
      <c r="A418" t="s">
        <v>408</v>
      </c>
      <c r="B418" t="s">
        <v>1353</v>
      </c>
      <c r="C418">
        <v>2039</v>
      </c>
      <c r="D418">
        <v>9</v>
      </c>
      <c r="E418" t="s">
        <v>1348</v>
      </c>
      <c r="F418" t="s">
        <v>1369</v>
      </c>
      <c r="G418" t="str">
        <f t="shared" si="12"/>
        <v>2039FY20</v>
      </c>
      <c r="H418" t="str">
        <f t="shared" si="13"/>
        <v>FY2020 Sep</v>
      </c>
    </row>
    <row r="419" spans="1:8" x14ac:dyDescent="0.35">
      <c r="A419" t="s">
        <v>408</v>
      </c>
      <c r="B419" t="s">
        <v>1353</v>
      </c>
      <c r="C419">
        <v>2040</v>
      </c>
      <c r="D419">
        <v>21</v>
      </c>
      <c r="E419" t="s">
        <v>1348</v>
      </c>
      <c r="F419" t="s">
        <v>1370</v>
      </c>
      <c r="G419" t="str">
        <f t="shared" si="12"/>
        <v>2040FY20</v>
      </c>
      <c r="H419" t="str">
        <f t="shared" si="13"/>
        <v>FY2020 Oct</v>
      </c>
    </row>
    <row r="420" spans="1:8" x14ac:dyDescent="0.35">
      <c r="A420" t="s">
        <v>408</v>
      </c>
      <c r="B420" t="s">
        <v>1353</v>
      </c>
      <c r="C420">
        <v>2041</v>
      </c>
      <c r="D420">
        <v>4</v>
      </c>
      <c r="E420" t="s">
        <v>1348</v>
      </c>
      <c r="F420" t="s">
        <v>1370</v>
      </c>
      <c r="G420" t="str">
        <f t="shared" si="12"/>
        <v>2041FY20</v>
      </c>
      <c r="H420" t="str">
        <f t="shared" si="13"/>
        <v>FY2020 Oct</v>
      </c>
    </row>
    <row r="421" spans="1:8" x14ac:dyDescent="0.35">
      <c r="A421" t="s">
        <v>408</v>
      </c>
      <c r="B421" t="s">
        <v>1353</v>
      </c>
      <c r="C421">
        <v>2042</v>
      </c>
      <c r="D421">
        <v>3</v>
      </c>
      <c r="E421" t="s">
        <v>1348</v>
      </c>
      <c r="F421" t="s">
        <v>1370</v>
      </c>
      <c r="G421" t="str">
        <f t="shared" si="12"/>
        <v>2042FY20</v>
      </c>
      <c r="H421" t="str">
        <f t="shared" si="13"/>
        <v>FY2020 Oct</v>
      </c>
    </row>
    <row r="422" spans="1:8" x14ac:dyDescent="0.35">
      <c r="A422" t="s">
        <v>408</v>
      </c>
      <c r="B422" t="s">
        <v>1353</v>
      </c>
      <c r="C422">
        <v>2043</v>
      </c>
      <c r="D422">
        <v>3</v>
      </c>
      <c r="E422" t="s">
        <v>1348</v>
      </c>
      <c r="F422" t="s">
        <v>1370</v>
      </c>
      <c r="G422" t="str">
        <f t="shared" si="12"/>
        <v>2043FY20</v>
      </c>
      <c r="H422" t="str">
        <f t="shared" si="13"/>
        <v>FY2020 Oct</v>
      </c>
    </row>
    <row r="423" spans="1:8" x14ac:dyDescent="0.35">
      <c r="A423" t="s">
        <v>408</v>
      </c>
      <c r="B423" t="s">
        <v>1353</v>
      </c>
      <c r="C423">
        <v>2044</v>
      </c>
      <c r="D423">
        <v>10</v>
      </c>
      <c r="E423" t="s">
        <v>1348</v>
      </c>
      <c r="F423" t="s">
        <v>1371</v>
      </c>
      <c r="G423" t="str">
        <f t="shared" si="12"/>
        <v>2044FY20</v>
      </c>
      <c r="H423" t="str">
        <f t="shared" si="13"/>
        <v>FY2020 Nov</v>
      </c>
    </row>
    <row r="424" spans="1:8" x14ac:dyDescent="0.35">
      <c r="A424" t="s">
        <v>408</v>
      </c>
      <c r="B424" t="s">
        <v>1353</v>
      </c>
      <c r="C424">
        <v>2045</v>
      </c>
      <c r="D424">
        <v>7</v>
      </c>
      <c r="E424" t="s">
        <v>1348</v>
      </c>
      <c r="F424" t="s">
        <v>1371</v>
      </c>
      <c r="G424" t="str">
        <f t="shared" si="12"/>
        <v>2045FY20</v>
      </c>
      <c r="H424" t="str">
        <f t="shared" si="13"/>
        <v>FY2020 Nov</v>
      </c>
    </row>
    <row r="425" spans="1:8" x14ac:dyDescent="0.35">
      <c r="A425" t="s">
        <v>408</v>
      </c>
      <c r="B425" t="s">
        <v>1353</v>
      </c>
      <c r="C425">
        <v>2047</v>
      </c>
      <c r="D425">
        <v>2</v>
      </c>
      <c r="E425" t="s">
        <v>1348</v>
      </c>
      <c r="F425" t="s">
        <v>1371</v>
      </c>
      <c r="G425" t="str">
        <f t="shared" si="12"/>
        <v>2047FY20</v>
      </c>
      <c r="H425" t="str">
        <f t="shared" si="13"/>
        <v>FY2020 Nov</v>
      </c>
    </row>
    <row r="426" spans="1:8" x14ac:dyDescent="0.35">
      <c r="A426" t="s">
        <v>408</v>
      </c>
      <c r="B426" t="s">
        <v>1353</v>
      </c>
      <c r="C426">
        <v>2050</v>
      </c>
      <c r="D426">
        <v>16</v>
      </c>
      <c r="E426" t="s">
        <v>1348</v>
      </c>
      <c r="F426" t="s">
        <v>1372</v>
      </c>
      <c r="G426" t="str">
        <f t="shared" si="12"/>
        <v>2050FY20</v>
      </c>
      <c r="H426" t="str">
        <f t="shared" si="13"/>
        <v>FY2020 Dec</v>
      </c>
    </row>
    <row r="427" spans="1:8" x14ac:dyDescent="0.35">
      <c r="A427" t="s">
        <v>408</v>
      </c>
      <c r="B427" t="s">
        <v>1353</v>
      </c>
      <c r="C427">
        <v>2052</v>
      </c>
      <c r="D427">
        <v>14</v>
      </c>
      <c r="E427" t="s">
        <v>1348</v>
      </c>
      <c r="F427" t="s">
        <v>1372</v>
      </c>
      <c r="G427" t="str">
        <f t="shared" si="12"/>
        <v>2052FY20</v>
      </c>
      <c r="H427" t="str">
        <f t="shared" si="13"/>
        <v>FY2020 Dec</v>
      </c>
    </row>
    <row r="428" spans="1:8" x14ac:dyDescent="0.35">
      <c r="A428" t="s">
        <v>408</v>
      </c>
      <c r="B428" t="s">
        <v>1353</v>
      </c>
      <c r="C428">
        <v>2102</v>
      </c>
      <c r="D428">
        <v>2</v>
      </c>
      <c r="E428" t="s">
        <v>1348</v>
      </c>
      <c r="F428" t="s">
        <v>1363</v>
      </c>
      <c r="G428" t="str">
        <f t="shared" si="12"/>
        <v>2102FY20</v>
      </c>
      <c r="H428" t="str">
        <f t="shared" si="13"/>
        <v>FY2021 Jan</v>
      </c>
    </row>
    <row r="429" spans="1:8" x14ac:dyDescent="0.35">
      <c r="A429" t="s">
        <v>408</v>
      </c>
      <c r="B429" t="s">
        <v>1353</v>
      </c>
      <c r="C429">
        <v>2103</v>
      </c>
      <c r="D429">
        <v>6</v>
      </c>
      <c r="E429" t="s">
        <v>1348</v>
      </c>
      <c r="F429" t="s">
        <v>1363</v>
      </c>
      <c r="G429" t="str">
        <f t="shared" si="12"/>
        <v>2103FY20</v>
      </c>
      <c r="H429" t="str">
        <f t="shared" si="13"/>
        <v>FY2021 Jan</v>
      </c>
    </row>
    <row r="430" spans="1:8" x14ac:dyDescent="0.35">
      <c r="A430" t="s">
        <v>408</v>
      </c>
      <c r="B430" t="s">
        <v>1353</v>
      </c>
      <c r="C430">
        <v>2106</v>
      </c>
      <c r="D430">
        <v>41</v>
      </c>
      <c r="E430" t="s">
        <v>1348</v>
      </c>
      <c r="F430" t="s">
        <v>1362</v>
      </c>
      <c r="G430" t="str">
        <f t="shared" si="12"/>
        <v>2106FY20</v>
      </c>
      <c r="H430" t="str">
        <f t="shared" si="13"/>
        <v>FY2021 Feb</v>
      </c>
    </row>
    <row r="431" spans="1:8" x14ac:dyDescent="0.35">
      <c r="A431" t="s">
        <v>408</v>
      </c>
      <c r="B431" t="s">
        <v>1353</v>
      </c>
      <c r="C431">
        <v>2108</v>
      </c>
      <c r="D431">
        <v>42</v>
      </c>
      <c r="E431" t="s">
        <v>1348</v>
      </c>
      <c r="F431" t="s">
        <v>1362</v>
      </c>
      <c r="G431" t="str">
        <f t="shared" si="12"/>
        <v>2108FY20</v>
      </c>
      <c r="H431" t="str">
        <f t="shared" si="13"/>
        <v>FY2021 Feb</v>
      </c>
    </row>
    <row r="432" spans="1:8" x14ac:dyDescent="0.35">
      <c r="A432" t="s">
        <v>408</v>
      </c>
      <c r="B432" t="s">
        <v>1353</v>
      </c>
      <c r="C432">
        <v>2110</v>
      </c>
      <c r="D432">
        <v>8</v>
      </c>
      <c r="E432" t="s">
        <v>1348</v>
      </c>
      <c r="F432" t="s">
        <v>1356</v>
      </c>
      <c r="G432" t="str">
        <f t="shared" si="12"/>
        <v>2110FY20</v>
      </c>
      <c r="H432" t="str">
        <f t="shared" si="13"/>
        <v>FY2021 Mar</v>
      </c>
    </row>
    <row r="433" spans="1:8" x14ac:dyDescent="0.35">
      <c r="A433" t="s">
        <v>408</v>
      </c>
      <c r="B433" t="s">
        <v>1353</v>
      </c>
      <c r="C433">
        <v>2111</v>
      </c>
      <c r="D433">
        <v>2</v>
      </c>
      <c r="E433" t="s">
        <v>1348</v>
      </c>
      <c r="F433" t="s">
        <v>1356</v>
      </c>
      <c r="G433" t="str">
        <f t="shared" si="12"/>
        <v>2111FY20</v>
      </c>
      <c r="H433" t="str">
        <f t="shared" si="13"/>
        <v>FY2021 Mar</v>
      </c>
    </row>
    <row r="434" spans="1:8" x14ac:dyDescent="0.35">
      <c r="A434" t="s">
        <v>408</v>
      </c>
      <c r="B434" t="s">
        <v>1353</v>
      </c>
      <c r="C434">
        <v>2112</v>
      </c>
      <c r="D434">
        <v>16</v>
      </c>
      <c r="E434" t="s">
        <v>1348</v>
      </c>
      <c r="F434" t="s">
        <v>1356</v>
      </c>
      <c r="G434" t="str">
        <f t="shared" si="12"/>
        <v>2112FY20</v>
      </c>
      <c r="H434" t="str">
        <f t="shared" si="13"/>
        <v>FY2021 Mar</v>
      </c>
    </row>
    <row r="435" spans="1:8" x14ac:dyDescent="0.35">
      <c r="A435" t="s">
        <v>408</v>
      </c>
      <c r="B435" t="s">
        <v>1353</v>
      </c>
      <c r="C435">
        <v>2113</v>
      </c>
      <c r="D435">
        <v>29</v>
      </c>
      <c r="E435" t="s">
        <v>1348</v>
      </c>
      <c r="F435" t="s">
        <v>1356</v>
      </c>
      <c r="G435" t="str">
        <f t="shared" si="12"/>
        <v>2113FY20</v>
      </c>
      <c r="H435" t="str">
        <f t="shared" si="13"/>
        <v>FY2021 Mar</v>
      </c>
    </row>
    <row r="436" spans="1:8" x14ac:dyDescent="0.35">
      <c r="A436" t="s">
        <v>408</v>
      </c>
      <c r="B436" t="s">
        <v>1353</v>
      </c>
      <c r="C436">
        <v>2115</v>
      </c>
      <c r="D436">
        <v>12</v>
      </c>
      <c r="E436" t="s">
        <v>1348</v>
      </c>
      <c r="F436" t="s">
        <v>1357</v>
      </c>
      <c r="G436" t="str">
        <f t="shared" si="12"/>
        <v>2115FY20</v>
      </c>
      <c r="H436" t="str">
        <f t="shared" si="13"/>
        <v>FY2021 Apr</v>
      </c>
    </row>
    <row r="437" spans="1:8" x14ac:dyDescent="0.35">
      <c r="A437" t="s">
        <v>408</v>
      </c>
      <c r="B437" t="s">
        <v>1353</v>
      </c>
      <c r="C437">
        <v>2116</v>
      </c>
      <c r="D437">
        <v>7</v>
      </c>
      <c r="E437" t="s">
        <v>1348</v>
      </c>
      <c r="F437" t="s">
        <v>1357</v>
      </c>
      <c r="G437" t="str">
        <f t="shared" si="12"/>
        <v>2116FY20</v>
      </c>
      <c r="H437" t="str">
        <f t="shared" si="13"/>
        <v>FY2021 Apr</v>
      </c>
    </row>
    <row r="438" spans="1:8" x14ac:dyDescent="0.35">
      <c r="A438" t="s">
        <v>408</v>
      </c>
      <c r="B438" t="s">
        <v>1353</v>
      </c>
      <c r="C438">
        <v>2119</v>
      </c>
      <c r="D438">
        <v>8</v>
      </c>
      <c r="E438" t="s">
        <v>1348</v>
      </c>
      <c r="F438" t="s">
        <v>1358</v>
      </c>
      <c r="G438" t="str">
        <f t="shared" si="12"/>
        <v>2119FY20</v>
      </c>
      <c r="H438" t="str">
        <f t="shared" si="13"/>
        <v>FY2021 May</v>
      </c>
    </row>
    <row r="439" spans="1:8" x14ac:dyDescent="0.35">
      <c r="A439" t="s">
        <v>408</v>
      </c>
      <c r="B439" t="s">
        <v>1353</v>
      </c>
      <c r="C439">
        <v>2120</v>
      </c>
      <c r="D439">
        <v>3</v>
      </c>
      <c r="E439" t="s">
        <v>1348</v>
      </c>
      <c r="F439" t="s">
        <v>1358</v>
      </c>
      <c r="G439" t="str">
        <f t="shared" si="12"/>
        <v>2120FY20</v>
      </c>
      <c r="H439" t="str">
        <f t="shared" si="13"/>
        <v>FY2021 May</v>
      </c>
    </row>
    <row r="440" spans="1:8" x14ac:dyDescent="0.35">
      <c r="A440" t="s">
        <v>408</v>
      </c>
      <c r="B440" t="s">
        <v>440</v>
      </c>
      <c r="C440">
        <v>2013</v>
      </c>
      <c r="D440">
        <v>23</v>
      </c>
      <c r="E440" t="s">
        <v>1348</v>
      </c>
      <c r="F440" t="s">
        <v>1373</v>
      </c>
      <c r="G440" t="str">
        <f t="shared" si="12"/>
        <v>2013FY20</v>
      </c>
      <c r="H440" t="str">
        <f t="shared" si="13"/>
        <v>FY2020 Mar</v>
      </c>
    </row>
    <row r="441" spans="1:8" x14ac:dyDescent="0.35">
      <c r="A441" t="s">
        <v>408</v>
      </c>
      <c r="B441" t="s">
        <v>440</v>
      </c>
      <c r="C441">
        <v>2015</v>
      </c>
      <c r="D441">
        <v>29</v>
      </c>
      <c r="E441" t="s">
        <v>1348</v>
      </c>
      <c r="F441" t="s">
        <v>1364</v>
      </c>
      <c r="G441" t="str">
        <f t="shared" si="12"/>
        <v>2015FY20</v>
      </c>
      <c r="H441" t="str">
        <f t="shared" si="13"/>
        <v>FY2020 Apr</v>
      </c>
    </row>
    <row r="442" spans="1:8" x14ac:dyDescent="0.35">
      <c r="A442" t="s">
        <v>408</v>
      </c>
      <c r="B442" t="s">
        <v>440</v>
      </c>
      <c r="C442">
        <v>2016</v>
      </c>
      <c r="D442">
        <v>27</v>
      </c>
      <c r="E442" t="s">
        <v>1348</v>
      </c>
      <c r="F442" t="s">
        <v>1364</v>
      </c>
      <c r="G442" t="str">
        <f t="shared" si="12"/>
        <v>2016FY20</v>
      </c>
      <c r="H442" t="str">
        <f t="shared" si="13"/>
        <v>FY2020 Apr</v>
      </c>
    </row>
    <row r="443" spans="1:8" x14ac:dyDescent="0.35">
      <c r="A443" t="s">
        <v>408</v>
      </c>
      <c r="B443" t="s">
        <v>440</v>
      </c>
      <c r="C443">
        <v>2017</v>
      </c>
      <c r="D443">
        <v>14</v>
      </c>
      <c r="E443" t="s">
        <v>1348</v>
      </c>
      <c r="F443" t="s">
        <v>1364</v>
      </c>
      <c r="G443" t="str">
        <f t="shared" si="12"/>
        <v>2017FY20</v>
      </c>
      <c r="H443" t="str">
        <f t="shared" si="13"/>
        <v>FY2020 Apr</v>
      </c>
    </row>
    <row r="444" spans="1:8" x14ac:dyDescent="0.35">
      <c r="A444" t="s">
        <v>408</v>
      </c>
      <c r="B444" t="s">
        <v>440</v>
      </c>
      <c r="C444">
        <v>2019</v>
      </c>
      <c r="D444">
        <v>24</v>
      </c>
      <c r="E444" t="s">
        <v>1348</v>
      </c>
      <c r="F444" t="s">
        <v>1365</v>
      </c>
      <c r="G444" t="str">
        <f t="shared" si="12"/>
        <v>2019FY20</v>
      </c>
      <c r="H444" t="str">
        <f t="shared" si="13"/>
        <v>FY2020 May</v>
      </c>
    </row>
    <row r="445" spans="1:8" x14ac:dyDescent="0.35">
      <c r="A445" t="s">
        <v>408</v>
      </c>
      <c r="B445" t="s">
        <v>440</v>
      </c>
      <c r="C445">
        <v>2020</v>
      </c>
      <c r="D445">
        <v>2</v>
      </c>
      <c r="E445" t="s">
        <v>1348</v>
      </c>
      <c r="F445" t="s">
        <v>1365</v>
      </c>
      <c r="G445" t="str">
        <f t="shared" si="12"/>
        <v>2020FY20</v>
      </c>
      <c r="H445" t="str">
        <f t="shared" si="13"/>
        <v>FY2020 May</v>
      </c>
    </row>
    <row r="446" spans="1:8" x14ac:dyDescent="0.35">
      <c r="A446" t="s">
        <v>408</v>
      </c>
      <c r="B446" t="s">
        <v>440</v>
      </c>
      <c r="C446">
        <v>2021</v>
      </c>
      <c r="D446">
        <v>19</v>
      </c>
      <c r="E446" t="s">
        <v>1348</v>
      </c>
      <c r="F446" t="s">
        <v>1365</v>
      </c>
      <c r="G446" t="str">
        <f t="shared" si="12"/>
        <v>2021FY20</v>
      </c>
      <c r="H446" t="str">
        <f t="shared" si="13"/>
        <v>FY2020 May</v>
      </c>
    </row>
    <row r="447" spans="1:8" x14ac:dyDescent="0.35">
      <c r="A447" t="s">
        <v>408</v>
      </c>
      <c r="B447" t="s">
        <v>440</v>
      </c>
      <c r="C447">
        <v>2022</v>
      </c>
      <c r="D447">
        <v>67</v>
      </c>
      <c r="E447" t="s">
        <v>1348</v>
      </c>
      <c r="F447" t="s">
        <v>1366</v>
      </c>
      <c r="G447" t="str">
        <f t="shared" si="12"/>
        <v>2022FY20</v>
      </c>
      <c r="H447" t="str">
        <f t="shared" si="13"/>
        <v>FY2020 Jun</v>
      </c>
    </row>
    <row r="448" spans="1:8" x14ac:dyDescent="0.35">
      <c r="A448" t="s">
        <v>408</v>
      </c>
      <c r="B448" t="s">
        <v>440</v>
      </c>
      <c r="C448">
        <v>2023</v>
      </c>
      <c r="D448">
        <v>81</v>
      </c>
      <c r="E448" t="s">
        <v>1348</v>
      </c>
      <c r="F448" t="s">
        <v>1366</v>
      </c>
      <c r="G448" t="str">
        <f t="shared" si="12"/>
        <v>2023FY20</v>
      </c>
      <c r="H448" t="str">
        <f t="shared" si="13"/>
        <v>FY2020 Jun</v>
      </c>
    </row>
    <row r="449" spans="1:8" x14ac:dyDescent="0.35">
      <c r="A449" t="s">
        <v>408</v>
      </c>
      <c r="B449" t="s">
        <v>440</v>
      </c>
      <c r="C449">
        <v>2025</v>
      </c>
      <c r="D449">
        <v>123</v>
      </c>
      <c r="E449" t="s">
        <v>1348</v>
      </c>
      <c r="F449" t="s">
        <v>1366</v>
      </c>
      <c r="G449" t="str">
        <f t="shared" si="12"/>
        <v>2025FY20</v>
      </c>
      <c r="H449" t="str">
        <f t="shared" si="13"/>
        <v>FY2020 Jun</v>
      </c>
    </row>
    <row r="450" spans="1:8" x14ac:dyDescent="0.35">
      <c r="A450" t="s">
        <v>408</v>
      </c>
      <c r="B450" t="s">
        <v>440</v>
      </c>
      <c r="C450">
        <v>2026</v>
      </c>
      <c r="D450">
        <v>64</v>
      </c>
      <c r="E450" t="s">
        <v>1348</v>
      </c>
      <c r="F450" t="s">
        <v>1366</v>
      </c>
      <c r="G450" t="str">
        <f t="shared" si="12"/>
        <v>2026FY20</v>
      </c>
      <c r="H450" t="str">
        <f t="shared" si="13"/>
        <v>FY2020 Jun</v>
      </c>
    </row>
    <row r="451" spans="1:8" x14ac:dyDescent="0.35">
      <c r="A451" t="s">
        <v>408</v>
      </c>
      <c r="B451" t="s">
        <v>440</v>
      </c>
      <c r="C451">
        <v>2027</v>
      </c>
      <c r="D451">
        <v>107</v>
      </c>
      <c r="E451" t="s">
        <v>1348</v>
      </c>
      <c r="F451" t="s">
        <v>1367</v>
      </c>
      <c r="G451" t="str">
        <f t="shared" ref="G451:G514" si="14">C451&amp;E451</f>
        <v>2027FY20</v>
      </c>
      <c r="H451" t="str">
        <f t="shared" ref="H451:H514" si="15">E451&amp;F451</f>
        <v>FY2020 Jul</v>
      </c>
    </row>
    <row r="452" spans="1:8" x14ac:dyDescent="0.35">
      <c r="A452" t="s">
        <v>408</v>
      </c>
      <c r="B452" t="s">
        <v>440</v>
      </c>
      <c r="C452">
        <v>2028</v>
      </c>
      <c r="D452">
        <v>166</v>
      </c>
      <c r="E452" t="s">
        <v>1348</v>
      </c>
      <c r="F452" t="s">
        <v>1367</v>
      </c>
      <c r="G452" t="str">
        <f t="shared" si="14"/>
        <v>2028FY20</v>
      </c>
      <c r="H452" t="str">
        <f t="shared" si="15"/>
        <v>FY2020 Jul</v>
      </c>
    </row>
    <row r="453" spans="1:8" x14ac:dyDescent="0.35">
      <c r="A453" t="s">
        <v>408</v>
      </c>
      <c r="B453" t="s">
        <v>440</v>
      </c>
      <c r="C453">
        <v>2030</v>
      </c>
      <c r="D453">
        <v>34</v>
      </c>
      <c r="E453" t="s">
        <v>1348</v>
      </c>
      <c r="F453" t="s">
        <v>1367</v>
      </c>
      <c r="G453" t="str">
        <f t="shared" si="14"/>
        <v>2030FY20</v>
      </c>
      <c r="H453" t="str">
        <f t="shared" si="15"/>
        <v>FY2020 Jul</v>
      </c>
    </row>
    <row r="454" spans="1:8" x14ac:dyDescent="0.35">
      <c r="A454" t="s">
        <v>408</v>
      </c>
      <c r="B454" t="s">
        <v>440</v>
      </c>
      <c r="C454">
        <v>2031</v>
      </c>
      <c r="D454">
        <v>65</v>
      </c>
      <c r="E454" t="s">
        <v>1348</v>
      </c>
      <c r="F454" t="s">
        <v>1368</v>
      </c>
      <c r="G454" t="str">
        <f t="shared" si="14"/>
        <v>2031FY20</v>
      </c>
      <c r="H454" t="str">
        <f t="shared" si="15"/>
        <v>FY2020 Aug</v>
      </c>
    </row>
    <row r="455" spans="1:8" x14ac:dyDescent="0.35">
      <c r="A455" t="s">
        <v>408</v>
      </c>
      <c r="B455" t="s">
        <v>440</v>
      </c>
      <c r="C455">
        <v>2033</v>
      </c>
      <c r="D455">
        <v>175</v>
      </c>
      <c r="E455" t="s">
        <v>1348</v>
      </c>
      <c r="F455" t="s">
        <v>1368</v>
      </c>
      <c r="G455" t="str">
        <f t="shared" si="14"/>
        <v>2033FY20</v>
      </c>
      <c r="H455" t="str">
        <f t="shared" si="15"/>
        <v>FY2020 Aug</v>
      </c>
    </row>
    <row r="456" spans="1:8" x14ac:dyDescent="0.35">
      <c r="A456" t="s">
        <v>408</v>
      </c>
      <c r="B456" t="s">
        <v>440</v>
      </c>
      <c r="C456">
        <v>2034</v>
      </c>
      <c r="D456">
        <v>81</v>
      </c>
      <c r="E456" t="s">
        <v>1348</v>
      </c>
      <c r="F456" t="s">
        <v>1368</v>
      </c>
      <c r="G456" t="str">
        <f t="shared" si="14"/>
        <v>2034FY20</v>
      </c>
      <c r="H456" t="str">
        <f t="shared" si="15"/>
        <v>FY2020 Aug</v>
      </c>
    </row>
    <row r="457" spans="1:8" x14ac:dyDescent="0.35">
      <c r="A457" t="s">
        <v>408</v>
      </c>
      <c r="B457" t="s">
        <v>440</v>
      </c>
      <c r="C457">
        <v>2035</v>
      </c>
      <c r="D457">
        <v>81</v>
      </c>
      <c r="E457" t="s">
        <v>1348</v>
      </c>
      <c r="F457" t="s">
        <v>1368</v>
      </c>
      <c r="G457" t="str">
        <f t="shared" si="14"/>
        <v>2035FY20</v>
      </c>
      <c r="H457" t="str">
        <f t="shared" si="15"/>
        <v>FY2020 Aug</v>
      </c>
    </row>
    <row r="458" spans="1:8" x14ac:dyDescent="0.35">
      <c r="A458" t="s">
        <v>408</v>
      </c>
      <c r="B458" t="s">
        <v>440</v>
      </c>
      <c r="C458">
        <v>2036</v>
      </c>
      <c r="D458">
        <v>48</v>
      </c>
      <c r="E458" t="s">
        <v>1348</v>
      </c>
      <c r="F458" t="s">
        <v>1369</v>
      </c>
      <c r="G458" t="str">
        <f t="shared" si="14"/>
        <v>2036FY20</v>
      </c>
      <c r="H458" t="str">
        <f t="shared" si="15"/>
        <v>FY2020 Sep</v>
      </c>
    </row>
    <row r="459" spans="1:8" x14ac:dyDescent="0.35">
      <c r="A459" t="s">
        <v>408</v>
      </c>
      <c r="B459" t="s">
        <v>440</v>
      </c>
      <c r="C459">
        <v>2037</v>
      </c>
      <c r="D459">
        <v>66</v>
      </c>
      <c r="E459" t="s">
        <v>1348</v>
      </c>
      <c r="F459" t="s">
        <v>1369</v>
      </c>
      <c r="G459" t="str">
        <f t="shared" si="14"/>
        <v>2037FY20</v>
      </c>
      <c r="H459" t="str">
        <f t="shared" si="15"/>
        <v>FY2020 Sep</v>
      </c>
    </row>
    <row r="460" spans="1:8" x14ac:dyDescent="0.35">
      <c r="A460" t="s">
        <v>408</v>
      </c>
      <c r="B460" t="s">
        <v>440</v>
      </c>
      <c r="C460">
        <v>2038</v>
      </c>
      <c r="D460">
        <v>114</v>
      </c>
      <c r="E460" t="s">
        <v>1348</v>
      </c>
      <c r="F460" t="s">
        <v>1369</v>
      </c>
      <c r="G460" t="str">
        <f t="shared" si="14"/>
        <v>2038FY20</v>
      </c>
      <c r="H460" t="str">
        <f t="shared" si="15"/>
        <v>FY2020 Sep</v>
      </c>
    </row>
    <row r="461" spans="1:8" x14ac:dyDescent="0.35">
      <c r="A461" t="s">
        <v>408</v>
      </c>
      <c r="B461" t="s">
        <v>440</v>
      </c>
      <c r="C461">
        <v>2039</v>
      </c>
      <c r="D461">
        <v>75</v>
      </c>
      <c r="E461" t="s">
        <v>1348</v>
      </c>
      <c r="F461" t="s">
        <v>1369</v>
      </c>
      <c r="G461" t="str">
        <f t="shared" si="14"/>
        <v>2039FY20</v>
      </c>
      <c r="H461" t="str">
        <f t="shared" si="15"/>
        <v>FY2020 Sep</v>
      </c>
    </row>
    <row r="462" spans="1:8" x14ac:dyDescent="0.35">
      <c r="A462" t="s">
        <v>408</v>
      </c>
      <c r="B462" t="s">
        <v>440</v>
      </c>
      <c r="C462">
        <v>2040</v>
      </c>
      <c r="D462">
        <v>137</v>
      </c>
      <c r="E462" t="s">
        <v>1348</v>
      </c>
      <c r="F462" t="s">
        <v>1370</v>
      </c>
      <c r="G462" t="str">
        <f t="shared" si="14"/>
        <v>2040FY20</v>
      </c>
      <c r="H462" t="str">
        <f t="shared" si="15"/>
        <v>FY2020 Oct</v>
      </c>
    </row>
    <row r="463" spans="1:8" x14ac:dyDescent="0.35">
      <c r="A463" t="s">
        <v>408</v>
      </c>
      <c r="B463" t="s">
        <v>440</v>
      </c>
      <c r="C463">
        <v>2041</v>
      </c>
      <c r="D463">
        <v>123</v>
      </c>
      <c r="E463" t="s">
        <v>1348</v>
      </c>
      <c r="F463" t="s">
        <v>1370</v>
      </c>
      <c r="G463" t="str">
        <f t="shared" si="14"/>
        <v>2041FY20</v>
      </c>
      <c r="H463" t="str">
        <f t="shared" si="15"/>
        <v>FY2020 Oct</v>
      </c>
    </row>
    <row r="464" spans="1:8" x14ac:dyDescent="0.35">
      <c r="A464" t="s">
        <v>408</v>
      </c>
      <c r="B464" t="s">
        <v>440</v>
      </c>
      <c r="C464">
        <v>2042</v>
      </c>
      <c r="D464">
        <v>169</v>
      </c>
      <c r="E464" t="s">
        <v>1348</v>
      </c>
      <c r="F464" t="s">
        <v>1370</v>
      </c>
      <c r="G464" t="str">
        <f t="shared" si="14"/>
        <v>2042FY20</v>
      </c>
      <c r="H464" t="str">
        <f t="shared" si="15"/>
        <v>FY2020 Oct</v>
      </c>
    </row>
    <row r="465" spans="1:8" x14ac:dyDescent="0.35">
      <c r="A465" t="s">
        <v>408</v>
      </c>
      <c r="B465" t="s">
        <v>440</v>
      </c>
      <c r="C465">
        <v>2043</v>
      </c>
      <c r="D465">
        <v>50</v>
      </c>
      <c r="E465" t="s">
        <v>1348</v>
      </c>
      <c r="F465" t="s">
        <v>1370</v>
      </c>
      <c r="G465" t="str">
        <f t="shared" si="14"/>
        <v>2043FY20</v>
      </c>
      <c r="H465" t="str">
        <f t="shared" si="15"/>
        <v>FY2020 Oct</v>
      </c>
    </row>
    <row r="466" spans="1:8" x14ac:dyDescent="0.35">
      <c r="A466" t="s">
        <v>408</v>
      </c>
      <c r="B466" t="s">
        <v>440</v>
      </c>
      <c r="C466">
        <v>2044</v>
      </c>
      <c r="D466">
        <v>56</v>
      </c>
      <c r="E466" t="s">
        <v>1348</v>
      </c>
      <c r="F466" t="s">
        <v>1371</v>
      </c>
      <c r="G466" t="str">
        <f t="shared" si="14"/>
        <v>2044FY20</v>
      </c>
      <c r="H466" t="str">
        <f t="shared" si="15"/>
        <v>FY2020 Nov</v>
      </c>
    </row>
    <row r="467" spans="1:8" x14ac:dyDescent="0.35">
      <c r="A467" t="s">
        <v>408</v>
      </c>
      <c r="B467" t="s">
        <v>440</v>
      </c>
      <c r="C467">
        <v>2045</v>
      </c>
      <c r="D467">
        <v>55</v>
      </c>
      <c r="E467" t="s">
        <v>1348</v>
      </c>
      <c r="F467" t="s">
        <v>1371</v>
      </c>
      <c r="G467" t="str">
        <f t="shared" si="14"/>
        <v>2045FY20</v>
      </c>
      <c r="H467" t="str">
        <f t="shared" si="15"/>
        <v>FY2020 Nov</v>
      </c>
    </row>
    <row r="468" spans="1:8" x14ac:dyDescent="0.35">
      <c r="A468" t="s">
        <v>408</v>
      </c>
      <c r="B468" t="s">
        <v>440</v>
      </c>
      <c r="C468">
        <v>2046</v>
      </c>
      <c r="D468">
        <v>98</v>
      </c>
      <c r="E468" t="s">
        <v>1348</v>
      </c>
      <c r="F468" t="s">
        <v>1371</v>
      </c>
      <c r="G468" t="str">
        <f t="shared" si="14"/>
        <v>2046FY20</v>
      </c>
      <c r="H468" t="str">
        <f t="shared" si="15"/>
        <v>FY2020 Nov</v>
      </c>
    </row>
    <row r="469" spans="1:8" x14ac:dyDescent="0.35">
      <c r="A469" t="s">
        <v>408</v>
      </c>
      <c r="B469" t="s">
        <v>440</v>
      </c>
      <c r="C469">
        <v>2047</v>
      </c>
      <c r="D469">
        <v>42</v>
      </c>
      <c r="E469" t="s">
        <v>1348</v>
      </c>
      <c r="F469" t="s">
        <v>1371</v>
      </c>
      <c r="G469" t="str">
        <f t="shared" si="14"/>
        <v>2047FY20</v>
      </c>
      <c r="H469" t="str">
        <f t="shared" si="15"/>
        <v>FY2020 Nov</v>
      </c>
    </row>
    <row r="470" spans="1:8" x14ac:dyDescent="0.35">
      <c r="A470" t="s">
        <v>408</v>
      </c>
      <c r="B470" t="s">
        <v>440</v>
      </c>
      <c r="C470">
        <v>2049</v>
      </c>
      <c r="D470">
        <v>111</v>
      </c>
      <c r="E470" t="s">
        <v>1348</v>
      </c>
      <c r="F470" t="s">
        <v>1372</v>
      </c>
      <c r="G470" t="str">
        <f t="shared" si="14"/>
        <v>2049FY20</v>
      </c>
      <c r="H470" t="str">
        <f t="shared" si="15"/>
        <v>FY2020 Dec</v>
      </c>
    </row>
    <row r="471" spans="1:8" x14ac:dyDescent="0.35">
      <c r="A471" t="s">
        <v>408</v>
      </c>
      <c r="B471" t="s">
        <v>440</v>
      </c>
      <c r="C471">
        <v>2050</v>
      </c>
      <c r="D471">
        <v>183</v>
      </c>
      <c r="E471" t="s">
        <v>1348</v>
      </c>
      <c r="F471" t="s">
        <v>1372</v>
      </c>
      <c r="G471" t="str">
        <f t="shared" si="14"/>
        <v>2050FY20</v>
      </c>
      <c r="H471" t="str">
        <f t="shared" si="15"/>
        <v>FY2020 Dec</v>
      </c>
    </row>
    <row r="472" spans="1:8" x14ac:dyDescent="0.35">
      <c r="A472" t="s">
        <v>408</v>
      </c>
      <c r="B472" t="s">
        <v>440</v>
      </c>
      <c r="C472">
        <v>2051</v>
      </c>
      <c r="D472">
        <v>28</v>
      </c>
      <c r="E472" t="s">
        <v>1348</v>
      </c>
      <c r="F472" t="s">
        <v>1372</v>
      </c>
      <c r="G472" t="str">
        <f t="shared" si="14"/>
        <v>2051FY20</v>
      </c>
      <c r="H472" t="str">
        <f t="shared" si="15"/>
        <v>FY2020 Dec</v>
      </c>
    </row>
    <row r="473" spans="1:8" x14ac:dyDescent="0.35">
      <c r="A473" t="s">
        <v>408</v>
      </c>
      <c r="B473" t="s">
        <v>440</v>
      </c>
      <c r="C473">
        <v>2052</v>
      </c>
      <c r="D473">
        <v>152</v>
      </c>
      <c r="E473" t="s">
        <v>1348</v>
      </c>
      <c r="F473" t="s">
        <v>1372</v>
      </c>
      <c r="G473" t="str">
        <f t="shared" si="14"/>
        <v>2052FY20</v>
      </c>
      <c r="H473" t="str">
        <f t="shared" si="15"/>
        <v>FY2020 Dec</v>
      </c>
    </row>
    <row r="474" spans="1:8" x14ac:dyDescent="0.35">
      <c r="A474" t="s">
        <v>408</v>
      </c>
      <c r="B474" t="s">
        <v>440</v>
      </c>
      <c r="C474">
        <v>2102</v>
      </c>
      <c r="D474">
        <v>42</v>
      </c>
      <c r="E474" t="s">
        <v>1348</v>
      </c>
      <c r="F474" t="s">
        <v>1363</v>
      </c>
      <c r="G474" t="str">
        <f t="shared" si="14"/>
        <v>2102FY20</v>
      </c>
      <c r="H474" t="str">
        <f t="shared" si="15"/>
        <v>FY2021 Jan</v>
      </c>
    </row>
    <row r="475" spans="1:8" x14ac:dyDescent="0.35">
      <c r="A475" t="s">
        <v>408</v>
      </c>
      <c r="B475" t="s">
        <v>440</v>
      </c>
      <c r="C475">
        <v>2105</v>
      </c>
      <c r="D475">
        <v>68</v>
      </c>
      <c r="E475" t="s">
        <v>1348</v>
      </c>
      <c r="F475" t="s">
        <v>1362</v>
      </c>
      <c r="G475" t="str">
        <f t="shared" si="14"/>
        <v>2105FY20</v>
      </c>
      <c r="H475" t="str">
        <f t="shared" si="15"/>
        <v>FY2021 Feb</v>
      </c>
    </row>
    <row r="476" spans="1:8" x14ac:dyDescent="0.35">
      <c r="A476" t="s">
        <v>408</v>
      </c>
      <c r="B476" t="s">
        <v>440</v>
      </c>
      <c r="C476">
        <v>2106</v>
      </c>
      <c r="D476">
        <v>29</v>
      </c>
      <c r="E476" t="s">
        <v>1348</v>
      </c>
      <c r="F476" t="s">
        <v>1362</v>
      </c>
      <c r="G476" t="str">
        <f t="shared" si="14"/>
        <v>2106FY20</v>
      </c>
      <c r="H476" t="str">
        <f t="shared" si="15"/>
        <v>FY2021 Feb</v>
      </c>
    </row>
    <row r="477" spans="1:8" x14ac:dyDescent="0.35">
      <c r="A477" t="s">
        <v>408</v>
      </c>
      <c r="B477" t="s">
        <v>440</v>
      </c>
      <c r="C477">
        <v>2108</v>
      </c>
      <c r="D477">
        <v>39</v>
      </c>
      <c r="E477" t="s">
        <v>1348</v>
      </c>
      <c r="F477" t="s">
        <v>1362</v>
      </c>
      <c r="G477" t="str">
        <f t="shared" si="14"/>
        <v>2108FY20</v>
      </c>
      <c r="H477" t="str">
        <f t="shared" si="15"/>
        <v>FY2021 Feb</v>
      </c>
    </row>
    <row r="478" spans="1:8" x14ac:dyDescent="0.35">
      <c r="A478" t="s">
        <v>408</v>
      </c>
      <c r="B478" t="s">
        <v>440</v>
      </c>
      <c r="C478">
        <v>2109</v>
      </c>
      <c r="D478">
        <v>55</v>
      </c>
      <c r="E478" t="s">
        <v>1348</v>
      </c>
      <c r="F478" t="s">
        <v>1356</v>
      </c>
      <c r="G478" t="str">
        <f t="shared" si="14"/>
        <v>2109FY20</v>
      </c>
      <c r="H478" t="str">
        <f t="shared" si="15"/>
        <v>FY2021 Mar</v>
      </c>
    </row>
    <row r="479" spans="1:8" x14ac:dyDescent="0.35">
      <c r="A479" t="s">
        <v>408</v>
      </c>
      <c r="B479" t="s">
        <v>440</v>
      </c>
      <c r="C479">
        <v>2110</v>
      </c>
      <c r="D479">
        <v>71</v>
      </c>
      <c r="E479" t="s">
        <v>1348</v>
      </c>
      <c r="F479" t="s">
        <v>1356</v>
      </c>
      <c r="G479" t="str">
        <f t="shared" si="14"/>
        <v>2110FY20</v>
      </c>
      <c r="H479" t="str">
        <f t="shared" si="15"/>
        <v>FY2021 Mar</v>
      </c>
    </row>
    <row r="480" spans="1:8" x14ac:dyDescent="0.35">
      <c r="A480" t="s">
        <v>408</v>
      </c>
      <c r="B480" t="s">
        <v>440</v>
      </c>
      <c r="C480">
        <v>2111</v>
      </c>
      <c r="D480">
        <v>56</v>
      </c>
      <c r="E480" t="s">
        <v>1348</v>
      </c>
      <c r="F480" t="s">
        <v>1356</v>
      </c>
      <c r="G480" t="str">
        <f t="shared" si="14"/>
        <v>2111FY20</v>
      </c>
      <c r="H480" t="str">
        <f t="shared" si="15"/>
        <v>FY2021 Mar</v>
      </c>
    </row>
    <row r="481" spans="1:8" x14ac:dyDescent="0.35">
      <c r="A481" t="s">
        <v>408</v>
      </c>
      <c r="B481" t="s">
        <v>440</v>
      </c>
      <c r="C481">
        <v>2112</v>
      </c>
      <c r="D481">
        <v>26</v>
      </c>
      <c r="E481" t="s">
        <v>1348</v>
      </c>
      <c r="F481" t="s">
        <v>1356</v>
      </c>
      <c r="G481" t="str">
        <f t="shared" si="14"/>
        <v>2112FY20</v>
      </c>
      <c r="H481" t="str">
        <f t="shared" si="15"/>
        <v>FY2021 Mar</v>
      </c>
    </row>
    <row r="482" spans="1:8" x14ac:dyDescent="0.35">
      <c r="A482" t="s">
        <v>408</v>
      </c>
      <c r="B482" t="s">
        <v>440</v>
      </c>
      <c r="C482">
        <v>2114</v>
      </c>
      <c r="D482">
        <v>58</v>
      </c>
      <c r="E482" t="s">
        <v>1348</v>
      </c>
      <c r="F482" t="s">
        <v>1357</v>
      </c>
      <c r="G482" t="str">
        <f t="shared" si="14"/>
        <v>2114FY20</v>
      </c>
      <c r="H482" t="str">
        <f t="shared" si="15"/>
        <v>FY2021 Apr</v>
      </c>
    </row>
    <row r="483" spans="1:8" x14ac:dyDescent="0.35">
      <c r="A483" t="s">
        <v>408</v>
      </c>
      <c r="B483" t="s">
        <v>440</v>
      </c>
      <c r="C483">
        <v>2115</v>
      </c>
      <c r="D483">
        <v>42</v>
      </c>
      <c r="E483" t="s">
        <v>1348</v>
      </c>
      <c r="F483" t="s">
        <v>1357</v>
      </c>
      <c r="G483" t="str">
        <f t="shared" si="14"/>
        <v>2115FY20</v>
      </c>
      <c r="H483" t="str">
        <f t="shared" si="15"/>
        <v>FY2021 Apr</v>
      </c>
    </row>
    <row r="484" spans="1:8" x14ac:dyDescent="0.35">
      <c r="A484" t="s">
        <v>408</v>
      </c>
      <c r="B484" t="s">
        <v>440</v>
      </c>
      <c r="C484">
        <v>2116</v>
      </c>
      <c r="D484">
        <v>56</v>
      </c>
      <c r="E484" t="s">
        <v>1348</v>
      </c>
      <c r="F484" t="s">
        <v>1357</v>
      </c>
      <c r="G484" t="str">
        <f t="shared" si="14"/>
        <v>2116FY20</v>
      </c>
      <c r="H484" t="str">
        <f t="shared" si="15"/>
        <v>FY2021 Apr</v>
      </c>
    </row>
    <row r="485" spans="1:8" x14ac:dyDescent="0.35">
      <c r="A485" t="s">
        <v>408</v>
      </c>
      <c r="B485" t="s">
        <v>440</v>
      </c>
      <c r="C485">
        <v>2119</v>
      </c>
      <c r="D485">
        <v>68</v>
      </c>
      <c r="E485" t="s">
        <v>1348</v>
      </c>
      <c r="F485" t="s">
        <v>1358</v>
      </c>
      <c r="G485" t="str">
        <f t="shared" si="14"/>
        <v>2119FY20</v>
      </c>
      <c r="H485" t="str">
        <f t="shared" si="15"/>
        <v>FY2021 May</v>
      </c>
    </row>
    <row r="486" spans="1:8" x14ac:dyDescent="0.35">
      <c r="A486" t="s">
        <v>408</v>
      </c>
      <c r="B486" t="s">
        <v>440</v>
      </c>
      <c r="C486">
        <v>2121</v>
      </c>
      <c r="D486">
        <v>19</v>
      </c>
      <c r="E486" t="s">
        <v>1348</v>
      </c>
      <c r="F486" t="s">
        <v>1358</v>
      </c>
      <c r="G486" t="str">
        <f t="shared" si="14"/>
        <v>2121FY20</v>
      </c>
      <c r="H486" t="str">
        <f t="shared" si="15"/>
        <v>FY2021 May</v>
      </c>
    </row>
    <row r="487" spans="1:8" x14ac:dyDescent="0.35">
      <c r="A487" t="s">
        <v>408</v>
      </c>
      <c r="B487" t="s">
        <v>440</v>
      </c>
      <c r="C487">
        <v>2124</v>
      </c>
      <c r="D487">
        <v>10</v>
      </c>
      <c r="E487" t="s">
        <v>1348</v>
      </c>
      <c r="F487" t="s">
        <v>1359</v>
      </c>
      <c r="G487" t="str">
        <f t="shared" si="14"/>
        <v>2124FY20</v>
      </c>
      <c r="H487" t="str">
        <f t="shared" si="15"/>
        <v>FY2021 Jun</v>
      </c>
    </row>
    <row r="488" spans="1:8" x14ac:dyDescent="0.35">
      <c r="A488" t="s">
        <v>408</v>
      </c>
      <c r="B488" t="s">
        <v>440</v>
      </c>
      <c r="C488">
        <v>2131</v>
      </c>
      <c r="D488">
        <v>26</v>
      </c>
      <c r="E488" t="s">
        <v>1348</v>
      </c>
      <c r="F488" t="s">
        <v>1361</v>
      </c>
      <c r="G488" t="str">
        <f t="shared" si="14"/>
        <v>2131FY20</v>
      </c>
      <c r="H488" t="str">
        <f t="shared" si="15"/>
        <v>FY2021 Aug</v>
      </c>
    </row>
    <row r="489" spans="1:8" x14ac:dyDescent="0.35">
      <c r="A489" t="s">
        <v>408</v>
      </c>
      <c r="B489" t="s">
        <v>443</v>
      </c>
      <c r="C489">
        <v>2013</v>
      </c>
      <c r="D489">
        <v>25</v>
      </c>
      <c r="E489" t="s">
        <v>1348</v>
      </c>
      <c r="F489" t="s">
        <v>1373</v>
      </c>
      <c r="G489" t="str">
        <f t="shared" si="14"/>
        <v>2013FY20</v>
      </c>
      <c r="H489" t="str">
        <f t="shared" si="15"/>
        <v>FY2020 Mar</v>
      </c>
    </row>
    <row r="490" spans="1:8" x14ac:dyDescent="0.35">
      <c r="A490" t="s">
        <v>408</v>
      </c>
      <c r="B490" t="s">
        <v>443</v>
      </c>
      <c r="C490">
        <v>2015</v>
      </c>
      <c r="D490">
        <v>29</v>
      </c>
      <c r="E490" t="s">
        <v>1348</v>
      </c>
      <c r="F490" t="s">
        <v>1364</v>
      </c>
      <c r="G490" t="str">
        <f t="shared" si="14"/>
        <v>2015FY20</v>
      </c>
      <c r="H490" t="str">
        <f t="shared" si="15"/>
        <v>FY2020 Apr</v>
      </c>
    </row>
    <row r="491" spans="1:8" x14ac:dyDescent="0.35">
      <c r="A491" t="s">
        <v>408</v>
      </c>
      <c r="B491" t="s">
        <v>443</v>
      </c>
      <c r="C491">
        <v>2017</v>
      </c>
      <c r="D491">
        <v>10</v>
      </c>
      <c r="E491" t="s">
        <v>1348</v>
      </c>
      <c r="F491" t="s">
        <v>1364</v>
      </c>
      <c r="G491" t="str">
        <f t="shared" si="14"/>
        <v>2017FY20</v>
      </c>
      <c r="H491" t="str">
        <f t="shared" si="15"/>
        <v>FY2020 Apr</v>
      </c>
    </row>
    <row r="492" spans="1:8" x14ac:dyDescent="0.35">
      <c r="A492" t="s">
        <v>408</v>
      </c>
      <c r="B492" t="s">
        <v>443</v>
      </c>
      <c r="C492">
        <v>2022</v>
      </c>
      <c r="D492">
        <v>30</v>
      </c>
      <c r="E492" t="s">
        <v>1348</v>
      </c>
      <c r="F492" t="s">
        <v>1366</v>
      </c>
      <c r="G492" t="str">
        <f t="shared" si="14"/>
        <v>2022FY20</v>
      </c>
      <c r="H492" t="str">
        <f t="shared" si="15"/>
        <v>FY2020 Jun</v>
      </c>
    </row>
    <row r="493" spans="1:8" x14ac:dyDescent="0.35">
      <c r="A493" t="s">
        <v>408</v>
      </c>
      <c r="B493" t="s">
        <v>443</v>
      </c>
      <c r="C493">
        <v>2024</v>
      </c>
      <c r="D493">
        <v>30</v>
      </c>
      <c r="E493" t="s">
        <v>1348</v>
      </c>
      <c r="F493" t="s">
        <v>1366</v>
      </c>
      <c r="G493" t="str">
        <f t="shared" si="14"/>
        <v>2024FY20</v>
      </c>
      <c r="H493" t="str">
        <f t="shared" si="15"/>
        <v>FY2020 Jun</v>
      </c>
    </row>
    <row r="494" spans="1:8" x14ac:dyDescent="0.35">
      <c r="A494" t="s">
        <v>408</v>
      </c>
      <c r="B494" t="s">
        <v>443</v>
      </c>
      <c r="C494">
        <v>2025</v>
      </c>
      <c r="D494">
        <v>66</v>
      </c>
      <c r="E494" t="s">
        <v>1348</v>
      </c>
      <c r="F494" t="s">
        <v>1366</v>
      </c>
      <c r="G494" t="str">
        <f t="shared" si="14"/>
        <v>2025FY20</v>
      </c>
      <c r="H494" t="str">
        <f t="shared" si="15"/>
        <v>FY2020 Jun</v>
      </c>
    </row>
    <row r="495" spans="1:8" x14ac:dyDescent="0.35">
      <c r="A495" t="s">
        <v>408</v>
      </c>
      <c r="B495" t="s">
        <v>443</v>
      </c>
      <c r="C495">
        <v>2026</v>
      </c>
      <c r="D495">
        <v>23</v>
      </c>
      <c r="E495" t="s">
        <v>1348</v>
      </c>
      <c r="F495" t="s">
        <v>1366</v>
      </c>
      <c r="G495" t="str">
        <f t="shared" si="14"/>
        <v>2026FY20</v>
      </c>
      <c r="H495" t="str">
        <f t="shared" si="15"/>
        <v>FY2020 Jun</v>
      </c>
    </row>
    <row r="496" spans="1:8" x14ac:dyDescent="0.35">
      <c r="A496" t="s">
        <v>408</v>
      </c>
      <c r="B496" t="s">
        <v>443</v>
      </c>
      <c r="C496">
        <v>2027</v>
      </c>
      <c r="D496">
        <v>87</v>
      </c>
      <c r="E496" t="s">
        <v>1348</v>
      </c>
      <c r="F496" t="s">
        <v>1367</v>
      </c>
      <c r="G496" t="str">
        <f t="shared" si="14"/>
        <v>2027FY20</v>
      </c>
      <c r="H496" t="str">
        <f t="shared" si="15"/>
        <v>FY2020 Jul</v>
      </c>
    </row>
    <row r="497" spans="1:8" x14ac:dyDescent="0.35">
      <c r="A497" t="s">
        <v>408</v>
      </c>
      <c r="B497" t="s">
        <v>443</v>
      </c>
      <c r="C497">
        <v>2028</v>
      </c>
      <c r="D497">
        <v>92</v>
      </c>
      <c r="E497" t="s">
        <v>1348</v>
      </c>
      <c r="F497" t="s">
        <v>1367</v>
      </c>
      <c r="G497" t="str">
        <f t="shared" si="14"/>
        <v>2028FY20</v>
      </c>
      <c r="H497" t="str">
        <f t="shared" si="15"/>
        <v>FY2020 Jul</v>
      </c>
    </row>
    <row r="498" spans="1:8" x14ac:dyDescent="0.35">
      <c r="A498" t="s">
        <v>408</v>
      </c>
      <c r="B498" t="s">
        <v>443</v>
      </c>
      <c r="C498">
        <v>2030</v>
      </c>
      <c r="D498">
        <v>62</v>
      </c>
      <c r="E498" t="s">
        <v>1348</v>
      </c>
      <c r="F498" t="s">
        <v>1367</v>
      </c>
      <c r="G498" t="str">
        <f t="shared" si="14"/>
        <v>2030FY20</v>
      </c>
      <c r="H498" t="str">
        <f t="shared" si="15"/>
        <v>FY2020 Jul</v>
      </c>
    </row>
    <row r="499" spans="1:8" x14ac:dyDescent="0.35">
      <c r="A499" t="s">
        <v>408</v>
      </c>
      <c r="B499" t="s">
        <v>443</v>
      </c>
      <c r="C499">
        <v>2031</v>
      </c>
      <c r="D499">
        <v>38</v>
      </c>
      <c r="E499" t="s">
        <v>1348</v>
      </c>
      <c r="F499" t="s">
        <v>1368</v>
      </c>
      <c r="G499" t="str">
        <f t="shared" si="14"/>
        <v>2031FY20</v>
      </c>
      <c r="H499" t="str">
        <f t="shared" si="15"/>
        <v>FY2020 Aug</v>
      </c>
    </row>
    <row r="500" spans="1:8" x14ac:dyDescent="0.35">
      <c r="A500" t="s">
        <v>408</v>
      </c>
      <c r="B500" t="s">
        <v>443</v>
      </c>
      <c r="C500">
        <v>2032</v>
      </c>
      <c r="D500">
        <v>78</v>
      </c>
      <c r="E500" t="s">
        <v>1348</v>
      </c>
      <c r="F500" t="s">
        <v>1368</v>
      </c>
      <c r="G500" t="str">
        <f t="shared" si="14"/>
        <v>2032FY20</v>
      </c>
      <c r="H500" t="str">
        <f t="shared" si="15"/>
        <v>FY2020 Aug</v>
      </c>
    </row>
    <row r="501" spans="1:8" x14ac:dyDescent="0.35">
      <c r="A501" t="s">
        <v>408</v>
      </c>
      <c r="B501" t="s">
        <v>443</v>
      </c>
      <c r="C501">
        <v>2033</v>
      </c>
      <c r="D501">
        <v>115</v>
      </c>
      <c r="E501" t="s">
        <v>1348</v>
      </c>
      <c r="F501" t="s">
        <v>1368</v>
      </c>
      <c r="G501" t="str">
        <f t="shared" si="14"/>
        <v>2033FY20</v>
      </c>
      <c r="H501" t="str">
        <f t="shared" si="15"/>
        <v>FY2020 Aug</v>
      </c>
    </row>
    <row r="502" spans="1:8" x14ac:dyDescent="0.35">
      <c r="A502" t="s">
        <v>408</v>
      </c>
      <c r="B502" t="s">
        <v>443</v>
      </c>
      <c r="C502">
        <v>2034</v>
      </c>
      <c r="D502">
        <v>25</v>
      </c>
      <c r="E502" t="s">
        <v>1348</v>
      </c>
      <c r="F502" t="s">
        <v>1368</v>
      </c>
      <c r="G502" t="str">
        <f t="shared" si="14"/>
        <v>2034FY20</v>
      </c>
      <c r="H502" t="str">
        <f t="shared" si="15"/>
        <v>FY2020 Aug</v>
      </c>
    </row>
    <row r="503" spans="1:8" x14ac:dyDescent="0.35">
      <c r="A503" t="s">
        <v>408</v>
      </c>
      <c r="B503" t="s">
        <v>443</v>
      </c>
      <c r="C503">
        <v>2035</v>
      </c>
      <c r="D503">
        <v>36</v>
      </c>
      <c r="E503" t="s">
        <v>1348</v>
      </c>
      <c r="F503" t="s">
        <v>1368</v>
      </c>
      <c r="G503" t="str">
        <f t="shared" si="14"/>
        <v>2035FY20</v>
      </c>
      <c r="H503" t="str">
        <f t="shared" si="15"/>
        <v>FY2020 Aug</v>
      </c>
    </row>
    <row r="504" spans="1:8" x14ac:dyDescent="0.35">
      <c r="A504" t="s">
        <v>408</v>
      </c>
      <c r="B504" t="s">
        <v>443</v>
      </c>
      <c r="C504">
        <v>2036</v>
      </c>
      <c r="D504">
        <v>129</v>
      </c>
      <c r="E504" t="s">
        <v>1348</v>
      </c>
      <c r="F504" t="s">
        <v>1369</v>
      </c>
      <c r="G504" t="str">
        <f t="shared" si="14"/>
        <v>2036FY20</v>
      </c>
      <c r="H504" t="str">
        <f t="shared" si="15"/>
        <v>FY2020 Sep</v>
      </c>
    </row>
    <row r="505" spans="1:8" x14ac:dyDescent="0.35">
      <c r="A505" t="s">
        <v>408</v>
      </c>
      <c r="B505" t="s">
        <v>443</v>
      </c>
      <c r="C505">
        <v>2037</v>
      </c>
      <c r="D505">
        <v>42</v>
      </c>
      <c r="E505" t="s">
        <v>1348</v>
      </c>
      <c r="F505" t="s">
        <v>1369</v>
      </c>
      <c r="G505" t="str">
        <f t="shared" si="14"/>
        <v>2037FY20</v>
      </c>
      <c r="H505" t="str">
        <f t="shared" si="15"/>
        <v>FY2020 Sep</v>
      </c>
    </row>
    <row r="506" spans="1:8" x14ac:dyDescent="0.35">
      <c r="A506" t="s">
        <v>408</v>
      </c>
      <c r="B506" t="s">
        <v>443</v>
      </c>
      <c r="C506">
        <v>2038</v>
      </c>
      <c r="D506">
        <v>139</v>
      </c>
      <c r="E506" t="s">
        <v>1348</v>
      </c>
      <c r="F506" t="s">
        <v>1369</v>
      </c>
      <c r="G506" t="str">
        <f t="shared" si="14"/>
        <v>2038FY20</v>
      </c>
      <c r="H506" t="str">
        <f t="shared" si="15"/>
        <v>FY2020 Sep</v>
      </c>
    </row>
    <row r="507" spans="1:8" x14ac:dyDescent="0.35">
      <c r="A507" t="s">
        <v>408</v>
      </c>
      <c r="B507" t="s">
        <v>443</v>
      </c>
      <c r="C507">
        <v>2040</v>
      </c>
      <c r="D507">
        <v>104</v>
      </c>
      <c r="E507" t="s">
        <v>1348</v>
      </c>
      <c r="F507" t="s">
        <v>1370</v>
      </c>
      <c r="G507" t="str">
        <f t="shared" si="14"/>
        <v>2040FY20</v>
      </c>
      <c r="H507" t="str">
        <f t="shared" si="15"/>
        <v>FY2020 Oct</v>
      </c>
    </row>
    <row r="508" spans="1:8" x14ac:dyDescent="0.35">
      <c r="A508" t="s">
        <v>408</v>
      </c>
      <c r="B508" t="s">
        <v>443</v>
      </c>
      <c r="C508">
        <v>2041</v>
      </c>
      <c r="D508">
        <v>54</v>
      </c>
      <c r="E508" t="s">
        <v>1348</v>
      </c>
      <c r="F508" t="s">
        <v>1370</v>
      </c>
      <c r="G508" t="str">
        <f t="shared" si="14"/>
        <v>2041FY20</v>
      </c>
      <c r="H508" t="str">
        <f t="shared" si="15"/>
        <v>FY2020 Oct</v>
      </c>
    </row>
    <row r="509" spans="1:8" x14ac:dyDescent="0.35">
      <c r="A509" t="s">
        <v>408</v>
      </c>
      <c r="B509" t="s">
        <v>443</v>
      </c>
      <c r="C509">
        <v>2042</v>
      </c>
      <c r="D509">
        <v>128</v>
      </c>
      <c r="E509" t="s">
        <v>1348</v>
      </c>
      <c r="F509" t="s">
        <v>1370</v>
      </c>
      <c r="G509" t="str">
        <f t="shared" si="14"/>
        <v>2042FY20</v>
      </c>
      <c r="H509" t="str">
        <f t="shared" si="15"/>
        <v>FY2020 Oct</v>
      </c>
    </row>
    <row r="510" spans="1:8" x14ac:dyDescent="0.35">
      <c r="A510" t="s">
        <v>408</v>
      </c>
      <c r="B510" t="s">
        <v>443</v>
      </c>
      <c r="C510">
        <v>2043</v>
      </c>
      <c r="D510">
        <v>82</v>
      </c>
      <c r="E510" t="s">
        <v>1348</v>
      </c>
      <c r="F510" t="s">
        <v>1370</v>
      </c>
      <c r="G510" t="str">
        <f t="shared" si="14"/>
        <v>2043FY20</v>
      </c>
      <c r="H510" t="str">
        <f t="shared" si="15"/>
        <v>FY2020 Oct</v>
      </c>
    </row>
    <row r="511" spans="1:8" x14ac:dyDescent="0.35">
      <c r="A511" t="s">
        <v>408</v>
      </c>
      <c r="B511" t="s">
        <v>443</v>
      </c>
      <c r="C511">
        <v>2044</v>
      </c>
      <c r="D511">
        <v>60</v>
      </c>
      <c r="E511" t="s">
        <v>1348</v>
      </c>
      <c r="F511" t="s">
        <v>1371</v>
      </c>
      <c r="G511" t="str">
        <f t="shared" si="14"/>
        <v>2044FY20</v>
      </c>
      <c r="H511" t="str">
        <f t="shared" si="15"/>
        <v>FY2020 Nov</v>
      </c>
    </row>
    <row r="512" spans="1:8" x14ac:dyDescent="0.35">
      <c r="A512" t="s">
        <v>408</v>
      </c>
      <c r="B512" t="s">
        <v>443</v>
      </c>
      <c r="C512">
        <v>2045</v>
      </c>
      <c r="D512">
        <v>11</v>
      </c>
      <c r="E512" t="s">
        <v>1348</v>
      </c>
      <c r="F512" t="s">
        <v>1371</v>
      </c>
      <c r="G512" t="str">
        <f t="shared" si="14"/>
        <v>2045FY20</v>
      </c>
      <c r="H512" t="str">
        <f t="shared" si="15"/>
        <v>FY2020 Nov</v>
      </c>
    </row>
    <row r="513" spans="1:8" x14ac:dyDescent="0.35">
      <c r="A513" t="s">
        <v>408</v>
      </c>
      <c r="B513" t="s">
        <v>443</v>
      </c>
      <c r="C513">
        <v>2046</v>
      </c>
      <c r="D513">
        <v>56</v>
      </c>
      <c r="E513" t="s">
        <v>1348</v>
      </c>
      <c r="F513" t="s">
        <v>1371</v>
      </c>
      <c r="G513" t="str">
        <f t="shared" si="14"/>
        <v>2046FY20</v>
      </c>
      <c r="H513" t="str">
        <f t="shared" si="15"/>
        <v>FY2020 Nov</v>
      </c>
    </row>
    <row r="514" spans="1:8" x14ac:dyDescent="0.35">
      <c r="A514" t="s">
        <v>408</v>
      </c>
      <c r="B514" t="s">
        <v>443</v>
      </c>
      <c r="C514">
        <v>2047</v>
      </c>
      <c r="D514">
        <v>60</v>
      </c>
      <c r="E514" t="s">
        <v>1348</v>
      </c>
      <c r="F514" t="s">
        <v>1371</v>
      </c>
      <c r="G514" t="str">
        <f t="shared" si="14"/>
        <v>2047FY20</v>
      </c>
      <c r="H514" t="str">
        <f t="shared" si="15"/>
        <v>FY2020 Nov</v>
      </c>
    </row>
    <row r="515" spans="1:8" x14ac:dyDescent="0.35">
      <c r="A515" t="s">
        <v>408</v>
      </c>
      <c r="B515" t="s">
        <v>443</v>
      </c>
      <c r="C515">
        <v>2048</v>
      </c>
      <c r="D515">
        <v>12</v>
      </c>
      <c r="E515" t="s">
        <v>1348</v>
      </c>
      <c r="F515" t="s">
        <v>1371</v>
      </c>
      <c r="G515" t="str">
        <f t="shared" ref="G515:G578" si="16">C515&amp;E515</f>
        <v>2048FY20</v>
      </c>
      <c r="H515" t="str">
        <f t="shared" ref="H515:H578" si="17">E515&amp;F515</f>
        <v>FY2020 Nov</v>
      </c>
    </row>
    <row r="516" spans="1:8" x14ac:dyDescent="0.35">
      <c r="A516" t="s">
        <v>408</v>
      </c>
      <c r="B516" t="s">
        <v>443</v>
      </c>
      <c r="C516">
        <v>2049</v>
      </c>
      <c r="D516">
        <v>36</v>
      </c>
      <c r="E516" t="s">
        <v>1348</v>
      </c>
      <c r="F516" t="s">
        <v>1372</v>
      </c>
      <c r="G516" t="str">
        <f t="shared" si="16"/>
        <v>2049FY20</v>
      </c>
      <c r="H516" t="str">
        <f t="shared" si="17"/>
        <v>FY2020 Dec</v>
      </c>
    </row>
    <row r="517" spans="1:8" x14ac:dyDescent="0.35">
      <c r="A517" t="s">
        <v>408</v>
      </c>
      <c r="B517" t="s">
        <v>443</v>
      </c>
      <c r="C517">
        <v>2050</v>
      </c>
      <c r="D517">
        <v>69</v>
      </c>
      <c r="E517" t="s">
        <v>1348</v>
      </c>
      <c r="F517" t="s">
        <v>1372</v>
      </c>
      <c r="G517" t="str">
        <f t="shared" si="16"/>
        <v>2050FY20</v>
      </c>
      <c r="H517" t="str">
        <f t="shared" si="17"/>
        <v>FY2020 Dec</v>
      </c>
    </row>
    <row r="518" spans="1:8" x14ac:dyDescent="0.35">
      <c r="A518" t="s">
        <v>408</v>
      </c>
      <c r="B518" t="s">
        <v>443</v>
      </c>
      <c r="C518">
        <v>2051</v>
      </c>
      <c r="D518">
        <v>48</v>
      </c>
      <c r="E518" t="s">
        <v>1348</v>
      </c>
      <c r="F518" t="s">
        <v>1372</v>
      </c>
      <c r="G518" t="str">
        <f t="shared" si="16"/>
        <v>2051FY20</v>
      </c>
      <c r="H518" t="str">
        <f t="shared" si="17"/>
        <v>FY2020 Dec</v>
      </c>
    </row>
    <row r="519" spans="1:8" x14ac:dyDescent="0.35">
      <c r="A519" t="s">
        <v>408</v>
      </c>
      <c r="B519" t="s">
        <v>443</v>
      </c>
      <c r="C519">
        <v>2052</v>
      </c>
      <c r="D519">
        <v>173</v>
      </c>
      <c r="E519" t="s">
        <v>1348</v>
      </c>
      <c r="F519" t="s">
        <v>1372</v>
      </c>
      <c r="G519" t="str">
        <f t="shared" si="16"/>
        <v>2052FY20</v>
      </c>
      <c r="H519" t="str">
        <f t="shared" si="17"/>
        <v>FY2020 Dec</v>
      </c>
    </row>
    <row r="520" spans="1:8" x14ac:dyDescent="0.35">
      <c r="A520" t="s">
        <v>408</v>
      </c>
      <c r="B520" t="s">
        <v>443</v>
      </c>
      <c r="C520">
        <v>2102</v>
      </c>
      <c r="D520">
        <v>15</v>
      </c>
      <c r="E520" t="s">
        <v>1348</v>
      </c>
      <c r="F520" t="s">
        <v>1363</v>
      </c>
      <c r="G520" t="str">
        <f t="shared" si="16"/>
        <v>2102FY20</v>
      </c>
      <c r="H520" t="str">
        <f t="shared" si="17"/>
        <v>FY2021 Jan</v>
      </c>
    </row>
    <row r="521" spans="1:8" x14ac:dyDescent="0.35">
      <c r="A521" t="s">
        <v>408</v>
      </c>
      <c r="B521" t="s">
        <v>443</v>
      </c>
      <c r="C521">
        <v>2104</v>
      </c>
      <c r="D521">
        <v>21</v>
      </c>
      <c r="E521" t="s">
        <v>1348</v>
      </c>
      <c r="F521" t="s">
        <v>1363</v>
      </c>
      <c r="G521" t="str">
        <f t="shared" si="16"/>
        <v>2104FY20</v>
      </c>
      <c r="H521" t="str">
        <f t="shared" si="17"/>
        <v>FY2021 Jan</v>
      </c>
    </row>
    <row r="522" spans="1:8" x14ac:dyDescent="0.35">
      <c r="A522" t="s">
        <v>408</v>
      </c>
      <c r="B522" t="s">
        <v>443</v>
      </c>
      <c r="C522">
        <v>2105</v>
      </c>
      <c r="D522">
        <v>12</v>
      </c>
      <c r="E522" t="s">
        <v>1348</v>
      </c>
      <c r="F522" t="s">
        <v>1362</v>
      </c>
      <c r="G522" t="str">
        <f t="shared" si="16"/>
        <v>2105FY20</v>
      </c>
      <c r="H522" t="str">
        <f t="shared" si="17"/>
        <v>FY2021 Feb</v>
      </c>
    </row>
    <row r="523" spans="1:8" x14ac:dyDescent="0.35">
      <c r="A523" t="s">
        <v>408</v>
      </c>
      <c r="B523" t="s">
        <v>443</v>
      </c>
      <c r="C523">
        <v>2106</v>
      </c>
      <c r="D523">
        <v>16</v>
      </c>
      <c r="E523" t="s">
        <v>1348</v>
      </c>
      <c r="F523" t="s">
        <v>1362</v>
      </c>
      <c r="G523" t="str">
        <f t="shared" si="16"/>
        <v>2106FY20</v>
      </c>
      <c r="H523" t="str">
        <f t="shared" si="17"/>
        <v>FY2021 Feb</v>
      </c>
    </row>
    <row r="524" spans="1:8" x14ac:dyDescent="0.35">
      <c r="A524" t="s">
        <v>408</v>
      </c>
      <c r="B524" t="s">
        <v>443</v>
      </c>
      <c r="C524">
        <v>2107</v>
      </c>
      <c r="D524">
        <v>47</v>
      </c>
      <c r="E524" t="s">
        <v>1348</v>
      </c>
      <c r="F524" t="s">
        <v>1362</v>
      </c>
      <c r="G524" t="str">
        <f t="shared" si="16"/>
        <v>2107FY20</v>
      </c>
      <c r="H524" t="str">
        <f t="shared" si="17"/>
        <v>FY2021 Feb</v>
      </c>
    </row>
    <row r="525" spans="1:8" x14ac:dyDescent="0.35">
      <c r="A525" t="s">
        <v>408</v>
      </c>
      <c r="B525" t="s">
        <v>443</v>
      </c>
      <c r="C525">
        <v>2108</v>
      </c>
      <c r="D525">
        <v>12</v>
      </c>
      <c r="E525" t="s">
        <v>1348</v>
      </c>
      <c r="F525" t="s">
        <v>1362</v>
      </c>
      <c r="G525" t="str">
        <f t="shared" si="16"/>
        <v>2108FY20</v>
      </c>
      <c r="H525" t="str">
        <f t="shared" si="17"/>
        <v>FY2021 Feb</v>
      </c>
    </row>
    <row r="526" spans="1:8" x14ac:dyDescent="0.35">
      <c r="A526" t="s">
        <v>408</v>
      </c>
      <c r="B526" t="s">
        <v>443</v>
      </c>
      <c r="C526">
        <v>2110</v>
      </c>
      <c r="D526">
        <v>36</v>
      </c>
      <c r="E526" t="s">
        <v>1348</v>
      </c>
      <c r="F526" t="s">
        <v>1356</v>
      </c>
      <c r="G526" t="str">
        <f t="shared" si="16"/>
        <v>2110FY20</v>
      </c>
      <c r="H526" t="str">
        <f t="shared" si="17"/>
        <v>FY2021 Mar</v>
      </c>
    </row>
    <row r="527" spans="1:8" x14ac:dyDescent="0.35">
      <c r="A527" t="s">
        <v>408</v>
      </c>
      <c r="B527" t="s">
        <v>443</v>
      </c>
      <c r="C527">
        <v>2111</v>
      </c>
      <c r="D527">
        <v>55</v>
      </c>
      <c r="E527" t="s">
        <v>1348</v>
      </c>
      <c r="F527" t="s">
        <v>1356</v>
      </c>
      <c r="G527" t="str">
        <f t="shared" si="16"/>
        <v>2111FY20</v>
      </c>
      <c r="H527" t="str">
        <f t="shared" si="17"/>
        <v>FY2021 Mar</v>
      </c>
    </row>
    <row r="528" spans="1:8" x14ac:dyDescent="0.35">
      <c r="A528" t="s">
        <v>408</v>
      </c>
      <c r="B528" t="s">
        <v>443</v>
      </c>
      <c r="C528">
        <v>2112</v>
      </c>
      <c r="D528">
        <v>13</v>
      </c>
      <c r="E528" t="s">
        <v>1348</v>
      </c>
      <c r="F528" t="s">
        <v>1356</v>
      </c>
      <c r="G528" t="str">
        <f t="shared" si="16"/>
        <v>2112FY20</v>
      </c>
      <c r="H528" t="str">
        <f t="shared" si="17"/>
        <v>FY2021 Mar</v>
      </c>
    </row>
    <row r="529" spans="1:8" x14ac:dyDescent="0.35">
      <c r="A529" t="s">
        <v>408</v>
      </c>
      <c r="B529" t="s">
        <v>443</v>
      </c>
      <c r="C529">
        <v>2114</v>
      </c>
      <c r="D529">
        <v>180</v>
      </c>
      <c r="E529" t="s">
        <v>1348</v>
      </c>
      <c r="F529" t="s">
        <v>1357</v>
      </c>
      <c r="G529" t="str">
        <f t="shared" si="16"/>
        <v>2114FY20</v>
      </c>
      <c r="H529" t="str">
        <f t="shared" si="17"/>
        <v>FY2021 Apr</v>
      </c>
    </row>
    <row r="530" spans="1:8" x14ac:dyDescent="0.35">
      <c r="A530" t="s">
        <v>408</v>
      </c>
      <c r="B530" t="s">
        <v>443</v>
      </c>
      <c r="C530">
        <v>2115</v>
      </c>
      <c r="D530">
        <v>84</v>
      </c>
      <c r="E530" t="s">
        <v>1348</v>
      </c>
      <c r="F530" t="s">
        <v>1357</v>
      </c>
      <c r="G530" t="str">
        <f t="shared" si="16"/>
        <v>2115FY20</v>
      </c>
      <c r="H530" t="str">
        <f t="shared" si="17"/>
        <v>FY2021 Apr</v>
      </c>
    </row>
    <row r="531" spans="1:8" x14ac:dyDescent="0.35">
      <c r="A531" t="s">
        <v>408</v>
      </c>
      <c r="B531" t="s">
        <v>443</v>
      </c>
      <c r="C531">
        <v>2116</v>
      </c>
      <c r="D531">
        <v>88</v>
      </c>
      <c r="E531" t="s">
        <v>1348</v>
      </c>
      <c r="F531" t="s">
        <v>1357</v>
      </c>
      <c r="G531" t="str">
        <f t="shared" si="16"/>
        <v>2116FY20</v>
      </c>
      <c r="H531" t="str">
        <f t="shared" si="17"/>
        <v>FY2021 Apr</v>
      </c>
    </row>
    <row r="532" spans="1:8" x14ac:dyDescent="0.35">
      <c r="A532" t="s">
        <v>408</v>
      </c>
      <c r="B532" t="s">
        <v>443</v>
      </c>
      <c r="C532">
        <v>2117</v>
      </c>
      <c r="D532">
        <v>73</v>
      </c>
      <c r="E532" t="s">
        <v>1348</v>
      </c>
      <c r="F532" t="s">
        <v>1357</v>
      </c>
      <c r="G532" t="str">
        <f t="shared" si="16"/>
        <v>2117FY20</v>
      </c>
      <c r="H532" t="str">
        <f t="shared" si="17"/>
        <v>FY2021 Apr</v>
      </c>
    </row>
    <row r="533" spans="1:8" x14ac:dyDescent="0.35">
      <c r="A533" t="s">
        <v>408</v>
      </c>
      <c r="B533" t="s">
        <v>443</v>
      </c>
      <c r="C533">
        <v>2118</v>
      </c>
      <c r="D533">
        <v>7</v>
      </c>
      <c r="E533" t="s">
        <v>1348</v>
      </c>
      <c r="F533" t="s">
        <v>1358</v>
      </c>
      <c r="G533" t="str">
        <f t="shared" si="16"/>
        <v>2118FY20</v>
      </c>
      <c r="H533" t="str">
        <f t="shared" si="17"/>
        <v>FY2021 May</v>
      </c>
    </row>
    <row r="534" spans="1:8" x14ac:dyDescent="0.35">
      <c r="A534" t="s">
        <v>408</v>
      </c>
      <c r="B534" t="s">
        <v>443</v>
      </c>
      <c r="C534">
        <v>2119</v>
      </c>
      <c r="D534">
        <v>64</v>
      </c>
      <c r="E534" t="s">
        <v>1348</v>
      </c>
      <c r="F534" t="s">
        <v>1358</v>
      </c>
      <c r="G534" t="str">
        <f t="shared" si="16"/>
        <v>2119FY20</v>
      </c>
      <c r="H534" t="str">
        <f t="shared" si="17"/>
        <v>FY2021 May</v>
      </c>
    </row>
    <row r="535" spans="1:8" x14ac:dyDescent="0.35">
      <c r="A535" t="s">
        <v>408</v>
      </c>
      <c r="B535" t="s">
        <v>443</v>
      </c>
      <c r="C535">
        <v>2120</v>
      </c>
      <c r="D535">
        <v>53</v>
      </c>
      <c r="E535" t="s">
        <v>1348</v>
      </c>
      <c r="F535" t="s">
        <v>1358</v>
      </c>
      <c r="G535" t="str">
        <f t="shared" si="16"/>
        <v>2120FY20</v>
      </c>
      <c r="H535" t="str">
        <f t="shared" si="17"/>
        <v>FY2021 May</v>
      </c>
    </row>
    <row r="536" spans="1:8" x14ac:dyDescent="0.35">
      <c r="A536" t="s">
        <v>408</v>
      </c>
      <c r="B536" t="s">
        <v>443</v>
      </c>
      <c r="C536">
        <v>2121</v>
      </c>
      <c r="D536">
        <v>19</v>
      </c>
      <c r="E536" t="s">
        <v>1348</v>
      </c>
      <c r="F536" t="s">
        <v>1358</v>
      </c>
      <c r="G536" t="str">
        <f t="shared" si="16"/>
        <v>2121FY20</v>
      </c>
      <c r="H536" t="str">
        <f t="shared" si="17"/>
        <v>FY2021 May</v>
      </c>
    </row>
    <row r="537" spans="1:8" x14ac:dyDescent="0.35">
      <c r="A537" t="s">
        <v>408</v>
      </c>
      <c r="B537" t="s">
        <v>443</v>
      </c>
      <c r="C537">
        <v>2123</v>
      </c>
      <c r="D537">
        <v>36</v>
      </c>
      <c r="E537" t="s">
        <v>1348</v>
      </c>
      <c r="F537" t="s">
        <v>1359</v>
      </c>
      <c r="G537" t="str">
        <f t="shared" si="16"/>
        <v>2123FY20</v>
      </c>
      <c r="H537" t="str">
        <f t="shared" si="17"/>
        <v>FY2021 Jun</v>
      </c>
    </row>
    <row r="538" spans="1:8" x14ac:dyDescent="0.35">
      <c r="A538" t="s">
        <v>408</v>
      </c>
      <c r="B538" t="s">
        <v>443</v>
      </c>
      <c r="C538">
        <v>2124</v>
      </c>
      <c r="D538">
        <v>36</v>
      </c>
      <c r="E538" t="s">
        <v>1348</v>
      </c>
      <c r="F538" t="s">
        <v>1359</v>
      </c>
      <c r="G538" t="str">
        <f t="shared" si="16"/>
        <v>2124FY20</v>
      </c>
      <c r="H538" t="str">
        <f t="shared" si="17"/>
        <v>FY2021 Jun</v>
      </c>
    </row>
    <row r="539" spans="1:8" x14ac:dyDescent="0.35">
      <c r="A539" t="s">
        <v>408</v>
      </c>
      <c r="B539" t="s">
        <v>443</v>
      </c>
      <c r="C539">
        <v>2125</v>
      </c>
      <c r="D539">
        <v>72</v>
      </c>
      <c r="E539" t="s">
        <v>1348</v>
      </c>
      <c r="F539" t="s">
        <v>1359</v>
      </c>
      <c r="G539" t="str">
        <f t="shared" si="16"/>
        <v>2125FY20</v>
      </c>
      <c r="H539" t="str">
        <f t="shared" si="17"/>
        <v>FY2021 Jun</v>
      </c>
    </row>
    <row r="540" spans="1:8" x14ac:dyDescent="0.35">
      <c r="A540" t="s">
        <v>408</v>
      </c>
      <c r="B540" t="s">
        <v>443</v>
      </c>
      <c r="C540">
        <v>2127</v>
      </c>
      <c r="D540">
        <v>48</v>
      </c>
      <c r="E540" t="s">
        <v>1348</v>
      </c>
      <c r="F540" t="s">
        <v>1360</v>
      </c>
      <c r="G540" t="str">
        <f t="shared" si="16"/>
        <v>2127FY20</v>
      </c>
      <c r="H540" t="str">
        <f t="shared" si="17"/>
        <v>FY2021 Jul</v>
      </c>
    </row>
    <row r="541" spans="1:8" x14ac:dyDescent="0.35">
      <c r="A541" t="s">
        <v>408</v>
      </c>
      <c r="B541" t="s">
        <v>443</v>
      </c>
      <c r="C541">
        <v>2128</v>
      </c>
      <c r="D541">
        <v>36</v>
      </c>
      <c r="E541" t="s">
        <v>1348</v>
      </c>
      <c r="F541" t="s">
        <v>1360</v>
      </c>
      <c r="G541" t="str">
        <f t="shared" si="16"/>
        <v>2128FY20</v>
      </c>
      <c r="H541" t="str">
        <f t="shared" si="17"/>
        <v>FY2021 Jul</v>
      </c>
    </row>
    <row r="542" spans="1:8" x14ac:dyDescent="0.35">
      <c r="A542" t="s">
        <v>408</v>
      </c>
      <c r="B542" t="s">
        <v>443</v>
      </c>
      <c r="C542">
        <v>2130</v>
      </c>
      <c r="D542">
        <v>12</v>
      </c>
      <c r="E542" t="s">
        <v>1348</v>
      </c>
      <c r="F542" t="s">
        <v>1360</v>
      </c>
      <c r="G542" t="str">
        <f t="shared" si="16"/>
        <v>2130FY20</v>
      </c>
      <c r="H542" t="str">
        <f t="shared" si="17"/>
        <v>FY2021 Jul</v>
      </c>
    </row>
    <row r="543" spans="1:8" x14ac:dyDescent="0.35">
      <c r="A543" t="s">
        <v>408</v>
      </c>
      <c r="B543" t="s">
        <v>443</v>
      </c>
      <c r="C543">
        <v>2131</v>
      </c>
      <c r="D543">
        <v>51</v>
      </c>
      <c r="E543" t="s">
        <v>1348</v>
      </c>
      <c r="F543" t="s">
        <v>1361</v>
      </c>
      <c r="G543" t="str">
        <f t="shared" si="16"/>
        <v>2131FY20</v>
      </c>
      <c r="H543" t="str">
        <f t="shared" si="17"/>
        <v>FY2021 Aug</v>
      </c>
    </row>
    <row r="544" spans="1:8" x14ac:dyDescent="0.35">
      <c r="A544" t="s">
        <v>408</v>
      </c>
      <c r="B544" t="s">
        <v>443</v>
      </c>
      <c r="C544">
        <v>2133</v>
      </c>
      <c r="D544">
        <v>78</v>
      </c>
      <c r="E544" t="s">
        <v>1348</v>
      </c>
      <c r="F544" t="s">
        <v>1361</v>
      </c>
      <c r="G544" t="str">
        <f t="shared" si="16"/>
        <v>2133FY20</v>
      </c>
      <c r="H544" t="str">
        <f t="shared" si="17"/>
        <v>FY2021 Aug</v>
      </c>
    </row>
    <row r="545" spans="1:8" x14ac:dyDescent="0.35">
      <c r="A545" t="s">
        <v>408</v>
      </c>
      <c r="B545" t="s">
        <v>449</v>
      </c>
      <c r="C545">
        <v>2127</v>
      </c>
      <c r="D545">
        <v>17</v>
      </c>
      <c r="E545" t="s">
        <v>1347</v>
      </c>
      <c r="F545" t="s">
        <v>1360</v>
      </c>
      <c r="G545" t="str">
        <f t="shared" si="16"/>
        <v>2127FY21</v>
      </c>
      <c r="H545" t="str">
        <f t="shared" si="17"/>
        <v>FY2121 Jul</v>
      </c>
    </row>
    <row r="546" spans="1:8" x14ac:dyDescent="0.35">
      <c r="A546" t="s">
        <v>408</v>
      </c>
      <c r="B546" t="s">
        <v>449</v>
      </c>
      <c r="C546">
        <v>2129</v>
      </c>
      <c r="D546">
        <v>9</v>
      </c>
      <c r="E546" t="s">
        <v>1347</v>
      </c>
      <c r="F546" t="s">
        <v>1360</v>
      </c>
      <c r="G546" t="str">
        <f t="shared" si="16"/>
        <v>2129FY21</v>
      </c>
      <c r="H546" t="str">
        <f t="shared" si="17"/>
        <v>FY2121 Jul</v>
      </c>
    </row>
    <row r="547" spans="1:8" x14ac:dyDescent="0.35">
      <c r="A547" t="s">
        <v>408</v>
      </c>
      <c r="B547" t="s">
        <v>449</v>
      </c>
      <c r="C547">
        <v>2130</v>
      </c>
      <c r="D547">
        <v>109</v>
      </c>
      <c r="E547" t="s">
        <v>1347</v>
      </c>
      <c r="F547" t="s">
        <v>1360</v>
      </c>
      <c r="G547" t="str">
        <f t="shared" si="16"/>
        <v>2130FY21</v>
      </c>
      <c r="H547" t="str">
        <f t="shared" si="17"/>
        <v>FY2121 Jul</v>
      </c>
    </row>
    <row r="548" spans="1:8" x14ac:dyDescent="0.35">
      <c r="A548" t="s">
        <v>408</v>
      </c>
      <c r="B548" t="s">
        <v>449</v>
      </c>
      <c r="C548">
        <v>2131</v>
      </c>
      <c r="D548">
        <v>74</v>
      </c>
      <c r="E548" t="s">
        <v>1347</v>
      </c>
      <c r="F548" t="s">
        <v>1361</v>
      </c>
      <c r="G548" t="str">
        <f t="shared" si="16"/>
        <v>2131FY21</v>
      </c>
      <c r="H548" t="str">
        <f t="shared" si="17"/>
        <v>FY2121 Aug</v>
      </c>
    </row>
    <row r="549" spans="1:8" x14ac:dyDescent="0.35">
      <c r="A549" t="s">
        <v>408</v>
      </c>
      <c r="B549" t="s">
        <v>436</v>
      </c>
      <c r="C549">
        <v>2115</v>
      </c>
      <c r="D549">
        <v>23</v>
      </c>
      <c r="E549" t="s">
        <v>1347</v>
      </c>
      <c r="F549" t="s">
        <v>1357</v>
      </c>
      <c r="G549" t="str">
        <f t="shared" si="16"/>
        <v>2115FY21</v>
      </c>
      <c r="H549" t="str">
        <f t="shared" si="17"/>
        <v>FY2121 Apr</v>
      </c>
    </row>
    <row r="550" spans="1:8" x14ac:dyDescent="0.35">
      <c r="A550" t="s">
        <v>408</v>
      </c>
      <c r="B550" t="s">
        <v>436</v>
      </c>
      <c r="C550">
        <v>2123</v>
      </c>
      <c r="D550">
        <v>6</v>
      </c>
      <c r="E550" t="s">
        <v>1347</v>
      </c>
      <c r="F550" t="s">
        <v>1359</v>
      </c>
      <c r="G550" t="str">
        <f t="shared" si="16"/>
        <v>2123FY21</v>
      </c>
      <c r="H550" t="str">
        <f t="shared" si="17"/>
        <v>FY2121 Jun</v>
      </c>
    </row>
    <row r="551" spans="1:8" x14ac:dyDescent="0.35">
      <c r="A551" t="s">
        <v>408</v>
      </c>
      <c r="B551" t="s">
        <v>436</v>
      </c>
      <c r="C551">
        <v>2124</v>
      </c>
      <c r="D551">
        <v>14</v>
      </c>
      <c r="E551" t="s">
        <v>1347</v>
      </c>
      <c r="F551" t="s">
        <v>1359</v>
      </c>
      <c r="G551" t="str">
        <f t="shared" si="16"/>
        <v>2124FY21</v>
      </c>
      <c r="H551" t="str">
        <f t="shared" si="17"/>
        <v>FY2121 Jun</v>
      </c>
    </row>
    <row r="552" spans="1:8" x14ac:dyDescent="0.35">
      <c r="A552" t="s">
        <v>408</v>
      </c>
      <c r="B552" t="s">
        <v>436</v>
      </c>
      <c r="C552">
        <v>2125</v>
      </c>
      <c r="D552">
        <v>18</v>
      </c>
      <c r="E552" t="s">
        <v>1347</v>
      </c>
      <c r="F552" t="s">
        <v>1359</v>
      </c>
      <c r="G552" t="str">
        <f t="shared" si="16"/>
        <v>2125FY21</v>
      </c>
      <c r="H552" t="str">
        <f t="shared" si="17"/>
        <v>FY2121 Jun</v>
      </c>
    </row>
    <row r="553" spans="1:8" x14ac:dyDescent="0.35">
      <c r="A553" t="s">
        <v>408</v>
      </c>
      <c r="B553" t="s">
        <v>436</v>
      </c>
      <c r="C553">
        <v>2127</v>
      </c>
      <c r="D553">
        <v>12</v>
      </c>
      <c r="E553" t="s">
        <v>1347</v>
      </c>
      <c r="F553" t="s">
        <v>1360</v>
      </c>
      <c r="G553" t="str">
        <f t="shared" si="16"/>
        <v>2127FY21</v>
      </c>
      <c r="H553" t="str">
        <f t="shared" si="17"/>
        <v>FY2121 Jul</v>
      </c>
    </row>
    <row r="554" spans="1:8" x14ac:dyDescent="0.35">
      <c r="A554" t="s">
        <v>408</v>
      </c>
      <c r="B554" t="s">
        <v>436</v>
      </c>
      <c r="C554">
        <v>2128</v>
      </c>
      <c r="D554">
        <v>11</v>
      </c>
      <c r="E554" t="s">
        <v>1347</v>
      </c>
      <c r="F554" t="s">
        <v>1360</v>
      </c>
      <c r="G554" t="str">
        <f t="shared" si="16"/>
        <v>2128FY21</v>
      </c>
      <c r="H554" t="str">
        <f t="shared" si="17"/>
        <v>FY2121 Jul</v>
      </c>
    </row>
    <row r="555" spans="1:8" x14ac:dyDescent="0.35">
      <c r="A555" t="s">
        <v>408</v>
      </c>
      <c r="B555" t="s">
        <v>436</v>
      </c>
      <c r="C555">
        <v>2129</v>
      </c>
      <c r="D555">
        <v>5</v>
      </c>
      <c r="E555" t="s">
        <v>1347</v>
      </c>
      <c r="F555" t="s">
        <v>1360</v>
      </c>
      <c r="G555" t="str">
        <f t="shared" si="16"/>
        <v>2129FY21</v>
      </c>
      <c r="H555" t="str">
        <f t="shared" si="17"/>
        <v>FY2121 Jul</v>
      </c>
    </row>
    <row r="556" spans="1:8" x14ac:dyDescent="0.35">
      <c r="A556" t="s">
        <v>408</v>
      </c>
      <c r="B556" t="s">
        <v>437</v>
      </c>
      <c r="C556">
        <v>2115</v>
      </c>
      <c r="D556">
        <v>24</v>
      </c>
      <c r="E556" t="s">
        <v>1347</v>
      </c>
      <c r="F556" t="s">
        <v>1357</v>
      </c>
      <c r="G556" t="str">
        <f t="shared" si="16"/>
        <v>2115FY21</v>
      </c>
      <c r="H556" t="str">
        <f t="shared" si="17"/>
        <v>FY2121 Apr</v>
      </c>
    </row>
    <row r="557" spans="1:8" x14ac:dyDescent="0.35">
      <c r="A557" t="s">
        <v>408</v>
      </c>
      <c r="B557" t="s">
        <v>437</v>
      </c>
      <c r="C557">
        <v>2124</v>
      </c>
      <c r="D557">
        <v>47</v>
      </c>
      <c r="E557" t="s">
        <v>1347</v>
      </c>
      <c r="F557" t="s">
        <v>1359</v>
      </c>
      <c r="G557" t="str">
        <f t="shared" si="16"/>
        <v>2124FY21</v>
      </c>
      <c r="H557" t="str">
        <f t="shared" si="17"/>
        <v>FY2121 Jun</v>
      </c>
    </row>
    <row r="558" spans="1:8" x14ac:dyDescent="0.35">
      <c r="A558" t="s">
        <v>408</v>
      </c>
      <c r="B558" t="s">
        <v>437</v>
      </c>
      <c r="C558">
        <v>2125</v>
      </c>
      <c r="D558">
        <v>52</v>
      </c>
      <c r="E558" t="s">
        <v>1347</v>
      </c>
      <c r="F558" t="s">
        <v>1359</v>
      </c>
      <c r="G558" t="str">
        <f t="shared" si="16"/>
        <v>2125FY21</v>
      </c>
      <c r="H558" t="str">
        <f t="shared" si="17"/>
        <v>FY2121 Jun</v>
      </c>
    </row>
    <row r="559" spans="1:8" x14ac:dyDescent="0.35">
      <c r="A559" t="s">
        <v>408</v>
      </c>
      <c r="B559" t="s">
        <v>437</v>
      </c>
      <c r="C559">
        <v>2126</v>
      </c>
      <c r="D559">
        <v>83</v>
      </c>
      <c r="E559" t="s">
        <v>1347</v>
      </c>
      <c r="F559" t="s">
        <v>1359</v>
      </c>
      <c r="G559" t="str">
        <f t="shared" si="16"/>
        <v>2126FY21</v>
      </c>
      <c r="H559" t="str">
        <f t="shared" si="17"/>
        <v>FY2121 Jun</v>
      </c>
    </row>
    <row r="560" spans="1:8" x14ac:dyDescent="0.35">
      <c r="A560" t="s">
        <v>408</v>
      </c>
      <c r="B560" t="s">
        <v>437</v>
      </c>
      <c r="C560">
        <v>2127</v>
      </c>
      <c r="D560">
        <v>7</v>
      </c>
      <c r="E560" t="s">
        <v>1347</v>
      </c>
      <c r="F560" t="s">
        <v>1360</v>
      </c>
      <c r="G560" t="str">
        <f t="shared" si="16"/>
        <v>2127FY21</v>
      </c>
      <c r="H560" t="str">
        <f t="shared" si="17"/>
        <v>FY2121 Jul</v>
      </c>
    </row>
    <row r="561" spans="1:8" x14ac:dyDescent="0.35">
      <c r="A561" t="s">
        <v>408</v>
      </c>
      <c r="B561" t="s">
        <v>437</v>
      </c>
      <c r="C561">
        <v>2128</v>
      </c>
      <c r="D561">
        <v>33</v>
      </c>
      <c r="E561" t="s">
        <v>1347</v>
      </c>
      <c r="F561" t="s">
        <v>1360</v>
      </c>
      <c r="G561" t="str">
        <f t="shared" si="16"/>
        <v>2128FY21</v>
      </c>
      <c r="H561" t="str">
        <f t="shared" si="17"/>
        <v>FY2121 Jul</v>
      </c>
    </row>
    <row r="562" spans="1:8" x14ac:dyDescent="0.35">
      <c r="A562" t="s">
        <v>408</v>
      </c>
      <c r="B562" t="s">
        <v>437</v>
      </c>
      <c r="C562">
        <v>2130</v>
      </c>
      <c r="D562">
        <v>20</v>
      </c>
      <c r="E562" t="s">
        <v>1347</v>
      </c>
      <c r="F562" t="s">
        <v>1360</v>
      </c>
      <c r="G562" t="str">
        <f t="shared" si="16"/>
        <v>2130FY21</v>
      </c>
      <c r="H562" t="str">
        <f t="shared" si="17"/>
        <v>FY2121 Jul</v>
      </c>
    </row>
    <row r="563" spans="1:8" x14ac:dyDescent="0.35">
      <c r="A563" t="s">
        <v>408</v>
      </c>
      <c r="B563" t="s">
        <v>437</v>
      </c>
      <c r="C563">
        <v>2133</v>
      </c>
      <c r="D563">
        <v>36</v>
      </c>
      <c r="E563" t="s">
        <v>1347</v>
      </c>
      <c r="F563" t="s">
        <v>1361</v>
      </c>
      <c r="G563" t="str">
        <f t="shared" si="16"/>
        <v>2133FY21</v>
      </c>
      <c r="H563" t="str">
        <f t="shared" si="17"/>
        <v>FY2121 Aug</v>
      </c>
    </row>
    <row r="564" spans="1:8" x14ac:dyDescent="0.35">
      <c r="A564" t="s">
        <v>408</v>
      </c>
      <c r="B564" t="s">
        <v>438</v>
      </c>
      <c r="C564">
        <v>2127</v>
      </c>
      <c r="D564">
        <v>16</v>
      </c>
      <c r="E564" t="s">
        <v>1347</v>
      </c>
      <c r="F564" t="s">
        <v>1360</v>
      </c>
      <c r="G564" t="str">
        <f t="shared" si="16"/>
        <v>2127FY21</v>
      </c>
      <c r="H564" t="str">
        <f t="shared" si="17"/>
        <v>FY2121 Jul</v>
      </c>
    </row>
    <row r="565" spans="1:8" x14ac:dyDescent="0.35">
      <c r="A565" t="s">
        <v>408</v>
      </c>
      <c r="B565" t="s">
        <v>438</v>
      </c>
      <c r="C565">
        <v>2129</v>
      </c>
      <c r="D565">
        <v>11</v>
      </c>
      <c r="E565" t="s">
        <v>1347</v>
      </c>
      <c r="F565" t="s">
        <v>1360</v>
      </c>
      <c r="G565" t="str">
        <f t="shared" si="16"/>
        <v>2129FY21</v>
      </c>
      <c r="H565" t="str">
        <f t="shared" si="17"/>
        <v>FY2121 Jul</v>
      </c>
    </row>
    <row r="566" spans="1:8" x14ac:dyDescent="0.35">
      <c r="A566" t="s">
        <v>408</v>
      </c>
      <c r="B566" t="s">
        <v>438</v>
      </c>
      <c r="C566">
        <v>2130</v>
      </c>
      <c r="D566">
        <v>110</v>
      </c>
      <c r="E566" t="s">
        <v>1347</v>
      </c>
      <c r="F566" t="s">
        <v>1360</v>
      </c>
      <c r="G566" t="str">
        <f t="shared" si="16"/>
        <v>2130FY21</v>
      </c>
      <c r="H566" t="str">
        <f t="shared" si="17"/>
        <v>FY2121 Jul</v>
      </c>
    </row>
    <row r="567" spans="1:8" x14ac:dyDescent="0.35">
      <c r="A567" t="s">
        <v>408</v>
      </c>
      <c r="B567" t="s">
        <v>438</v>
      </c>
      <c r="C567">
        <v>2131</v>
      </c>
      <c r="D567">
        <v>54</v>
      </c>
      <c r="E567" t="s">
        <v>1347</v>
      </c>
      <c r="F567" t="s">
        <v>1361</v>
      </c>
      <c r="G567" t="str">
        <f t="shared" si="16"/>
        <v>2131FY21</v>
      </c>
      <c r="H567" t="str">
        <f t="shared" si="17"/>
        <v>FY2121 Aug</v>
      </c>
    </row>
    <row r="568" spans="1:8" x14ac:dyDescent="0.35">
      <c r="A568" t="s">
        <v>408</v>
      </c>
      <c r="B568" t="s">
        <v>435</v>
      </c>
      <c r="C568">
        <v>2116</v>
      </c>
      <c r="D568">
        <v>23</v>
      </c>
      <c r="E568" t="s">
        <v>1347</v>
      </c>
      <c r="F568" t="s">
        <v>1357</v>
      </c>
      <c r="G568" t="str">
        <f t="shared" si="16"/>
        <v>2116FY21</v>
      </c>
      <c r="H568" t="str">
        <f t="shared" si="17"/>
        <v>FY2121 Apr</v>
      </c>
    </row>
    <row r="569" spans="1:8" x14ac:dyDescent="0.35">
      <c r="A569" t="s">
        <v>408</v>
      </c>
      <c r="B569" t="s">
        <v>435</v>
      </c>
      <c r="C569">
        <v>2119</v>
      </c>
      <c r="D569">
        <v>29</v>
      </c>
      <c r="E569" t="s">
        <v>1347</v>
      </c>
      <c r="F569" t="s">
        <v>1358</v>
      </c>
      <c r="G569" t="str">
        <f t="shared" si="16"/>
        <v>2119FY21</v>
      </c>
      <c r="H569" t="str">
        <f t="shared" si="17"/>
        <v>FY2121 May</v>
      </c>
    </row>
    <row r="570" spans="1:8" x14ac:dyDescent="0.35">
      <c r="A570" t="s">
        <v>408</v>
      </c>
      <c r="B570" t="s">
        <v>435</v>
      </c>
      <c r="C570">
        <v>2120</v>
      </c>
      <c r="D570">
        <v>31</v>
      </c>
      <c r="E570" t="s">
        <v>1347</v>
      </c>
      <c r="F570" t="s">
        <v>1358</v>
      </c>
      <c r="G570" t="str">
        <f t="shared" si="16"/>
        <v>2120FY21</v>
      </c>
      <c r="H570" t="str">
        <f t="shared" si="17"/>
        <v>FY2121 May</v>
      </c>
    </row>
    <row r="571" spans="1:8" x14ac:dyDescent="0.35">
      <c r="A571" t="s">
        <v>408</v>
      </c>
      <c r="B571" t="s">
        <v>435</v>
      </c>
      <c r="C571">
        <v>2121</v>
      </c>
      <c r="D571">
        <v>175</v>
      </c>
      <c r="E571" t="s">
        <v>1347</v>
      </c>
      <c r="F571" t="s">
        <v>1358</v>
      </c>
      <c r="G571" t="str">
        <f t="shared" si="16"/>
        <v>2121FY21</v>
      </c>
      <c r="H571" t="str">
        <f t="shared" si="17"/>
        <v>FY2121 May</v>
      </c>
    </row>
    <row r="572" spans="1:8" x14ac:dyDescent="0.35">
      <c r="A572" t="s">
        <v>408</v>
      </c>
      <c r="B572" t="s">
        <v>435</v>
      </c>
      <c r="C572">
        <v>2122</v>
      </c>
      <c r="D572">
        <v>35</v>
      </c>
      <c r="E572" t="s">
        <v>1347</v>
      </c>
      <c r="F572" t="s">
        <v>1358</v>
      </c>
      <c r="G572" t="str">
        <f t="shared" si="16"/>
        <v>2122FY21</v>
      </c>
      <c r="H572" t="str">
        <f t="shared" si="17"/>
        <v>FY2121 May</v>
      </c>
    </row>
    <row r="573" spans="1:8" x14ac:dyDescent="0.35">
      <c r="A573" t="s">
        <v>408</v>
      </c>
      <c r="B573" t="s">
        <v>435</v>
      </c>
      <c r="C573">
        <v>2123</v>
      </c>
      <c r="D573">
        <v>79</v>
      </c>
      <c r="E573" t="s">
        <v>1347</v>
      </c>
      <c r="F573" t="s">
        <v>1359</v>
      </c>
      <c r="G573" t="str">
        <f t="shared" si="16"/>
        <v>2123FY21</v>
      </c>
      <c r="H573" t="str">
        <f t="shared" si="17"/>
        <v>FY2121 Jun</v>
      </c>
    </row>
    <row r="574" spans="1:8" x14ac:dyDescent="0.35">
      <c r="A574" t="s">
        <v>408</v>
      </c>
      <c r="B574" t="s">
        <v>435</v>
      </c>
      <c r="C574">
        <v>2124</v>
      </c>
      <c r="D574">
        <v>48</v>
      </c>
      <c r="E574" t="s">
        <v>1347</v>
      </c>
      <c r="F574" t="s">
        <v>1359</v>
      </c>
      <c r="G574" t="str">
        <f t="shared" si="16"/>
        <v>2124FY21</v>
      </c>
      <c r="H574" t="str">
        <f t="shared" si="17"/>
        <v>FY2121 Jun</v>
      </c>
    </row>
    <row r="575" spans="1:8" x14ac:dyDescent="0.35">
      <c r="A575" t="s">
        <v>408</v>
      </c>
      <c r="B575" t="s">
        <v>435</v>
      </c>
      <c r="C575">
        <v>2125</v>
      </c>
      <c r="D575">
        <v>59</v>
      </c>
      <c r="E575" t="s">
        <v>1347</v>
      </c>
      <c r="F575" t="s">
        <v>1359</v>
      </c>
      <c r="G575" t="str">
        <f t="shared" si="16"/>
        <v>2125FY21</v>
      </c>
      <c r="H575" t="str">
        <f t="shared" si="17"/>
        <v>FY2121 Jun</v>
      </c>
    </row>
    <row r="576" spans="1:8" x14ac:dyDescent="0.35">
      <c r="A576" t="s">
        <v>408</v>
      </c>
      <c r="B576" t="s">
        <v>435</v>
      </c>
      <c r="C576">
        <v>2126</v>
      </c>
      <c r="D576">
        <v>101</v>
      </c>
      <c r="E576" t="s">
        <v>1347</v>
      </c>
      <c r="F576" t="s">
        <v>1359</v>
      </c>
      <c r="G576" t="str">
        <f t="shared" si="16"/>
        <v>2126FY21</v>
      </c>
      <c r="H576" t="str">
        <f t="shared" si="17"/>
        <v>FY2121 Jun</v>
      </c>
    </row>
    <row r="577" spans="1:8" x14ac:dyDescent="0.35">
      <c r="A577" t="s">
        <v>408</v>
      </c>
      <c r="B577" t="s">
        <v>435</v>
      </c>
      <c r="C577">
        <v>2128</v>
      </c>
      <c r="D577">
        <v>223</v>
      </c>
      <c r="E577" t="s">
        <v>1347</v>
      </c>
      <c r="F577" t="s">
        <v>1360</v>
      </c>
      <c r="G577" t="str">
        <f t="shared" si="16"/>
        <v>2128FY21</v>
      </c>
      <c r="H577" t="str">
        <f t="shared" si="17"/>
        <v>FY2121 Jul</v>
      </c>
    </row>
    <row r="578" spans="1:8" x14ac:dyDescent="0.35">
      <c r="A578" t="s">
        <v>408</v>
      </c>
      <c r="B578" t="s">
        <v>435</v>
      </c>
      <c r="C578">
        <v>2129</v>
      </c>
      <c r="D578">
        <v>65</v>
      </c>
      <c r="E578" t="s">
        <v>1347</v>
      </c>
      <c r="F578" t="s">
        <v>1360</v>
      </c>
      <c r="G578" t="str">
        <f t="shared" si="16"/>
        <v>2129FY21</v>
      </c>
      <c r="H578" t="str">
        <f t="shared" si="17"/>
        <v>FY2121 Jul</v>
      </c>
    </row>
    <row r="579" spans="1:8" x14ac:dyDescent="0.35">
      <c r="A579" t="s">
        <v>408</v>
      </c>
      <c r="B579" t="s">
        <v>435</v>
      </c>
      <c r="C579">
        <v>2130</v>
      </c>
      <c r="D579">
        <v>164</v>
      </c>
      <c r="E579" t="s">
        <v>1347</v>
      </c>
      <c r="F579" t="s">
        <v>1360</v>
      </c>
      <c r="G579" t="str">
        <f t="shared" ref="G579:G642" si="18">C579&amp;E579</f>
        <v>2130FY21</v>
      </c>
      <c r="H579" t="str">
        <f t="shared" ref="H579:H642" si="19">E579&amp;F579</f>
        <v>FY2121 Jul</v>
      </c>
    </row>
    <row r="580" spans="1:8" x14ac:dyDescent="0.35">
      <c r="A580" t="s">
        <v>408</v>
      </c>
      <c r="B580" t="s">
        <v>435</v>
      </c>
      <c r="C580">
        <v>2131</v>
      </c>
      <c r="D580">
        <v>126</v>
      </c>
      <c r="E580" t="s">
        <v>1347</v>
      </c>
      <c r="F580" t="s">
        <v>1361</v>
      </c>
      <c r="G580" t="str">
        <f t="shared" si="18"/>
        <v>2131FY21</v>
      </c>
      <c r="H580" t="str">
        <f t="shared" si="19"/>
        <v>FY2121 Aug</v>
      </c>
    </row>
    <row r="581" spans="1:8" x14ac:dyDescent="0.35">
      <c r="A581" t="s">
        <v>408</v>
      </c>
      <c r="B581" t="s">
        <v>435</v>
      </c>
      <c r="C581">
        <v>2133</v>
      </c>
      <c r="D581">
        <v>69</v>
      </c>
      <c r="E581" t="s">
        <v>1347</v>
      </c>
      <c r="F581" t="s">
        <v>1361</v>
      </c>
      <c r="G581" t="str">
        <f t="shared" si="18"/>
        <v>2133FY21</v>
      </c>
      <c r="H581" t="str">
        <f t="shared" si="19"/>
        <v>FY2121 Aug</v>
      </c>
    </row>
    <row r="582" spans="1:8" x14ac:dyDescent="0.35">
      <c r="A582" t="s">
        <v>1352</v>
      </c>
      <c r="B582" t="s">
        <v>440</v>
      </c>
      <c r="C582">
        <v>2007</v>
      </c>
      <c r="D582">
        <v>112</v>
      </c>
      <c r="E582" t="s">
        <v>1348</v>
      </c>
      <c r="F582" t="s">
        <v>1374</v>
      </c>
      <c r="G582" t="str">
        <f t="shared" si="18"/>
        <v>2007FY20</v>
      </c>
      <c r="H582" t="str">
        <f t="shared" si="19"/>
        <v>FY2020 Feb</v>
      </c>
    </row>
    <row r="583" spans="1:8" x14ac:dyDescent="0.35">
      <c r="A583" t="s">
        <v>1352</v>
      </c>
      <c r="B583" t="s">
        <v>440</v>
      </c>
      <c r="C583">
        <v>2009</v>
      </c>
      <c r="D583">
        <v>120</v>
      </c>
      <c r="E583" t="s">
        <v>1348</v>
      </c>
      <c r="F583" t="s">
        <v>1373</v>
      </c>
      <c r="G583" t="str">
        <f t="shared" si="18"/>
        <v>2009FY20</v>
      </c>
      <c r="H583" t="str">
        <f t="shared" si="19"/>
        <v>FY2020 Mar</v>
      </c>
    </row>
    <row r="584" spans="1:8" x14ac:dyDescent="0.35">
      <c r="A584" t="s">
        <v>1352</v>
      </c>
      <c r="B584" t="s">
        <v>440</v>
      </c>
      <c r="C584">
        <v>2010</v>
      </c>
      <c r="D584">
        <v>50</v>
      </c>
      <c r="E584" t="s">
        <v>1348</v>
      </c>
      <c r="F584" t="s">
        <v>1373</v>
      </c>
      <c r="G584" t="str">
        <f t="shared" si="18"/>
        <v>2010FY20</v>
      </c>
      <c r="H584" t="str">
        <f t="shared" si="19"/>
        <v>FY2020 Mar</v>
      </c>
    </row>
    <row r="585" spans="1:8" x14ac:dyDescent="0.35">
      <c r="A585" t="s">
        <v>1352</v>
      </c>
      <c r="B585" t="s">
        <v>440</v>
      </c>
      <c r="C585">
        <v>2020</v>
      </c>
      <c r="D585">
        <v>50</v>
      </c>
      <c r="E585" t="s">
        <v>1348</v>
      </c>
      <c r="F585" t="s">
        <v>1365</v>
      </c>
      <c r="G585" t="str">
        <f t="shared" si="18"/>
        <v>2020FY20</v>
      </c>
      <c r="H585" t="str">
        <f t="shared" si="19"/>
        <v>FY2020 May</v>
      </c>
    </row>
    <row r="586" spans="1:8" x14ac:dyDescent="0.35">
      <c r="A586" t="s">
        <v>1352</v>
      </c>
      <c r="B586" t="s">
        <v>440</v>
      </c>
      <c r="C586">
        <v>2021</v>
      </c>
      <c r="D586">
        <v>547</v>
      </c>
      <c r="E586" t="s">
        <v>1348</v>
      </c>
      <c r="F586" t="s">
        <v>1365</v>
      </c>
      <c r="G586" t="str">
        <f t="shared" si="18"/>
        <v>2021FY20</v>
      </c>
      <c r="H586" t="str">
        <f t="shared" si="19"/>
        <v>FY2020 May</v>
      </c>
    </row>
    <row r="587" spans="1:8" x14ac:dyDescent="0.35">
      <c r="A587" t="s">
        <v>1352</v>
      </c>
      <c r="B587" t="s">
        <v>440</v>
      </c>
      <c r="C587">
        <v>2022</v>
      </c>
      <c r="D587">
        <v>615</v>
      </c>
      <c r="E587" t="s">
        <v>1348</v>
      </c>
      <c r="F587" t="s">
        <v>1366</v>
      </c>
      <c r="G587" t="str">
        <f t="shared" si="18"/>
        <v>2022FY20</v>
      </c>
      <c r="H587" t="str">
        <f t="shared" si="19"/>
        <v>FY2020 Jun</v>
      </c>
    </row>
    <row r="588" spans="1:8" x14ac:dyDescent="0.35">
      <c r="A588" t="s">
        <v>1352</v>
      </c>
      <c r="B588" t="s">
        <v>440</v>
      </c>
      <c r="C588">
        <v>2023</v>
      </c>
      <c r="D588">
        <v>1159</v>
      </c>
      <c r="E588" t="s">
        <v>1348</v>
      </c>
      <c r="F588" t="s">
        <v>1366</v>
      </c>
      <c r="G588" t="str">
        <f t="shared" si="18"/>
        <v>2023FY20</v>
      </c>
      <c r="H588" t="str">
        <f t="shared" si="19"/>
        <v>FY2020 Jun</v>
      </c>
    </row>
    <row r="589" spans="1:8" x14ac:dyDescent="0.35">
      <c r="A589" t="s">
        <v>1352</v>
      </c>
      <c r="B589" t="s">
        <v>440</v>
      </c>
      <c r="C589">
        <v>2024</v>
      </c>
      <c r="D589">
        <v>820</v>
      </c>
      <c r="E589" t="s">
        <v>1348</v>
      </c>
      <c r="F589" t="s">
        <v>1366</v>
      </c>
      <c r="G589" t="str">
        <f t="shared" si="18"/>
        <v>2024FY20</v>
      </c>
      <c r="H589" t="str">
        <f t="shared" si="19"/>
        <v>FY2020 Jun</v>
      </c>
    </row>
    <row r="590" spans="1:8" x14ac:dyDescent="0.35">
      <c r="A590" t="s">
        <v>1352</v>
      </c>
      <c r="B590" t="s">
        <v>440</v>
      </c>
      <c r="C590">
        <v>2025</v>
      </c>
      <c r="D590">
        <v>1052</v>
      </c>
      <c r="E590" t="s">
        <v>1348</v>
      </c>
      <c r="F590" t="s">
        <v>1366</v>
      </c>
      <c r="G590" t="str">
        <f t="shared" si="18"/>
        <v>2025FY20</v>
      </c>
      <c r="H590" t="str">
        <f t="shared" si="19"/>
        <v>FY2020 Jun</v>
      </c>
    </row>
    <row r="591" spans="1:8" x14ac:dyDescent="0.35">
      <c r="A591" t="s">
        <v>1352</v>
      </c>
      <c r="B591" t="s">
        <v>440</v>
      </c>
      <c r="C591">
        <v>2026</v>
      </c>
      <c r="D591">
        <v>270</v>
      </c>
      <c r="E591" t="s">
        <v>1348</v>
      </c>
      <c r="F591" t="s">
        <v>1366</v>
      </c>
      <c r="G591" t="str">
        <f t="shared" si="18"/>
        <v>2026FY20</v>
      </c>
      <c r="H591" t="str">
        <f t="shared" si="19"/>
        <v>FY2020 Jun</v>
      </c>
    </row>
    <row r="592" spans="1:8" x14ac:dyDescent="0.35">
      <c r="A592" t="s">
        <v>1352</v>
      </c>
      <c r="B592" t="s">
        <v>440</v>
      </c>
      <c r="C592">
        <v>2028</v>
      </c>
      <c r="D592">
        <v>1433</v>
      </c>
      <c r="E592" t="s">
        <v>1348</v>
      </c>
      <c r="F592" t="s">
        <v>1367</v>
      </c>
      <c r="G592" t="str">
        <f t="shared" si="18"/>
        <v>2028FY20</v>
      </c>
      <c r="H592" t="str">
        <f t="shared" si="19"/>
        <v>FY2020 Jul</v>
      </c>
    </row>
    <row r="593" spans="1:8" x14ac:dyDescent="0.35">
      <c r="A593" t="s">
        <v>1352</v>
      </c>
      <c r="B593" t="s">
        <v>440</v>
      </c>
      <c r="C593">
        <v>2029</v>
      </c>
      <c r="D593">
        <v>1274</v>
      </c>
      <c r="E593" t="s">
        <v>1348</v>
      </c>
      <c r="F593" t="s">
        <v>1367</v>
      </c>
      <c r="G593" t="str">
        <f t="shared" si="18"/>
        <v>2029FY20</v>
      </c>
      <c r="H593" t="str">
        <f t="shared" si="19"/>
        <v>FY2020 Jul</v>
      </c>
    </row>
    <row r="594" spans="1:8" x14ac:dyDescent="0.35">
      <c r="A594" t="s">
        <v>1352</v>
      </c>
      <c r="B594" t="s">
        <v>440</v>
      </c>
      <c r="C594">
        <v>2030</v>
      </c>
      <c r="D594">
        <v>1090</v>
      </c>
      <c r="E594" t="s">
        <v>1348</v>
      </c>
      <c r="F594" t="s">
        <v>1367</v>
      </c>
      <c r="G594" t="str">
        <f t="shared" si="18"/>
        <v>2030FY20</v>
      </c>
      <c r="H594" t="str">
        <f t="shared" si="19"/>
        <v>FY2020 Jul</v>
      </c>
    </row>
    <row r="595" spans="1:8" x14ac:dyDescent="0.35">
      <c r="A595" t="s">
        <v>1352</v>
      </c>
      <c r="B595" t="s">
        <v>440</v>
      </c>
      <c r="C595">
        <v>2031</v>
      </c>
      <c r="D595">
        <v>511</v>
      </c>
      <c r="E595" t="s">
        <v>1348</v>
      </c>
      <c r="F595" t="s">
        <v>1368</v>
      </c>
      <c r="G595" t="str">
        <f t="shared" si="18"/>
        <v>2031FY20</v>
      </c>
      <c r="H595" t="str">
        <f t="shared" si="19"/>
        <v>FY2020 Aug</v>
      </c>
    </row>
    <row r="596" spans="1:8" x14ac:dyDescent="0.35">
      <c r="A596" t="s">
        <v>1352</v>
      </c>
      <c r="B596" t="s">
        <v>440</v>
      </c>
      <c r="C596">
        <v>2032</v>
      </c>
      <c r="D596">
        <v>365</v>
      </c>
      <c r="E596" t="s">
        <v>1348</v>
      </c>
      <c r="F596" t="s">
        <v>1368</v>
      </c>
      <c r="G596" t="str">
        <f t="shared" si="18"/>
        <v>2032FY20</v>
      </c>
      <c r="H596" t="str">
        <f t="shared" si="19"/>
        <v>FY2020 Aug</v>
      </c>
    </row>
    <row r="597" spans="1:8" x14ac:dyDescent="0.35">
      <c r="A597" t="s">
        <v>1352</v>
      </c>
      <c r="B597" t="s">
        <v>440</v>
      </c>
      <c r="C597">
        <v>2033</v>
      </c>
      <c r="D597">
        <v>965</v>
      </c>
      <c r="E597" t="s">
        <v>1348</v>
      </c>
      <c r="F597" t="s">
        <v>1368</v>
      </c>
      <c r="G597" t="str">
        <f t="shared" si="18"/>
        <v>2033FY20</v>
      </c>
      <c r="H597" t="str">
        <f t="shared" si="19"/>
        <v>FY2020 Aug</v>
      </c>
    </row>
    <row r="598" spans="1:8" x14ac:dyDescent="0.35">
      <c r="A598" t="s">
        <v>1352</v>
      </c>
      <c r="B598" t="s">
        <v>440</v>
      </c>
      <c r="C598">
        <v>2034</v>
      </c>
      <c r="D598">
        <v>162</v>
      </c>
      <c r="E598" t="s">
        <v>1348</v>
      </c>
      <c r="F598" t="s">
        <v>1368</v>
      </c>
      <c r="G598" t="str">
        <f t="shared" si="18"/>
        <v>2034FY20</v>
      </c>
      <c r="H598" t="str">
        <f t="shared" si="19"/>
        <v>FY2020 Aug</v>
      </c>
    </row>
    <row r="599" spans="1:8" x14ac:dyDescent="0.35">
      <c r="A599" t="s">
        <v>1352</v>
      </c>
      <c r="B599" t="s">
        <v>440</v>
      </c>
      <c r="C599">
        <v>2035</v>
      </c>
      <c r="D599">
        <v>978</v>
      </c>
      <c r="E599" t="s">
        <v>1348</v>
      </c>
      <c r="F599" t="s">
        <v>1368</v>
      </c>
      <c r="G599" t="str">
        <f t="shared" si="18"/>
        <v>2035FY20</v>
      </c>
      <c r="H599" t="str">
        <f t="shared" si="19"/>
        <v>FY2020 Aug</v>
      </c>
    </row>
    <row r="600" spans="1:8" x14ac:dyDescent="0.35">
      <c r="A600" t="s">
        <v>1352</v>
      </c>
      <c r="B600" t="s">
        <v>440</v>
      </c>
      <c r="C600">
        <v>2036</v>
      </c>
      <c r="D600">
        <v>1000</v>
      </c>
      <c r="E600" t="s">
        <v>1348</v>
      </c>
      <c r="F600" t="s">
        <v>1369</v>
      </c>
      <c r="G600" t="str">
        <f t="shared" si="18"/>
        <v>2036FY20</v>
      </c>
      <c r="H600" t="str">
        <f t="shared" si="19"/>
        <v>FY2020 Sep</v>
      </c>
    </row>
    <row r="601" spans="1:8" x14ac:dyDescent="0.35">
      <c r="A601" t="s">
        <v>1352</v>
      </c>
      <c r="B601" t="s">
        <v>440</v>
      </c>
      <c r="C601">
        <v>2037</v>
      </c>
      <c r="D601">
        <v>302</v>
      </c>
      <c r="E601" t="s">
        <v>1348</v>
      </c>
      <c r="F601" t="s">
        <v>1369</v>
      </c>
      <c r="G601" t="str">
        <f t="shared" si="18"/>
        <v>2037FY20</v>
      </c>
      <c r="H601" t="str">
        <f t="shared" si="19"/>
        <v>FY2020 Sep</v>
      </c>
    </row>
    <row r="602" spans="1:8" x14ac:dyDescent="0.35">
      <c r="A602" t="s">
        <v>1352</v>
      </c>
      <c r="B602" t="s">
        <v>440</v>
      </c>
      <c r="C602">
        <v>2038</v>
      </c>
      <c r="D602">
        <v>797</v>
      </c>
      <c r="E602" t="s">
        <v>1348</v>
      </c>
      <c r="F602" t="s">
        <v>1369</v>
      </c>
      <c r="G602" t="str">
        <f t="shared" si="18"/>
        <v>2038FY20</v>
      </c>
      <c r="H602" t="str">
        <f t="shared" si="19"/>
        <v>FY2020 Sep</v>
      </c>
    </row>
    <row r="603" spans="1:8" x14ac:dyDescent="0.35">
      <c r="A603" t="s">
        <v>1352</v>
      </c>
      <c r="B603" t="s">
        <v>440</v>
      </c>
      <c r="C603">
        <v>2039</v>
      </c>
      <c r="D603">
        <v>728</v>
      </c>
      <c r="E603" t="s">
        <v>1348</v>
      </c>
      <c r="F603" t="s">
        <v>1369</v>
      </c>
      <c r="G603" t="str">
        <f t="shared" si="18"/>
        <v>2039FY20</v>
      </c>
      <c r="H603" t="str">
        <f t="shared" si="19"/>
        <v>FY2020 Sep</v>
      </c>
    </row>
    <row r="604" spans="1:8" x14ac:dyDescent="0.35">
      <c r="A604" t="s">
        <v>1352</v>
      </c>
      <c r="B604" t="s">
        <v>440</v>
      </c>
      <c r="C604">
        <v>2040</v>
      </c>
      <c r="D604">
        <v>792</v>
      </c>
      <c r="E604" t="s">
        <v>1348</v>
      </c>
      <c r="F604" t="s">
        <v>1370</v>
      </c>
      <c r="G604" t="str">
        <f t="shared" si="18"/>
        <v>2040FY20</v>
      </c>
      <c r="H604" t="str">
        <f t="shared" si="19"/>
        <v>FY2020 Oct</v>
      </c>
    </row>
    <row r="605" spans="1:8" x14ac:dyDescent="0.35">
      <c r="A605" t="s">
        <v>1352</v>
      </c>
      <c r="B605" t="s">
        <v>440</v>
      </c>
      <c r="C605">
        <v>2041</v>
      </c>
      <c r="D605">
        <v>449</v>
      </c>
      <c r="E605" t="s">
        <v>1348</v>
      </c>
      <c r="F605" t="s">
        <v>1370</v>
      </c>
      <c r="G605" t="str">
        <f t="shared" si="18"/>
        <v>2041FY20</v>
      </c>
      <c r="H605" t="str">
        <f t="shared" si="19"/>
        <v>FY2020 Oct</v>
      </c>
    </row>
    <row r="606" spans="1:8" x14ac:dyDescent="0.35">
      <c r="A606" t="s">
        <v>1352</v>
      </c>
      <c r="B606" t="s">
        <v>440</v>
      </c>
      <c r="C606">
        <v>2042</v>
      </c>
      <c r="D606">
        <v>52</v>
      </c>
      <c r="E606" t="s">
        <v>1348</v>
      </c>
      <c r="F606" t="s">
        <v>1370</v>
      </c>
      <c r="G606" t="str">
        <f t="shared" si="18"/>
        <v>2042FY20</v>
      </c>
      <c r="H606" t="str">
        <f t="shared" si="19"/>
        <v>FY2020 Oct</v>
      </c>
    </row>
    <row r="607" spans="1:8" x14ac:dyDescent="0.35">
      <c r="A607" t="s">
        <v>1352</v>
      </c>
      <c r="B607" t="s">
        <v>440</v>
      </c>
      <c r="C607">
        <v>2043</v>
      </c>
      <c r="D607">
        <v>2308</v>
      </c>
      <c r="E607" t="s">
        <v>1348</v>
      </c>
      <c r="F607" t="s">
        <v>1370</v>
      </c>
      <c r="G607" t="str">
        <f t="shared" si="18"/>
        <v>2043FY20</v>
      </c>
      <c r="H607" t="str">
        <f t="shared" si="19"/>
        <v>FY2020 Oct</v>
      </c>
    </row>
    <row r="608" spans="1:8" x14ac:dyDescent="0.35">
      <c r="A608" t="s">
        <v>1352</v>
      </c>
      <c r="B608" t="s">
        <v>440</v>
      </c>
      <c r="C608">
        <v>2044</v>
      </c>
      <c r="D608">
        <v>1</v>
      </c>
      <c r="E608" t="s">
        <v>1348</v>
      </c>
      <c r="F608" t="s">
        <v>1371</v>
      </c>
      <c r="G608" t="str">
        <f t="shared" si="18"/>
        <v>2044FY20</v>
      </c>
      <c r="H608" t="str">
        <f t="shared" si="19"/>
        <v>FY2020 Nov</v>
      </c>
    </row>
    <row r="609" spans="1:8" x14ac:dyDescent="0.35">
      <c r="A609" t="s">
        <v>1352</v>
      </c>
      <c r="B609" t="s">
        <v>440</v>
      </c>
      <c r="C609">
        <v>2047</v>
      </c>
      <c r="D609">
        <v>151</v>
      </c>
      <c r="E609" t="s">
        <v>1348</v>
      </c>
      <c r="F609" t="s">
        <v>1371</v>
      </c>
      <c r="G609" t="str">
        <f t="shared" si="18"/>
        <v>2047FY20</v>
      </c>
      <c r="H609" t="str">
        <f t="shared" si="19"/>
        <v>FY2020 Nov</v>
      </c>
    </row>
    <row r="610" spans="1:8" x14ac:dyDescent="0.35">
      <c r="A610" t="s">
        <v>1352</v>
      </c>
      <c r="B610" t="s">
        <v>440</v>
      </c>
      <c r="C610">
        <v>2048</v>
      </c>
      <c r="D610">
        <v>47</v>
      </c>
      <c r="E610" t="s">
        <v>1348</v>
      </c>
      <c r="F610" t="s">
        <v>1371</v>
      </c>
      <c r="G610" t="str">
        <f t="shared" si="18"/>
        <v>2048FY20</v>
      </c>
      <c r="H610" t="str">
        <f t="shared" si="19"/>
        <v>FY2020 Nov</v>
      </c>
    </row>
    <row r="611" spans="1:8" x14ac:dyDescent="0.35">
      <c r="A611" t="s">
        <v>1352</v>
      </c>
      <c r="B611" t="s">
        <v>440</v>
      </c>
      <c r="C611">
        <v>2049</v>
      </c>
      <c r="D611">
        <v>662</v>
      </c>
      <c r="E611" t="s">
        <v>1348</v>
      </c>
      <c r="F611" t="s">
        <v>1372</v>
      </c>
      <c r="G611" t="str">
        <f t="shared" si="18"/>
        <v>2049FY20</v>
      </c>
      <c r="H611" t="str">
        <f t="shared" si="19"/>
        <v>FY2020 Dec</v>
      </c>
    </row>
    <row r="612" spans="1:8" x14ac:dyDescent="0.35">
      <c r="A612" t="s">
        <v>1352</v>
      </c>
      <c r="B612" t="s">
        <v>440</v>
      </c>
      <c r="C612">
        <v>2051</v>
      </c>
      <c r="D612">
        <v>975</v>
      </c>
      <c r="E612" t="s">
        <v>1348</v>
      </c>
      <c r="F612" t="s">
        <v>1372</v>
      </c>
      <c r="G612" t="str">
        <f t="shared" si="18"/>
        <v>2051FY20</v>
      </c>
      <c r="H612" t="str">
        <f t="shared" si="19"/>
        <v>FY2020 Dec</v>
      </c>
    </row>
    <row r="613" spans="1:8" x14ac:dyDescent="0.35">
      <c r="A613" t="s">
        <v>1352</v>
      </c>
      <c r="B613" t="s">
        <v>440</v>
      </c>
      <c r="C613">
        <v>2052</v>
      </c>
      <c r="D613">
        <v>270</v>
      </c>
      <c r="E613" t="s">
        <v>1348</v>
      </c>
      <c r="F613" t="s">
        <v>1372</v>
      </c>
      <c r="G613" t="str">
        <f t="shared" si="18"/>
        <v>2052FY20</v>
      </c>
      <c r="H613" t="str">
        <f t="shared" si="19"/>
        <v>FY2020 Dec</v>
      </c>
    </row>
    <row r="614" spans="1:8" x14ac:dyDescent="0.35">
      <c r="A614" t="s">
        <v>1352</v>
      </c>
      <c r="B614" t="s">
        <v>440</v>
      </c>
      <c r="C614">
        <v>2053</v>
      </c>
      <c r="D614">
        <v>727</v>
      </c>
      <c r="E614" t="s">
        <v>1348</v>
      </c>
      <c r="F614" t="s">
        <v>1363</v>
      </c>
      <c r="G614" t="str">
        <f t="shared" si="18"/>
        <v>2053FY20</v>
      </c>
      <c r="H614" t="str">
        <f t="shared" si="19"/>
        <v>FY2021 Jan</v>
      </c>
    </row>
    <row r="615" spans="1:8" x14ac:dyDescent="0.35">
      <c r="A615" t="s">
        <v>1352</v>
      </c>
      <c r="B615" t="s">
        <v>440</v>
      </c>
      <c r="C615">
        <v>2101</v>
      </c>
      <c r="D615">
        <v>668</v>
      </c>
      <c r="E615" t="s">
        <v>1348</v>
      </c>
      <c r="F615" t="s">
        <v>1363</v>
      </c>
      <c r="G615" t="str">
        <f t="shared" si="18"/>
        <v>2101FY20</v>
      </c>
      <c r="H615" t="str">
        <f t="shared" si="19"/>
        <v>FY2021 Jan</v>
      </c>
    </row>
    <row r="616" spans="1:8" x14ac:dyDescent="0.35">
      <c r="A616" t="s">
        <v>1352</v>
      </c>
      <c r="B616" t="s">
        <v>440</v>
      </c>
      <c r="C616">
        <v>2102</v>
      </c>
      <c r="D616">
        <v>287</v>
      </c>
      <c r="E616" t="s">
        <v>1348</v>
      </c>
      <c r="F616" t="s">
        <v>1363</v>
      </c>
      <c r="G616" t="str">
        <f t="shared" si="18"/>
        <v>2102FY20</v>
      </c>
      <c r="H616" t="str">
        <f t="shared" si="19"/>
        <v>FY2021 Jan</v>
      </c>
    </row>
    <row r="617" spans="1:8" x14ac:dyDescent="0.35">
      <c r="A617" t="s">
        <v>1352</v>
      </c>
      <c r="B617" t="s">
        <v>440</v>
      </c>
      <c r="C617">
        <v>2103</v>
      </c>
      <c r="D617">
        <v>659</v>
      </c>
      <c r="E617" t="s">
        <v>1348</v>
      </c>
      <c r="F617" t="s">
        <v>1363</v>
      </c>
      <c r="G617" t="str">
        <f t="shared" si="18"/>
        <v>2103FY20</v>
      </c>
      <c r="H617" t="str">
        <f t="shared" si="19"/>
        <v>FY2021 Jan</v>
      </c>
    </row>
    <row r="618" spans="1:8" x14ac:dyDescent="0.35">
      <c r="A618" t="s">
        <v>1352</v>
      </c>
      <c r="B618" t="s">
        <v>440</v>
      </c>
      <c r="C618">
        <v>2104</v>
      </c>
      <c r="D618">
        <v>991</v>
      </c>
      <c r="E618" t="s">
        <v>1348</v>
      </c>
      <c r="F618" t="s">
        <v>1363</v>
      </c>
      <c r="G618" t="str">
        <f t="shared" si="18"/>
        <v>2104FY20</v>
      </c>
      <c r="H618" t="str">
        <f t="shared" si="19"/>
        <v>FY2021 Jan</v>
      </c>
    </row>
    <row r="619" spans="1:8" x14ac:dyDescent="0.35">
      <c r="A619" t="s">
        <v>1352</v>
      </c>
      <c r="B619" t="s">
        <v>440</v>
      </c>
      <c r="C619">
        <v>2105</v>
      </c>
      <c r="D619">
        <v>546</v>
      </c>
      <c r="E619" t="s">
        <v>1348</v>
      </c>
      <c r="F619" t="s">
        <v>1362</v>
      </c>
      <c r="G619" t="str">
        <f t="shared" si="18"/>
        <v>2105FY20</v>
      </c>
      <c r="H619" t="str">
        <f t="shared" si="19"/>
        <v>FY2021 Feb</v>
      </c>
    </row>
    <row r="620" spans="1:8" x14ac:dyDescent="0.35">
      <c r="A620" t="s">
        <v>1352</v>
      </c>
      <c r="B620" t="s">
        <v>440</v>
      </c>
      <c r="C620">
        <v>2106</v>
      </c>
      <c r="D620">
        <v>285</v>
      </c>
      <c r="E620" t="s">
        <v>1348</v>
      </c>
      <c r="F620" t="s">
        <v>1362</v>
      </c>
      <c r="G620" t="str">
        <f t="shared" si="18"/>
        <v>2106FY20</v>
      </c>
      <c r="H620" t="str">
        <f t="shared" si="19"/>
        <v>FY2021 Feb</v>
      </c>
    </row>
    <row r="621" spans="1:8" x14ac:dyDescent="0.35">
      <c r="A621" t="s">
        <v>1352</v>
      </c>
      <c r="B621" t="s">
        <v>440</v>
      </c>
      <c r="C621">
        <v>2107</v>
      </c>
      <c r="D621">
        <v>320</v>
      </c>
      <c r="E621" t="s">
        <v>1348</v>
      </c>
      <c r="F621" t="s">
        <v>1362</v>
      </c>
      <c r="G621" t="str">
        <f t="shared" si="18"/>
        <v>2107FY20</v>
      </c>
      <c r="H621" t="str">
        <f t="shared" si="19"/>
        <v>FY2021 Feb</v>
      </c>
    </row>
    <row r="622" spans="1:8" x14ac:dyDescent="0.35">
      <c r="A622" t="s">
        <v>1352</v>
      </c>
      <c r="B622" t="s">
        <v>440</v>
      </c>
      <c r="C622">
        <v>2108</v>
      </c>
      <c r="D622">
        <v>677</v>
      </c>
      <c r="E622" t="s">
        <v>1348</v>
      </c>
      <c r="F622" t="s">
        <v>1362</v>
      </c>
      <c r="G622" t="str">
        <f t="shared" si="18"/>
        <v>2108FY20</v>
      </c>
      <c r="H622" t="str">
        <f t="shared" si="19"/>
        <v>FY2021 Feb</v>
      </c>
    </row>
    <row r="623" spans="1:8" x14ac:dyDescent="0.35">
      <c r="A623" t="s">
        <v>1352</v>
      </c>
      <c r="B623" t="s">
        <v>440</v>
      </c>
      <c r="C623">
        <v>2109</v>
      </c>
      <c r="D623">
        <v>425</v>
      </c>
      <c r="E623" t="s">
        <v>1348</v>
      </c>
      <c r="F623" t="s">
        <v>1356</v>
      </c>
      <c r="G623" t="str">
        <f t="shared" si="18"/>
        <v>2109FY20</v>
      </c>
      <c r="H623" t="str">
        <f t="shared" si="19"/>
        <v>FY2021 Mar</v>
      </c>
    </row>
    <row r="624" spans="1:8" x14ac:dyDescent="0.35">
      <c r="A624" t="s">
        <v>1352</v>
      </c>
      <c r="B624" t="s">
        <v>440</v>
      </c>
      <c r="C624">
        <v>2110</v>
      </c>
      <c r="D624">
        <v>30</v>
      </c>
      <c r="E624" t="s">
        <v>1348</v>
      </c>
      <c r="F624" t="s">
        <v>1356</v>
      </c>
      <c r="G624" t="str">
        <f t="shared" si="18"/>
        <v>2110FY20</v>
      </c>
      <c r="H624" t="str">
        <f t="shared" si="19"/>
        <v>FY2021 Mar</v>
      </c>
    </row>
    <row r="625" spans="1:8" x14ac:dyDescent="0.35">
      <c r="A625" t="s">
        <v>1352</v>
      </c>
      <c r="B625" t="s">
        <v>440</v>
      </c>
      <c r="C625">
        <v>2111</v>
      </c>
      <c r="D625">
        <v>471</v>
      </c>
      <c r="E625" t="s">
        <v>1348</v>
      </c>
      <c r="F625" t="s">
        <v>1356</v>
      </c>
      <c r="G625" t="str">
        <f t="shared" si="18"/>
        <v>2111FY20</v>
      </c>
      <c r="H625" t="str">
        <f t="shared" si="19"/>
        <v>FY2021 Mar</v>
      </c>
    </row>
    <row r="626" spans="1:8" x14ac:dyDescent="0.35">
      <c r="A626" t="s">
        <v>1352</v>
      </c>
      <c r="B626" t="s">
        <v>440</v>
      </c>
      <c r="C626">
        <v>2113</v>
      </c>
      <c r="D626">
        <v>199</v>
      </c>
      <c r="E626" t="s">
        <v>1348</v>
      </c>
      <c r="F626" t="s">
        <v>1356</v>
      </c>
      <c r="G626" t="str">
        <f t="shared" si="18"/>
        <v>2113FY20</v>
      </c>
      <c r="H626" t="str">
        <f t="shared" si="19"/>
        <v>FY2021 Mar</v>
      </c>
    </row>
    <row r="627" spans="1:8" x14ac:dyDescent="0.35">
      <c r="A627" t="s">
        <v>1352</v>
      </c>
      <c r="B627" t="s">
        <v>440</v>
      </c>
      <c r="C627">
        <v>2114</v>
      </c>
      <c r="D627">
        <v>250</v>
      </c>
      <c r="E627" t="s">
        <v>1348</v>
      </c>
      <c r="F627" t="s">
        <v>1357</v>
      </c>
      <c r="G627" t="str">
        <f t="shared" si="18"/>
        <v>2114FY20</v>
      </c>
      <c r="H627" t="str">
        <f t="shared" si="19"/>
        <v>FY2021 Apr</v>
      </c>
    </row>
    <row r="628" spans="1:8" x14ac:dyDescent="0.35">
      <c r="A628" t="s">
        <v>1352</v>
      </c>
      <c r="B628" t="s">
        <v>440</v>
      </c>
      <c r="C628">
        <v>2117</v>
      </c>
      <c r="D628">
        <v>88</v>
      </c>
      <c r="E628" t="s">
        <v>1348</v>
      </c>
      <c r="F628" t="s">
        <v>1357</v>
      </c>
      <c r="G628" t="str">
        <f t="shared" si="18"/>
        <v>2117FY20</v>
      </c>
      <c r="H628" t="str">
        <f t="shared" si="19"/>
        <v>FY2021 Apr</v>
      </c>
    </row>
    <row r="629" spans="1:8" x14ac:dyDescent="0.35">
      <c r="A629" t="s">
        <v>1352</v>
      </c>
      <c r="B629" t="s">
        <v>440</v>
      </c>
      <c r="C629">
        <v>2120</v>
      </c>
      <c r="D629">
        <v>308</v>
      </c>
      <c r="E629" t="s">
        <v>1348</v>
      </c>
      <c r="F629" t="s">
        <v>1358</v>
      </c>
      <c r="G629" t="str">
        <f t="shared" si="18"/>
        <v>2120FY20</v>
      </c>
      <c r="H629" t="str">
        <f t="shared" si="19"/>
        <v>FY2021 May</v>
      </c>
    </row>
    <row r="630" spans="1:8" x14ac:dyDescent="0.35">
      <c r="A630" t="s">
        <v>1352</v>
      </c>
      <c r="B630" t="s">
        <v>440</v>
      </c>
      <c r="C630">
        <v>2130</v>
      </c>
      <c r="D630">
        <v>348</v>
      </c>
      <c r="E630" t="s">
        <v>1348</v>
      </c>
      <c r="F630" t="s">
        <v>1360</v>
      </c>
      <c r="G630" t="str">
        <f t="shared" si="18"/>
        <v>2130FY20</v>
      </c>
      <c r="H630" t="str">
        <f t="shared" si="19"/>
        <v>FY2021 Jul</v>
      </c>
    </row>
    <row r="631" spans="1:8" x14ac:dyDescent="0.35">
      <c r="A631" t="s">
        <v>1352</v>
      </c>
      <c r="B631" t="s">
        <v>440</v>
      </c>
      <c r="C631">
        <v>2132</v>
      </c>
      <c r="D631">
        <v>102</v>
      </c>
      <c r="E631" t="s">
        <v>1348</v>
      </c>
      <c r="F631" t="s">
        <v>1361</v>
      </c>
      <c r="G631" t="str">
        <f t="shared" si="18"/>
        <v>2132FY20</v>
      </c>
      <c r="H631" t="str">
        <f t="shared" si="19"/>
        <v>FY2021 Aug</v>
      </c>
    </row>
    <row r="632" spans="1:8" x14ac:dyDescent="0.35">
      <c r="A632" t="s">
        <v>1352</v>
      </c>
      <c r="B632" t="s">
        <v>440</v>
      </c>
      <c r="C632">
        <v>2133</v>
      </c>
      <c r="D632">
        <v>5</v>
      </c>
      <c r="E632" t="s">
        <v>1348</v>
      </c>
      <c r="F632" t="s">
        <v>1361</v>
      </c>
      <c r="G632" t="str">
        <f t="shared" si="18"/>
        <v>2133FY20</v>
      </c>
      <c r="H632" t="str">
        <f t="shared" si="19"/>
        <v>FY2021 Aug</v>
      </c>
    </row>
    <row r="633" spans="1:8" x14ac:dyDescent="0.35">
      <c r="A633" t="s">
        <v>1352</v>
      </c>
      <c r="B633" t="s">
        <v>443</v>
      </c>
      <c r="C633">
        <v>2007</v>
      </c>
      <c r="D633">
        <v>112</v>
      </c>
      <c r="E633" t="s">
        <v>1348</v>
      </c>
      <c r="F633" t="s">
        <v>1374</v>
      </c>
      <c r="G633" t="str">
        <f t="shared" si="18"/>
        <v>2007FY20</v>
      </c>
      <c r="H633" t="str">
        <f t="shared" si="19"/>
        <v>FY2020 Feb</v>
      </c>
    </row>
    <row r="634" spans="1:8" x14ac:dyDescent="0.35">
      <c r="A634" t="s">
        <v>1352</v>
      </c>
      <c r="B634" t="s">
        <v>443</v>
      </c>
      <c r="C634">
        <v>2009</v>
      </c>
      <c r="D634">
        <v>70</v>
      </c>
      <c r="E634" t="s">
        <v>1348</v>
      </c>
      <c r="F634" t="s">
        <v>1373</v>
      </c>
      <c r="G634" t="str">
        <f t="shared" si="18"/>
        <v>2009FY20</v>
      </c>
      <c r="H634" t="str">
        <f t="shared" si="19"/>
        <v>FY2020 Mar</v>
      </c>
    </row>
    <row r="635" spans="1:8" x14ac:dyDescent="0.35">
      <c r="A635" t="s">
        <v>1352</v>
      </c>
      <c r="B635" t="s">
        <v>443</v>
      </c>
      <c r="C635">
        <v>2010</v>
      </c>
      <c r="D635">
        <v>30</v>
      </c>
      <c r="E635" t="s">
        <v>1348</v>
      </c>
      <c r="F635" t="s">
        <v>1373</v>
      </c>
      <c r="G635" t="str">
        <f t="shared" si="18"/>
        <v>2010FY20</v>
      </c>
      <c r="H635" t="str">
        <f t="shared" si="19"/>
        <v>FY2020 Mar</v>
      </c>
    </row>
    <row r="636" spans="1:8" x14ac:dyDescent="0.35">
      <c r="A636" t="s">
        <v>1352</v>
      </c>
      <c r="B636" t="s">
        <v>443</v>
      </c>
      <c r="C636">
        <v>2020</v>
      </c>
      <c r="D636">
        <v>20</v>
      </c>
      <c r="E636" t="s">
        <v>1348</v>
      </c>
      <c r="F636" t="s">
        <v>1365</v>
      </c>
      <c r="G636" t="str">
        <f t="shared" si="18"/>
        <v>2020FY20</v>
      </c>
      <c r="H636" t="str">
        <f t="shared" si="19"/>
        <v>FY2020 May</v>
      </c>
    </row>
    <row r="637" spans="1:8" x14ac:dyDescent="0.35">
      <c r="A637" t="s">
        <v>1352</v>
      </c>
      <c r="B637" t="s">
        <v>443</v>
      </c>
      <c r="C637">
        <v>2021</v>
      </c>
      <c r="D637">
        <v>740</v>
      </c>
      <c r="E637" t="s">
        <v>1348</v>
      </c>
      <c r="F637" t="s">
        <v>1365</v>
      </c>
      <c r="G637" t="str">
        <f t="shared" si="18"/>
        <v>2021FY20</v>
      </c>
      <c r="H637" t="str">
        <f t="shared" si="19"/>
        <v>FY2020 May</v>
      </c>
    </row>
    <row r="638" spans="1:8" x14ac:dyDescent="0.35">
      <c r="A638" t="s">
        <v>1352</v>
      </c>
      <c r="B638" t="s">
        <v>443</v>
      </c>
      <c r="C638">
        <v>2022</v>
      </c>
      <c r="D638">
        <v>145</v>
      </c>
      <c r="E638" t="s">
        <v>1348</v>
      </c>
      <c r="F638" t="s">
        <v>1366</v>
      </c>
      <c r="G638" t="str">
        <f t="shared" si="18"/>
        <v>2022FY20</v>
      </c>
      <c r="H638" t="str">
        <f t="shared" si="19"/>
        <v>FY2020 Jun</v>
      </c>
    </row>
    <row r="639" spans="1:8" x14ac:dyDescent="0.35">
      <c r="A639" t="s">
        <v>1352</v>
      </c>
      <c r="B639" t="s">
        <v>443</v>
      </c>
      <c r="C639">
        <v>2023</v>
      </c>
      <c r="D639">
        <v>436</v>
      </c>
      <c r="E639" t="s">
        <v>1348</v>
      </c>
      <c r="F639" t="s">
        <v>1366</v>
      </c>
      <c r="G639" t="str">
        <f t="shared" si="18"/>
        <v>2023FY20</v>
      </c>
      <c r="H639" t="str">
        <f t="shared" si="19"/>
        <v>FY2020 Jun</v>
      </c>
    </row>
    <row r="640" spans="1:8" x14ac:dyDescent="0.35">
      <c r="A640" t="s">
        <v>1352</v>
      </c>
      <c r="B640" t="s">
        <v>443</v>
      </c>
      <c r="C640">
        <v>2024</v>
      </c>
      <c r="D640">
        <v>521</v>
      </c>
      <c r="E640" t="s">
        <v>1348</v>
      </c>
      <c r="F640" t="s">
        <v>1366</v>
      </c>
      <c r="G640" t="str">
        <f t="shared" si="18"/>
        <v>2024FY20</v>
      </c>
      <c r="H640" t="str">
        <f t="shared" si="19"/>
        <v>FY2020 Jun</v>
      </c>
    </row>
    <row r="641" spans="1:8" x14ac:dyDescent="0.35">
      <c r="A641" t="s">
        <v>1352</v>
      </c>
      <c r="B641" t="s">
        <v>443</v>
      </c>
      <c r="C641">
        <v>2025</v>
      </c>
      <c r="D641">
        <v>1272</v>
      </c>
      <c r="E641" t="s">
        <v>1348</v>
      </c>
      <c r="F641" t="s">
        <v>1366</v>
      </c>
      <c r="G641" t="str">
        <f t="shared" si="18"/>
        <v>2025FY20</v>
      </c>
      <c r="H641" t="str">
        <f t="shared" si="19"/>
        <v>FY2020 Jun</v>
      </c>
    </row>
    <row r="642" spans="1:8" x14ac:dyDescent="0.35">
      <c r="A642" t="s">
        <v>1352</v>
      </c>
      <c r="B642" t="s">
        <v>443</v>
      </c>
      <c r="C642">
        <v>2026</v>
      </c>
      <c r="D642">
        <v>1447</v>
      </c>
      <c r="E642" t="s">
        <v>1348</v>
      </c>
      <c r="F642" t="s">
        <v>1366</v>
      </c>
      <c r="G642" t="str">
        <f t="shared" si="18"/>
        <v>2026FY20</v>
      </c>
      <c r="H642" t="str">
        <f t="shared" si="19"/>
        <v>FY2020 Jun</v>
      </c>
    </row>
    <row r="643" spans="1:8" x14ac:dyDescent="0.35">
      <c r="A643" t="s">
        <v>1352</v>
      </c>
      <c r="B643" t="s">
        <v>443</v>
      </c>
      <c r="C643">
        <v>2028</v>
      </c>
      <c r="D643">
        <v>701</v>
      </c>
      <c r="E643" t="s">
        <v>1348</v>
      </c>
      <c r="F643" t="s">
        <v>1367</v>
      </c>
      <c r="G643" t="str">
        <f t="shared" ref="G643:G706" si="20">C643&amp;E643</f>
        <v>2028FY20</v>
      </c>
      <c r="H643" t="str">
        <f t="shared" ref="H643:H706" si="21">E643&amp;F643</f>
        <v>FY2020 Jul</v>
      </c>
    </row>
    <row r="644" spans="1:8" x14ac:dyDescent="0.35">
      <c r="A644" t="s">
        <v>1352</v>
      </c>
      <c r="B644" t="s">
        <v>443</v>
      </c>
      <c r="C644">
        <v>2029</v>
      </c>
      <c r="D644">
        <v>790</v>
      </c>
      <c r="E644" t="s">
        <v>1348</v>
      </c>
      <c r="F644" t="s">
        <v>1367</v>
      </c>
      <c r="G644" t="str">
        <f t="shared" si="20"/>
        <v>2029FY20</v>
      </c>
      <c r="H644" t="str">
        <f t="shared" si="21"/>
        <v>FY2020 Jul</v>
      </c>
    </row>
    <row r="645" spans="1:8" x14ac:dyDescent="0.35">
      <c r="A645" t="s">
        <v>1352</v>
      </c>
      <c r="B645" t="s">
        <v>443</v>
      </c>
      <c r="C645">
        <v>2031</v>
      </c>
      <c r="D645">
        <v>355</v>
      </c>
      <c r="E645" t="s">
        <v>1348</v>
      </c>
      <c r="F645" t="s">
        <v>1368</v>
      </c>
      <c r="G645" t="str">
        <f t="shared" si="20"/>
        <v>2031FY20</v>
      </c>
      <c r="H645" t="str">
        <f t="shared" si="21"/>
        <v>FY2020 Aug</v>
      </c>
    </row>
    <row r="646" spans="1:8" x14ac:dyDescent="0.35">
      <c r="A646" t="s">
        <v>1352</v>
      </c>
      <c r="B646" t="s">
        <v>443</v>
      </c>
      <c r="C646">
        <v>2032</v>
      </c>
      <c r="D646">
        <v>782</v>
      </c>
      <c r="E646" t="s">
        <v>1348</v>
      </c>
      <c r="F646" t="s">
        <v>1368</v>
      </c>
      <c r="G646" t="str">
        <f t="shared" si="20"/>
        <v>2032FY20</v>
      </c>
      <c r="H646" t="str">
        <f t="shared" si="21"/>
        <v>FY2020 Aug</v>
      </c>
    </row>
    <row r="647" spans="1:8" x14ac:dyDescent="0.35">
      <c r="A647" t="s">
        <v>1352</v>
      </c>
      <c r="B647" t="s">
        <v>443</v>
      </c>
      <c r="C647">
        <v>2033</v>
      </c>
      <c r="D647">
        <v>1078</v>
      </c>
      <c r="E647" t="s">
        <v>1348</v>
      </c>
      <c r="F647" t="s">
        <v>1368</v>
      </c>
      <c r="G647" t="str">
        <f t="shared" si="20"/>
        <v>2033FY20</v>
      </c>
      <c r="H647" t="str">
        <f t="shared" si="21"/>
        <v>FY2020 Aug</v>
      </c>
    </row>
    <row r="648" spans="1:8" x14ac:dyDescent="0.35">
      <c r="A648" t="s">
        <v>1352</v>
      </c>
      <c r="B648" t="s">
        <v>443</v>
      </c>
      <c r="C648">
        <v>2035</v>
      </c>
      <c r="D648">
        <v>98</v>
      </c>
      <c r="E648" t="s">
        <v>1348</v>
      </c>
      <c r="F648" t="s">
        <v>1368</v>
      </c>
      <c r="G648" t="str">
        <f t="shared" si="20"/>
        <v>2035FY20</v>
      </c>
      <c r="H648" t="str">
        <f t="shared" si="21"/>
        <v>FY2020 Aug</v>
      </c>
    </row>
    <row r="649" spans="1:8" x14ac:dyDescent="0.35">
      <c r="A649" t="s">
        <v>1352</v>
      </c>
      <c r="B649" t="s">
        <v>443</v>
      </c>
      <c r="C649">
        <v>2036</v>
      </c>
      <c r="D649">
        <v>1663</v>
      </c>
      <c r="E649" t="s">
        <v>1348</v>
      </c>
      <c r="F649" t="s">
        <v>1369</v>
      </c>
      <c r="G649" t="str">
        <f t="shared" si="20"/>
        <v>2036FY20</v>
      </c>
      <c r="H649" t="str">
        <f t="shared" si="21"/>
        <v>FY2020 Sep</v>
      </c>
    </row>
    <row r="650" spans="1:8" x14ac:dyDescent="0.35">
      <c r="A650" t="s">
        <v>1352</v>
      </c>
      <c r="B650" t="s">
        <v>443</v>
      </c>
      <c r="C650">
        <v>2037</v>
      </c>
      <c r="D650">
        <v>413</v>
      </c>
      <c r="E650" t="s">
        <v>1348</v>
      </c>
      <c r="F650" t="s">
        <v>1369</v>
      </c>
      <c r="G650" t="str">
        <f t="shared" si="20"/>
        <v>2037FY20</v>
      </c>
      <c r="H650" t="str">
        <f t="shared" si="21"/>
        <v>FY2020 Sep</v>
      </c>
    </row>
    <row r="651" spans="1:8" x14ac:dyDescent="0.35">
      <c r="A651" t="s">
        <v>1352</v>
      </c>
      <c r="B651" t="s">
        <v>443</v>
      </c>
      <c r="C651">
        <v>2038</v>
      </c>
      <c r="D651">
        <v>418</v>
      </c>
      <c r="E651" t="s">
        <v>1348</v>
      </c>
      <c r="F651" t="s">
        <v>1369</v>
      </c>
      <c r="G651" t="str">
        <f t="shared" si="20"/>
        <v>2038FY20</v>
      </c>
      <c r="H651" t="str">
        <f t="shared" si="21"/>
        <v>FY2020 Sep</v>
      </c>
    </row>
    <row r="652" spans="1:8" x14ac:dyDescent="0.35">
      <c r="A652" t="s">
        <v>1352</v>
      </c>
      <c r="B652" t="s">
        <v>443</v>
      </c>
      <c r="C652">
        <v>2039</v>
      </c>
      <c r="D652">
        <v>642</v>
      </c>
      <c r="E652" t="s">
        <v>1348</v>
      </c>
      <c r="F652" t="s">
        <v>1369</v>
      </c>
      <c r="G652" t="str">
        <f t="shared" si="20"/>
        <v>2039FY20</v>
      </c>
      <c r="H652" t="str">
        <f t="shared" si="21"/>
        <v>FY2020 Sep</v>
      </c>
    </row>
    <row r="653" spans="1:8" x14ac:dyDescent="0.35">
      <c r="A653" t="s">
        <v>1352</v>
      </c>
      <c r="B653" t="s">
        <v>443</v>
      </c>
      <c r="C653">
        <v>2041</v>
      </c>
      <c r="D653">
        <v>488</v>
      </c>
      <c r="E653" t="s">
        <v>1348</v>
      </c>
      <c r="F653" t="s">
        <v>1370</v>
      </c>
      <c r="G653" t="str">
        <f t="shared" si="20"/>
        <v>2041FY20</v>
      </c>
      <c r="H653" t="str">
        <f t="shared" si="21"/>
        <v>FY2020 Oct</v>
      </c>
    </row>
    <row r="654" spans="1:8" x14ac:dyDescent="0.35">
      <c r="A654" t="s">
        <v>1352</v>
      </c>
      <c r="B654" t="s">
        <v>443</v>
      </c>
      <c r="C654">
        <v>2042</v>
      </c>
      <c r="D654">
        <v>237</v>
      </c>
      <c r="E654" t="s">
        <v>1348</v>
      </c>
      <c r="F654" t="s">
        <v>1370</v>
      </c>
      <c r="G654" t="str">
        <f t="shared" si="20"/>
        <v>2042FY20</v>
      </c>
      <c r="H654" t="str">
        <f t="shared" si="21"/>
        <v>FY2020 Oct</v>
      </c>
    </row>
    <row r="655" spans="1:8" x14ac:dyDescent="0.35">
      <c r="A655" t="s">
        <v>1352</v>
      </c>
      <c r="B655" t="s">
        <v>443</v>
      </c>
      <c r="C655">
        <v>2043</v>
      </c>
      <c r="D655">
        <v>934</v>
      </c>
      <c r="E655" t="s">
        <v>1348</v>
      </c>
      <c r="F655" t="s">
        <v>1370</v>
      </c>
      <c r="G655" t="str">
        <f t="shared" si="20"/>
        <v>2043FY20</v>
      </c>
      <c r="H655" t="str">
        <f t="shared" si="21"/>
        <v>FY2020 Oct</v>
      </c>
    </row>
    <row r="656" spans="1:8" x14ac:dyDescent="0.35">
      <c r="A656" t="s">
        <v>1352</v>
      </c>
      <c r="B656" t="s">
        <v>443</v>
      </c>
      <c r="C656">
        <v>2044</v>
      </c>
      <c r="D656">
        <v>301</v>
      </c>
      <c r="E656" t="s">
        <v>1348</v>
      </c>
      <c r="F656" t="s">
        <v>1371</v>
      </c>
      <c r="G656" t="str">
        <f t="shared" si="20"/>
        <v>2044FY20</v>
      </c>
      <c r="H656" t="str">
        <f t="shared" si="21"/>
        <v>FY2020 Nov</v>
      </c>
    </row>
    <row r="657" spans="1:8" x14ac:dyDescent="0.35">
      <c r="A657" t="s">
        <v>1352</v>
      </c>
      <c r="B657" t="s">
        <v>443</v>
      </c>
      <c r="C657">
        <v>2048</v>
      </c>
      <c r="D657">
        <v>309</v>
      </c>
      <c r="E657" t="s">
        <v>1348</v>
      </c>
      <c r="F657" t="s">
        <v>1371</v>
      </c>
      <c r="G657" t="str">
        <f t="shared" si="20"/>
        <v>2048FY20</v>
      </c>
      <c r="H657" t="str">
        <f t="shared" si="21"/>
        <v>FY2020 Nov</v>
      </c>
    </row>
    <row r="658" spans="1:8" x14ac:dyDescent="0.35">
      <c r="A658" t="s">
        <v>1352</v>
      </c>
      <c r="B658" t="s">
        <v>443</v>
      </c>
      <c r="C658">
        <v>2049</v>
      </c>
      <c r="D658">
        <v>1028</v>
      </c>
      <c r="E658" t="s">
        <v>1348</v>
      </c>
      <c r="F658" t="s">
        <v>1372</v>
      </c>
      <c r="G658" t="str">
        <f t="shared" si="20"/>
        <v>2049FY20</v>
      </c>
      <c r="H658" t="str">
        <f t="shared" si="21"/>
        <v>FY2020 Dec</v>
      </c>
    </row>
    <row r="659" spans="1:8" x14ac:dyDescent="0.35">
      <c r="A659" t="s">
        <v>1352</v>
      </c>
      <c r="B659" t="s">
        <v>443</v>
      </c>
      <c r="C659">
        <v>2050</v>
      </c>
      <c r="D659">
        <v>262</v>
      </c>
      <c r="E659" t="s">
        <v>1348</v>
      </c>
      <c r="F659" t="s">
        <v>1372</v>
      </c>
      <c r="G659" t="str">
        <f t="shared" si="20"/>
        <v>2050FY20</v>
      </c>
      <c r="H659" t="str">
        <f t="shared" si="21"/>
        <v>FY2020 Dec</v>
      </c>
    </row>
    <row r="660" spans="1:8" x14ac:dyDescent="0.35">
      <c r="A660" t="s">
        <v>1352</v>
      </c>
      <c r="B660" t="s">
        <v>443</v>
      </c>
      <c r="C660">
        <v>2051</v>
      </c>
      <c r="D660">
        <v>95</v>
      </c>
      <c r="E660" t="s">
        <v>1348</v>
      </c>
      <c r="F660" t="s">
        <v>1372</v>
      </c>
      <c r="G660" t="str">
        <f t="shared" si="20"/>
        <v>2051FY20</v>
      </c>
      <c r="H660" t="str">
        <f t="shared" si="21"/>
        <v>FY2020 Dec</v>
      </c>
    </row>
    <row r="661" spans="1:8" x14ac:dyDescent="0.35">
      <c r="A661" t="s">
        <v>1352</v>
      </c>
      <c r="B661" t="s">
        <v>443</v>
      </c>
      <c r="C661">
        <v>2052</v>
      </c>
      <c r="D661">
        <v>648</v>
      </c>
      <c r="E661" t="s">
        <v>1348</v>
      </c>
      <c r="F661" t="s">
        <v>1372</v>
      </c>
      <c r="G661" t="str">
        <f t="shared" si="20"/>
        <v>2052FY20</v>
      </c>
      <c r="H661" t="str">
        <f t="shared" si="21"/>
        <v>FY2020 Dec</v>
      </c>
    </row>
    <row r="662" spans="1:8" x14ac:dyDescent="0.35">
      <c r="A662" t="s">
        <v>1352</v>
      </c>
      <c r="B662" t="s">
        <v>443</v>
      </c>
      <c r="C662">
        <v>2053</v>
      </c>
      <c r="D662">
        <v>874</v>
      </c>
      <c r="E662" t="s">
        <v>1348</v>
      </c>
      <c r="F662" t="s">
        <v>1363</v>
      </c>
      <c r="G662" t="str">
        <f t="shared" si="20"/>
        <v>2053FY20</v>
      </c>
      <c r="H662" t="str">
        <f t="shared" si="21"/>
        <v>FY2021 Jan</v>
      </c>
    </row>
    <row r="663" spans="1:8" x14ac:dyDescent="0.35">
      <c r="A663" t="s">
        <v>1352</v>
      </c>
      <c r="B663" t="s">
        <v>443</v>
      </c>
      <c r="C663">
        <v>2101</v>
      </c>
      <c r="D663">
        <v>1129</v>
      </c>
      <c r="E663" t="s">
        <v>1348</v>
      </c>
      <c r="F663" t="s">
        <v>1363</v>
      </c>
      <c r="G663" t="str">
        <f t="shared" si="20"/>
        <v>2101FY20</v>
      </c>
      <c r="H663" t="str">
        <f t="shared" si="21"/>
        <v>FY2021 Jan</v>
      </c>
    </row>
    <row r="664" spans="1:8" x14ac:dyDescent="0.35">
      <c r="A664" t="s">
        <v>1352</v>
      </c>
      <c r="B664" t="s">
        <v>443</v>
      </c>
      <c r="C664">
        <v>2102</v>
      </c>
      <c r="D664">
        <v>24</v>
      </c>
      <c r="E664" t="s">
        <v>1348</v>
      </c>
      <c r="F664" t="s">
        <v>1363</v>
      </c>
      <c r="G664" t="str">
        <f t="shared" si="20"/>
        <v>2102FY20</v>
      </c>
      <c r="H664" t="str">
        <f t="shared" si="21"/>
        <v>FY2021 Jan</v>
      </c>
    </row>
    <row r="665" spans="1:8" x14ac:dyDescent="0.35">
      <c r="A665" t="s">
        <v>1352</v>
      </c>
      <c r="B665" t="s">
        <v>443</v>
      </c>
      <c r="C665">
        <v>2103</v>
      </c>
      <c r="D665">
        <v>1420</v>
      </c>
      <c r="E665" t="s">
        <v>1348</v>
      </c>
      <c r="F665" t="s">
        <v>1363</v>
      </c>
      <c r="G665" t="str">
        <f t="shared" si="20"/>
        <v>2103FY20</v>
      </c>
      <c r="H665" t="str">
        <f t="shared" si="21"/>
        <v>FY2021 Jan</v>
      </c>
    </row>
    <row r="666" spans="1:8" x14ac:dyDescent="0.35">
      <c r="A666" t="s">
        <v>1352</v>
      </c>
      <c r="B666" t="s">
        <v>443</v>
      </c>
      <c r="C666">
        <v>2104</v>
      </c>
      <c r="D666">
        <v>503</v>
      </c>
      <c r="E666" t="s">
        <v>1348</v>
      </c>
      <c r="F666" t="s">
        <v>1363</v>
      </c>
      <c r="G666" t="str">
        <f t="shared" si="20"/>
        <v>2104FY20</v>
      </c>
      <c r="H666" t="str">
        <f t="shared" si="21"/>
        <v>FY2021 Jan</v>
      </c>
    </row>
    <row r="667" spans="1:8" x14ac:dyDescent="0.35">
      <c r="A667" t="s">
        <v>1352</v>
      </c>
      <c r="B667" t="s">
        <v>443</v>
      </c>
      <c r="C667">
        <v>2106</v>
      </c>
      <c r="D667">
        <v>503</v>
      </c>
      <c r="E667" t="s">
        <v>1348</v>
      </c>
      <c r="F667" t="s">
        <v>1362</v>
      </c>
      <c r="G667" t="str">
        <f t="shared" si="20"/>
        <v>2106FY20</v>
      </c>
      <c r="H667" t="str">
        <f t="shared" si="21"/>
        <v>FY2021 Feb</v>
      </c>
    </row>
    <row r="668" spans="1:8" x14ac:dyDescent="0.35">
      <c r="A668" t="s">
        <v>1352</v>
      </c>
      <c r="B668" t="s">
        <v>443</v>
      </c>
      <c r="C668">
        <v>2107</v>
      </c>
      <c r="D668">
        <v>1035</v>
      </c>
      <c r="E668" t="s">
        <v>1348</v>
      </c>
      <c r="F668" t="s">
        <v>1362</v>
      </c>
      <c r="G668" t="str">
        <f t="shared" si="20"/>
        <v>2107FY20</v>
      </c>
      <c r="H668" t="str">
        <f t="shared" si="21"/>
        <v>FY2021 Feb</v>
      </c>
    </row>
    <row r="669" spans="1:8" x14ac:dyDescent="0.35">
      <c r="A669" t="s">
        <v>1352</v>
      </c>
      <c r="B669" t="s">
        <v>443</v>
      </c>
      <c r="C669">
        <v>2108</v>
      </c>
      <c r="D669">
        <v>636</v>
      </c>
      <c r="E669" t="s">
        <v>1348</v>
      </c>
      <c r="F669" t="s">
        <v>1362</v>
      </c>
      <c r="G669" t="str">
        <f t="shared" si="20"/>
        <v>2108FY20</v>
      </c>
      <c r="H669" t="str">
        <f t="shared" si="21"/>
        <v>FY2021 Feb</v>
      </c>
    </row>
    <row r="670" spans="1:8" x14ac:dyDescent="0.35">
      <c r="A670" t="s">
        <v>1352</v>
      </c>
      <c r="B670" t="s">
        <v>443</v>
      </c>
      <c r="C670">
        <v>2109</v>
      </c>
      <c r="D670">
        <v>532</v>
      </c>
      <c r="E670" t="s">
        <v>1348</v>
      </c>
      <c r="F670" t="s">
        <v>1356</v>
      </c>
      <c r="G670" t="str">
        <f t="shared" si="20"/>
        <v>2109FY20</v>
      </c>
      <c r="H670" t="str">
        <f t="shared" si="21"/>
        <v>FY2021 Mar</v>
      </c>
    </row>
    <row r="671" spans="1:8" x14ac:dyDescent="0.35">
      <c r="A671" t="s">
        <v>1352</v>
      </c>
      <c r="B671" t="s">
        <v>443</v>
      </c>
      <c r="C671">
        <v>2110</v>
      </c>
      <c r="D671">
        <v>89</v>
      </c>
      <c r="E671" t="s">
        <v>1348</v>
      </c>
      <c r="F671" t="s">
        <v>1356</v>
      </c>
      <c r="G671" t="str">
        <f t="shared" si="20"/>
        <v>2110FY20</v>
      </c>
      <c r="H671" t="str">
        <f t="shared" si="21"/>
        <v>FY2021 Mar</v>
      </c>
    </row>
    <row r="672" spans="1:8" x14ac:dyDescent="0.35">
      <c r="A672" t="s">
        <v>1352</v>
      </c>
      <c r="B672" t="s">
        <v>443</v>
      </c>
      <c r="C672">
        <v>2111</v>
      </c>
      <c r="D672">
        <v>45</v>
      </c>
      <c r="E672" t="s">
        <v>1348</v>
      </c>
      <c r="F672" t="s">
        <v>1356</v>
      </c>
      <c r="G672" t="str">
        <f t="shared" si="20"/>
        <v>2111FY20</v>
      </c>
      <c r="H672" t="str">
        <f t="shared" si="21"/>
        <v>FY2021 Mar</v>
      </c>
    </row>
    <row r="673" spans="1:8" x14ac:dyDescent="0.35">
      <c r="A673" t="s">
        <v>1352</v>
      </c>
      <c r="B673" t="s">
        <v>443</v>
      </c>
      <c r="C673">
        <v>2112</v>
      </c>
      <c r="D673">
        <v>629</v>
      </c>
      <c r="E673" t="s">
        <v>1348</v>
      </c>
      <c r="F673" t="s">
        <v>1356</v>
      </c>
      <c r="G673" t="str">
        <f t="shared" si="20"/>
        <v>2112FY20</v>
      </c>
      <c r="H673" t="str">
        <f t="shared" si="21"/>
        <v>FY2021 Mar</v>
      </c>
    </row>
    <row r="674" spans="1:8" x14ac:dyDescent="0.35">
      <c r="A674" t="s">
        <v>1352</v>
      </c>
      <c r="B674" t="s">
        <v>443</v>
      </c>
      <c r="C674">
        <v>2113</v>
      </c>
      <c r="D674">
        <v>874</v>
      </c>
      <c r="E674" t="s">
        <v>1348</v>
      </c>
      <c r="F674" t="s">
        <v>1356</v>
      </c>
      <c r="G674" t="str">
        <f t="shared" si="20"/>
        <v>2113FY20</v>
      </c>
      <c r="H674" t="str">
        <f t="shared" si="21"/>
        <v>FY2021 Mar</v>
      </c>
    </row>
    <row r="675" spans="1:8" x14ac:dyDescent="0.35">
      <c r="A675" t="s">
        <v>1352</v>
      </c>
      <c r="B675" t="s">
        <v>443</v>
      </c>
      <c r="C675">
        <v>2114</v>
      </c>
      <c r="D675">
        <v>132</v>
      </c>
      <c r="E675" t="s">
        <v>1348</v>
      </c>
      <c r="F675" t="s">
        <v>1357</v>
      </c>
      <c r="G675" t="str">
        <f t="shared" si="20"/>
        <v>2114FY20</v>
      </c>
      <c r="H675" t="str">
        <f t="shared" si="21"/>
        <v>FY2021 Apr</v>
      </c>
    </row>
    <row r="676" spans="1:8" x14ac:dyDescent="0.35">
      <c r="A676" t="s">
        <v>1352</v>
      </c>
      <c r="B676" t="s">
        <v>443</v>
      </c>
      <c r="C676">
        <v>2115</v>
      </c>
      <c r="D676">
        <v>510</v>
      </c>
      <c r="E676" t="s">
        <v>1348</v>
      </c>
      <c r="F676" t="s">
        <v>1357</v>
      </c>
      <c r="G676" t="str">
        <f t="shared" si="20"/>
        <v>2115FY20</v>
      </c>
      <c r="H676" t="str">
        <f t="shared" si="21"/>
        <v>FY2021 Apr</v>
      </c>
    </row>
    <row r="677" spans="1:8" x14ac:dyDescent="0.35">
      <c r="A677" t="s">
        <v>1352</v>
      </c>
      <c r="B677" t="s">
        <v>443</v>
      </c>
      <c r="C677">
        <v>2116</v>
      </c>
      <c r="D677">
        <v>299</v>
      </c>
      <c r="E677" t="s">
        <v>1348</v>
      </c>
      <c r="F677" t="s">
        <v>1357</v>
      </c>
      <c r="G677" t="str">
        <f t="shared" si="20"/>
        <v>2116FY20</v>
      </c>
      <c r="H677" t="str">
        <f t="shared" si="21"/>
        <v>FY2021 Apr</v>
      </c>
    </row>
    <row r="678" spans="1:8" x14ac:dyDescent="0.35">
      <c r="A678" t="s">
        <v>1352</v>
      </c>
      <c r="B678" t="s">
        <v>443</v>
      </c>
      <c r="C678">
        <v>2117</v>
      </c>
      <c r="D678">
        <v>338</v>
      </c>
      <c r="E678" t="s">
        <v>1348</v>
      </c>
      <c r="F678" t="s">
        <v>1357</v>
      </c>
      <c r="G678" t="str">
        <f t="shared" si="20"/>
        <v>2117FY20</v>
      </c>
      <c r="H678" t="str">
        <f t="shared" si="21"/>
        <v>FY2021 Apr</v>
      </c>
    </row>
    <row r="679" spans="1:8" x14ac:dyDescent="0.35">
      <c r="A679" t="s">
        <v>1352</v>
      </c>
      <c r="B679" t="s">
        <v>443</v>
      </c>
      <c r="C679">
        <v>2118</v>
      </c>
      <c r="D679">
        <v>568</v>
      </c>
      <c r="E679" t="s">
        <v>1348</v>
      </c>
      <c r="F679" t="s">
        <v>1358</v>
      </c>
      <c r="G679" t="str">
        <f t="shared" si="20"/>
        <v>2118FY20</v>
      </c>
      <c r="H679" t="str">
        <f t="shared" si="21"/>
        <v>FY2021 May</v>
      </c>
    </row>
    <row r="680" spans="1:8" x14ac:dyDescent="0.35">
      <c r="A680" t="s">
        <v>1352</v>
      </c>
      <c r="B680" t="s">
        <v>443</v>
      </c>
      <c r="C680">
        <v>2120</v>
      </c>
      <c r="D680">
        <v>153</v>
      </c>
      <c r="E680" t="s">
        <v>1348</v>
      </c>
      <c r="F680" t="s">
        <v>1358</v>
      </c>
      <c r="G680" t="str">
        <f t="shared" si="20"/>
        <v>2120FY20</v>
      </c>
      <c r="H680" t="str">
        <f t="shared" si="21"/>
        <v>FY2021 May</v>
      </c>
    </row>
    <row r="681" spans="1:8" x14ac:dyDescent="0.35">
      <c r="A681" t="s">
        <v>1352</v>
      </c>
      <c r="B681" t="s">
        <v>443</v>
      </c>
      <c r="C681">
        <v>2121</v>
      </c>
      <c r="D681">
        <v>400</v>
      </c>
      <c r="E681" t="s">
        <v>1348</v>
      </c>
      <c r="F681" t="s">
        <v>1358</v>
      </c>
      <c r="G681" t="str">
        <f t="shared" si="20"/>
        <v>2121FY20</v>
      </c>
      <c r="H681" t="str">
        <f t="shared" si="21"/>
        <v>FY2021 May</v>
      </c>
    </row>
    <row r="682" spans="1:8" x14ac:dyDescent="0.35">
      <c r="A682" t="s">
        <v>1352</v>
      </c>
      <c r="B682" t="s">
        <v>443</v>
      </c>
      <c r="C682">
        <v>2122</v>
      </c>
      <c r="D682">
        <v>351</v>
      </c>
      <c r="E682" t="s">
        <v>1348</v>
      </c>
      <c r="F682" t="s">
        <v>1358</v>
      </c>
      <c r="G682" t="str">
        <f t="shared" si="20"/>
        <v>2122FY20</v>
      </c>
      <c r="H682" t="str">
        <f t="shared" si="21"/>
        <v>FY2021 May</v>
      </c>
    </row>
    <row r="683" spans="1:8" x14ac:dyDescent="0.35">
      <c r="A683" t="s">
        <v>1352</v>
      </c>
      <c r="B683" t="s">
        <v>443</v>
      </c>
      <c r="C683">
        <v>2123</v>
      </c>
      <c r="D683">
        <v>887</v>
      </c>
      <c r="E683" t="s">
        <v>1348</v>
      </c>
      <c r="F683" t="s">
        <v>1359</v>
      </c>
      <c r="G683" t="str">
        <f t="shared" si="20"/>
        <v>2123FY20</v>
      </c>
      <c r="H683" t="str">
        <f t="shared" si="21"/>
        <v>FY2021 Jun</v>
      </c>
    </row>
    <row r="684" spans="1:8" x14ac:dyDescent="0.35">
      <c r="A684" t="s">
        <v>1352</v>
      </c>
      <c r="B684" t="s">
        <v>443</v>
      </c>
      <c r="C684">
        <v>2124</v>
      </c>
      <c r="D684">
        <v>251</v>
      </c>
      <c r="E684" t="s">
        <v>1348</v>
      </c>
      <c r="F684" t="s">
        <v>1359</v>
      </c>
      <c r="G684" t="str">
        <f t="shared" si="20"/>
        <v>2124FY20</v>
      </c>
      <c r="H684" t="str">
        <f t="shared" si="21"/>
        <v>FY2021 Jun</v>
      </c>
    </row>
    <row r="685" spans="1:8" x14ac:dyDescent="0.35">
      <c r="A685" t="s">
        <v>1352</v>
      </c>
      <c r="B685" t="s">
        <v>443</v>
      </c>
      <c r="C685">
        <v>2125</v>
      </c>
      <c r="D685">
        <v>319</v>
      </c>
      <c r="E685" t="s">
        <v>1348</v>
      </c>
      <c r="F685" t="s">
        <v>1359</v>
      </c>
      <c r="G685" t="str">
        <f t="shared" si="20"/>
        <v>2125FY20</v>
      </c>
      <c r="H685" t="str">
        <f t="shared" si="21"/>
        <v>FY2021 Jun</v>
      </c>
    </row>
    <row r="686" spans="1:8" x14ac:dyDescent="0.35">
      <c r="A686" t="s">
        <v>1352</v>
      </c>
      <c r="B686" t="s">
        <v>443</v>
      </c>
      <c r="C686">
        <v>2129</v>
      </c>
      <c r="D686">
        <v>561</v>
      </c>
      <c r="E686" t="s">
        <v>1348</v>
      </c>
      <c r="F686" t="s">
        <v>1360</v>
      </c>
      <c r="G686" t="str">
        <f t="shared" si="20"/>
        <v>2129FY20</v>
      </c>
      <c r="H686" t="str">
        <f t="shared" si="21"/>
        <v>FY2021 Jul</v>
      </c>
    </row>
    <row r="687" spans="1:8" x14ac:dyDescent="0.35">
      <c r="A687" t="s">
        <v>1352</v>
      </c>
      <c r="B687" t="s">
        <v>443</v>
      </c>
      <c r="C687">
        <v>2131</v>
      </c>
      <c r="D687">
        <v>11</v>
      </c>
      <c r="E687" t="s">
        <v>1348</v>
      </c>
      <c r="F687" t="s">
        <v>1361</v>
      </c>
      <c r="G687" t="str">
        <f t="shared" si="20"/>
        <v>2131FY20</v>
      </c>
      <c r="H687" t="str">
        <f t="shared" si="21"/>
        <v>FY2021 Aug</v>
      </c>
    </row>
    <row r="688" spans="1:8" x14ac:dyDescent="0.35">
      <c r="A688" t="s">
        <v>1352</v>
      </c>
      <c r="B688" t="s">
        <v>443</v>
      </c>
      <c r="C688">
        <v>2132</v>
      </c>
      <c r="D688">
        <v>191</v>
      </c>
      <c r="E688" t="s">
        <v>1348</v>
      </c>
      <c r="F688" t="s">
        <v>1361</v>
      </c>
      <c r="G688" t="str">
        <f t="shared" si="20"/>
        <v>2132FY20</v>
      </c>
      <c r="H688" t="str">
        <f t="shared" si="21"/>
        <v>FY2021 Aug</v>
      </c>
    </row>
    <row r="689" spans="1:8" x14ac:dyDescent="0.35">
      <c r="A689" t="s">
        <v>1352</v>
      </c>
      <c r="B689" t="s">
        <v>443</v>
      </c>
      <c r="C689">
        <v>2133</v>
      </c>
      <c r="D689">
        <v>2</v>
      </c>
      <c r="E689" t="s">
        <v>1348</v>
      </c>
      <c r="F689" t="s">
        <v>1361</v>
      </c>
      <c r="G689" t="str">
        <f t="shared" si="20"/>
        <v>2133FY20</v>
      </c>
      <c r="H689" t="str">
        <f t="shared" si="21"/>
        <v>FY2021 Aug</v>
      </c>
    </row>
    <row r="690" spans="1:8" x14ac:dyDescent="0.35">
      <c r="A690" t="s">
        <v>1352</v>
      </c>
      <c r="B690" t="s">
        <v>439</v>
      </c>
      <c r="C690">
        <v>2002</v>
      </c>
      <c r="D690">
        <v>27</v>
      </c>
      <c r="E690" t="s">
        <v>1348</v>
      </c>
      <c r="F690" t="s">
        <v>1375</v>
      </c>
      <c r="G690" t="str">
        <f t="shared" si="20"/>
        <v>2002FY20</v>
      </c>
      <c r="H690" t="str">
        <f t="shared" si="21"/>
        <v>FY2020 Jan</v>
      </c>
    </row>
    <row r="691" spans="1:8" x14ac:dyDescent="0.35">
      <c r="A691" t="s">
        <v>1352</v>
      </c>
      <c r="B691" t="s">
        <v>439</v>
      </c>
      <c r="C691">
        <v>2004</v>
      </c>
      <c r="D691">
        <v>20</v>
      </c>
      <c r="E691" t="s">
        <v>1348</v>
      </c>
      <c r="F691" t="s">
        <v>1375</v>
      </c>
      <c r="G691" t="str">
        <f t="shared" si="20"/>
        <v>2004FY20</v>
      </c>
      <c r="H691" t="str">
        <f t="shared" si="21"/>
        <v>FY2020 Jan</v>
      </c>
    </row>
    <row r="692" spans="1:8" x14ac:dyDescent="0.35">
      <c r="A692" t="s">
        <v>1352</v>
      </c>
      <c r="B692" t="s">
        <v>439</v>
      </c>
      <c r="C692">
        <v>2007</v>
      </c>
      <c r="D692">
        <v>120</v>
      </c>
      <c r="E692" t="s">
        <v>1348</v>
      </c>
      <c r="F692" t="s">
        <v>1374</v>
      </c>
      <c r="G692" t="str">
        <f t="shared" si="20"/>
        <v>2007FY20</v>
      </c>
      <c r="H692" t="str">
        <f t="shared" si="21"/>
        <v>FY2020 Feb</v>
      </c>
    </row>
    <row r="693" spans="1:8" x14ac:dyDescent="0.35">
      <c r="A693" t="s">
        <v>1352</v>
      </c>
      <c r="B693" t="s">
        <v>439</v>
      </c>
      <c r="C693">
        <v>2008</v>
      </c>
      <c r="D693">
        <v>240</v>
      </c>
      <c r="E693" t="s">
        <v>1348</v>
      </c>
      <c r="F693" t="s">
        <v>1374</v>
      </c>
      <c r="G693" t="str">
        <f t="shared" si="20"/>
        <v>2008FY20</v>
      </c>
      <c r="H693" t="str">
        <f t="shared" si="21"/>
        <v>FY2020 Feb</v>
      </c>
    </row>
    <row r="694" spans="1:8" x14ac:dyDescent="0.35">
      <c r="A694" t="s">
        <v>1352</v>
      </c>
      <c r="B694" t="s">
        <v>439</v>
      </c>
      <c r="C694">
        <v>2009</v>
      </c>
      <c r="D694">
        <v>295</v>
      </c>
      <c r="E694" t="s">
        <v>1348</v>
      </c>
      <c r="F694" t="s">
        <v>1373</v>
      </c>
      <c r="G694" t="str">
        <f t="shared" si="20"/>
        <v>2009FY20</v>
      </c>
      <c r="H694" t="str">
        <f t="shared" si="21"/>
        <v>FY2020 Mar</v>
      </c>
    </row>
    <row r="695" spans="1:8" x14ac:dyDescent="0.35">
      <c r="A695" t="s">
        <v>1352</v>
      </c>
      <c r="B695" t="s">
        <v>439</v>
      </c>
      <c r="C695">
        <v>2010</v>
      </c>
      <c r="D695">
        <v>23</v>
      </c>
      <c r="E695" t="s">
        <v>1348</v>
      </c>
      <c r="F695" t="s">
        <v>1373</v>
      </c>
      <c r="G695" t="str">
        <f t="shared" si="20"/>
        <v>2010FY20</v>
      </c>
      <c r="H695" t="str">
        <f t="shared" si="21"/>
        <v>FY2020 Mar</v>
      </c>
    </row>
    <row r="696" spans="1:8" x14ac:dyDescent="0.35">
      <c r="A696" t="s">
        <v>1352</v>
      </c>
      <c r="B696" t="s">
        <v>439</v>
      </c>
      <c r="C696">
        <v>2011</v>
      </c>
      <c r="D696">
        <v>53</v>
      </c>
      <c r="E696" t="s">
        <v>1348</v>
      </c>
      <c r="F696" t="s">
        <v>1373</v>
      </c>
      <c r="G696" t="str">
        <f t="shared" si="20"/>
        <v>2011FY20</v>
      </c>
      <c r="H696" t="str">
        <f t="shared" si="21"/>
        <v>FY2020 Mar</v>
      </c>
    </row>
    <row r="697" spans="1:8" x14ac:dyDescent="0.35">
      <c r="A697" t="s">
        <v>1352</v>
      </c>
      <c r="B697" t="s">
        <v>439</v>
      </c>
      <c r="C697">
        <v>2019</v>
      </c>
      <c r="D697">
        <v>9</v>
      </c>
      <c r="E697" t="s">
        <v>1348</v>
      </c>
      <c r="F697" t="s">
        <v>1365</v>
      </c>
      <c r="G697" t="str">
        <f t="shared" si="20"/>
        <v>2019FY20</v>
      </c>
      <c r="H697" t="str">
        <f t="shared" si="21"/>
        <v>FY2020 May</v>
      </c>
    </row>
    <row r="698" spans="1:8" x14ac:dyDescent="0.35">
      <c r="A698" t="s">
        <v>1352</v>
      </c>
      <c r="B698" t="s">
        <v>439</v>
      </c>
      <c r="C698">
        <v>2021</v>
      </c>
      <c r="D698">
        <v>153</v>
      </c>
      <c r="E698" t="s">
        <v>1348</v>
      </c>
      <c r="F698" t="s">
        <v>1365</v>
      </c>
      <c r="G698" t="str">
        <f t="shared" si="20"/>
        <v>2021FY20</v>
      </c>
      <c r="H698" t="str">
        <f t="shared" si="21"/>
        <v>FY2020 May</v>
      </c>
    </row>
    <row r="699" spans="1:8" x14ac:dyDescent="0.35">
      <c r="A699" t="s">
        <v>1352</v>
      </c>
      <c r="B699" t="s">
        <v>439</v>
      </c>
      <c r="C699">
        <v>2022</v>
      </c>
      <c r="D699">
        <v>586</v>
      </c>
      <c r="E699" t="s">
        <v>1348</v>
      </c>
      <c r="F699" t="s">
        <v>1366</v>
      </c>
      <c r="G699" t="str">
        <f t="shared" si="20"/>
        <v>2022FY20</v>
      </c>
      <c r="H699" t="str">
        <f t="shared" si="21"/>
        <v>FY2020 Jun</v>
      </c>
    </row>
    <row r="700" spans="1:8" x14ac:dyDescent="0.35">
      <c r="A700" t="s">
        <v>1352</v>
      </c>
      <c r="B700" t="s">
        <v>439</v>
      </c>
      <c r="C700">
        <v>2023</v>
      </c>
      <c r="D700">
        <v>300</v>
      </c>
      <c r="E700" t="s">
        <v>1348</v>
      </c>
      <c r="F700" t="s">
        <v>1366</v>
      </c>
      <c r="G700" t="str">
        <f t="shared" si="20"/>
        <v>2023FY20</v>
      </c>
      <c r="H700" t="str">
        <f t="shared" si="21"/>
        <v>FY2020 Jun</v>
      </c>
    </row>
    <row r="701" spans="1:8" x14ac:dyDescent="0.35">
      <c r="A701" t="s">
        <v>1352</v>
      </c>
      <c r="B701" t="s">
        <v>439</v>
      </c>
      <c r="C701">
        <v>2024</v>
      </c>
      <c r="D701">
        <v>562</v>
      </c>
      <c r="E701" t="s">
        <v>1348</v>
      </c>
      <c r="F701" t="s">
        <v>1366</v>
      </c>
      <c r="G701" t="str">
        <f t="shared" si="20"/>
        <v>2024FY20</v>
      </c>
      <c r="H701" t="str">
        <f t="shared" si="21"/>
        <v>FY2020 Jun</v>
      </c>
    </row>
    <row r="702" spans="1:8" x14ac:dyDescent="0.35">
      <c r="A702" t="s">
        <v>1352</v>
      </c>
      <c r="B702" t="s">
        <v>439</v>
      </c>
      <c r="C702">
        <v>2025</v>
      </c>
      <c r="D702">
        <v>504</v>
      </c>
      <c r="E702" t="s">
        <v>1348</v>
      </c>
      <c r="F702" t="s">
        <v>1366</v>
      </c>
      <c r="G702" t="str">
        <f t="shared" si="20"/>
        <v>2025FY20</v>
      </c>
      <c r="H702" t="str">
        <f t="shared" si="21"/>
        <v>FY2020 Jun</v>
      </c>
    </row>
    <row r="703" spans="1:8" x14ac:dyDescent="0.35">
      <c r="A703" t="s">
        <v>1352</v>
      </c>
      <c r="B703" t="s">
        <v>439</v>
      </c>
      <c r="C703">
        <v>2028</v>
      </c>
      <c r="D703">
        <v>540</v>
      </c>
      <c r="E703" t="s">
        <v>1348</v>
      </c>
      <c r="F703" t="s">
        <v>1367</v>
      </c>
      <c r="G703" t="str">
        <f t="shared" si="20"/>
        <v>2028FY20</v>
      </c>
      <c r="H703" t="str">
        <f t="shared" si="21"/>
        <v>FY2020 Jul</v>
      </c>
    </row>
    <row r="704" spans="1:8" x14ac:dyDescent="0.35">
      <c r="A704" t="s">
        <v>1352</v>
      </c>
      <c r="B704" t="s">
        <v>439</v>
      </c>
      <c r="C704">
        <v>2030</v>
      </c>
      <c r="D704">
        <v>887</v>
      </c>
      <c r="E704" t="s">
        <v>1348</v>
      </c>
      <c r="F704" t="s">
        <v>1367</v>
      </c>
      <c r="G704" t="str">
        <f t="shared" si="20"/>
        <v>2030FY20</v>
      </c>
      <c r="H704" t="str">
        <f t="shared" si="21"/>
        <v>FY2020 Jul</v>
      </c>
    </row>
    <row r="705" spans="1:8" x14ac:dyDescent="0.35">
      <c r="A705" t="s">
        <v>1352</v>
      </c>
      <c r="B705" t="s">
        <v>439</v>
      </c>
      <c r="C705">
        <v>2031</v>
      </c>
      <c r="D705">
        <v>139</v>
      </c>
      <c r="E705" t="s">
        <v>1348</v>
      </c>
      <c r="F705" t="s">
        <v>1368</v>
      </c>
      <c r="G705" t="str">
        <f t="shared" si="20"/>
        <v>2031FY20</v>
      </c>
      <c r="H705" t="str">
        <f t="shared" si="21"/>
        <v>FY2020 Aug</v>
      </c>
    </row>
    <row r="706" spans="1:8" x14ac:dyDescent="0.35">
      <c r="A706" t="s">
        <v>1352</v>
      </c>
      <c r="B706" t="s">
        <v>439</v>
      </c>
      <c r="C706">
        <v>2032</v>
      </c>
      <c r="D706">
        <v>734</v>
      </c>
      <c r="E706" t="s">
        <v>1348</v>
      </c>
      <c r="F706" t="s">
        <v>1368</v>
      </c>
      <c r="G706" t="str">
        <f t="shared" si="20"/>
        <v>2032FY20</v>
      </c>
      <c r="H706" t="str">
        <f t="shared" si="21"/>
        <v>FY2020 Aug</v>
      </c>
    </row>
    <row r="707" spans="1:8" x14ac:dyDescent="0.35">
      <c r="A707" t="s">
        <v>1352</v>
      </c>
      <c r="B707" t="s">
        <v>439</v>
      </c>
      <c r="C707">
        <v>2033</v>
      </c>
      <c r="D707">
        <v>219</v>
      </c>
      <c r="E707" t="s">
        <v>1348</v>
      </c>
      <c r="F707" t="s">
        <v>1368</v>
      </c>
      <c r="G707" t="str">
        <f t="shared" ref="G707:G770" si="22">C707&amp;E707</f>
        <v>2033FY20</v>
      </c>
      <c r="H707" t="str">
        <f t="shared" ref="H707:H770" si="23">E707&amp;F707</f>
        <v>FY2020 Aug</v>
      </c>
    </row>
    <row r="708" spans="1:8" x14ac:dyDescent="0.35">
      <c r="A708" t="s">
        <v>1352</v>
      </c>
      <c r="B708" t="s">
        <v>439</v>
      </c>
      <c r="C708">
        <v>2034</v>
      </c>
      <c r="D708">
        <v>818</v>
      </c>
      <c r="E708" t="s">
        <v>1348</v>
      </c>
      <c r="F708" t="s">
        <v>1368</v>
      </c>
      <c r="G708" t="str">
        <f t="shared" si="22"/>
        <v>2034FY20</v>
      </c>
      <c r="H708" t="str">
        <f t="shared" si="23"/>
        <v>FY2020 Aug</v>
      </c>
    </row>
    <row r="709" spans="1:8" x14ac:dyDescent="0.35">
      <c r="A709" t="s">
        <v>1352</v>
      </c>
      <c r="B709" t="s">
        <v>439</v>
      </c>
      <c r="C709">
        <v>2035</v>
      </c>
      <c r="D709">
        <v>496</v>
      </c>
      <c r="E709" t="s">
        <v>1348</v>
      </c>
      <c r="F709" t="s">
        <v>1368</v>
      </c>
      <c r="G709" t="str">
        <f t="shared" si="22"/>
        <v>2035FY20</v>
      </c>
      <c r="H709" t="str">
        <f t="shared" si="23"/>
        <v>FY2020 Aug</v>
      </c>
    </row>
    <row r="710" spans="1:8" x14ac:dyDescent="0.35">
      <c r="A710" t="s">
        <v>1352</v>
      </c>
      <c r="B710" t="s">
        <v>439</v>
      </c>
      <c r="C710">
        <v>2036</v>
      </c>
      <c r="D710">
        <v>268</v>
      </c>
      <c r="E710" t="s">
        <v>1348</v>
      </c>
      <c r="F710" t="s">
        <v>1369</v>
      </c>
      <c r="G710" t="str">
        <f t="shared" si="22"/>
        <v>2036FY20</v>
      </c>
      <c r="H710" t="str">
        <f t="shared" si="23"/>
        <v>FY2020 Sep</v>
      </c>
    </row>
    <row r="711" spans="1:8" x14ac:dyDescent="0.35">
      <c r="A711" t="s">
        <v>1352</v>
      </c>
      <c r="B711" t="s">
        <v>439</v>
      </c>
      <c r="C711">
        <v>2037</v>
      </c>
      <c r="D711">
        <v>205</v>
      </c>
      <c r="E711" t="s">
        <v>1348</v>
      </c>
      <c r="F711" t="s">
        <v>1369</v>
      </c>
      <c r="G711" t="str">
        <f t="shared" si="22"/>
        <v>2037FY20</v>
      </c>
      <c r="H711" t="str">
        <f t="shared" si="23"/>
        <v>FY2020 Sep</v>
      </c>
    </row>
    <row r="712" spans="1:8" x14ac:dyDescent="0.35">
      <c r="A712" t="s">
        <v>1352</v>
      </c>
      <c r="B712" t="s">
        <v>439</v>
      </c>
      <c r="C712">
        <v>2038</v>
      </c>
      <c r="D712">
        <v>389</v>
      </c>
      <c r="E712" t="s">
        <v>1348</v>
      </c>
      <c r="F712" t="s">
        <v>1369</v>
      </c>
      <c r="G712" t="str">
        <f t="shared" si="22"/>
        <v>2038FY20</v>
      </c>
      <c r="H712" t="str">
        <f t="shared" si="23"/>
        <v>FY2020 Sep</v>
      </c>
    </row>
    <row r="713" spans="1:8" x14ac:dyDescent="0.35">
      <c r="A713" t="s">
        <v>1352</v>
      </c>
      <c r="B713" t="s">
        <v>439</v>
      </c>
      <c r="C713">
        <v>2039</v>
      </c>
      <c r="D713">
        <v>130</v>
      </c>
      <c r="E713" t="s">
        <v>1348</v>
      </c>
      <c r="F713" t="s">
        <v>1369</v>
      </c>
      <c r="G713" t="str">
        <f t="shared" si="22"/>
        <v>2039FY20</v>
      </c>
      <c r="H713" t="str">
        <f t="shared" si="23"/>
        <v>FY2020 Sep</v>
      </c>
    </row>
    <row r="714" spans="1:8" x14ac:dyDescent="0.35">
      <c r="A714" t="s">
        <v>1352</v>
      </c>
      <c r="B714" t="s">
        <v>439</v>
      </c>
      <c r="C714">
        <v>2040</v>
      </c>
      <c r="D714">
        <v>162</v>
      </c>
      <c r="E714" t="s">
        <v>1348</v>
      </c>
      <c r="F714" t="s">
        <v>1370</v>
      </c>
      <c r="G714" t="str">
        <f t="shared" si="22"/>
        <v>2040FY20</v>
      </c>
      <c r="H714" t="str">
        <f t="shared" si="23"/>
        <v>FY2020 Oct</v>
      </c>
    </row>
    <row r="715" spans="1:8" x14ac:dyDescent="0.35">
      <c r="A715" t="s">
        <v>1352</v>
      </c>
      <c r="B715" t="s">
        <v>439</v>
      </c>
      <c r="C715">
        <v>2041</v>
      </c>
      <c r="D715">
        <v>216</v>
      </c>
      <c r="E715" t="s">
        <v>1348</v>
      </c>
      <c r="F715" t="s">
        <v>1370</v>
      </c>
      <c r="G715" t="str">
        <f t="shared" si="22"/>
        <v>2041FY20</v>
      </c>
      <c r="H715" t="str">
        <f t="shared" si="23"/>
        <v>FY2020 Oct</v>
      </c>
    </row>
    <row r="716" spans="1:8" x14ac:dyDescent="0.35">
      <c r="A716" t="s">
        <v>1352</v>
      </c>
      <c r="B716" t="s">
        <v>439</v>
      </c>
      <c r="C716">
        <v>2043</v>
      </c>
      <c r="D716">
        <v>181</v>
      </c>
      <c r="E716" t="s">
        <v>1348</v>
      </c>
      <c r="F716" t="s">
        <v>1370</v>
      </c>
      <c r="G716" t="str">
        <f t="shared" si="22"/>
        <v>2043FY20</v>
      </c>
      <c r="H716" t="str">
        <f t="shared" si="23"/>
        <v>FY2020 Oct</v>
      </c>
    </row>
    <row r="717" spans="1:8" x14ac:dyDescent="0.35">
      <c r="A717" t="s">
        <v>1352</v>
      </c>
      <c r="B717" t="s">
        <v>439</v>
      </c>
      <c r="C717">
        <v>2048</v>
      </c>
      <c r="D717">
        <v>165</v>
      </c>
      <c r="E717" t="s">
        <v>1348</v>
      </c>
      <c r="F717" t="s">
        <v>1371</v>
      </c>
      <c r="G717" t="str">
        <f t="shared" si="22"/>
        <v>2048FY20</v>
      </c>
      <c r="H717" t="str">
        <f t="shared" si="23"/>
        <v>FY2020 Nov</v>
      </c>
    </row>
    <row r="718" spans="1:8" x14ac:dyDescent="0.35">
      <c r="A718" t="s">
        <v>1352</v>
      </c>
      <c r="B718" t="s">
        <v>439</v>
      </c>
      <c r="C718">
        <v>2049</v>
      </c>
      <c r="D718">
        <v>368</v>
      </c>
      <c r="E718" t="s">
        <v>1348</v>
      </c>
      <c r="F718" t="s">
        <v>1372</v>
      </c>
      <c r="G718" t="str">
        <f t="shared" si="22"/>
        <v>2049FY20</v>
      </c>
      <c r="H718" t="str">
        <f t="shared" si="23"/>
        <v>FY2020 Dec</v>
      </c>
    </row>
    <row r="719" spans="1:8" x14ac:dyDescent="0.35">
      <c r="A719" t="s">
        <v>1352</v>
      </c>
      <c r="B719" t="s">
        <v>439</v>
      </c>
      <c r="C719">
        <v>2051</v>
      </c>
      <c r="D719">
        <v>900</v>
      </c>
      <c r="E719" t="s">
        <v>1348</v>
      </c>
      <c r="F719" t="s">
        <v>1372</v>
      </c>
      <c r="G719" t="str">
        <f t="shared" si="22"/>
        <v>2051FY20</v>
      </c>
      <c r="H719" t="str">
        <f t="shared" si="23"/>
        <v>FY2020 Dec</v>
      </c>
    </row>
    <row r="720" spans="1:8" x14ac:dyDescent="0.35">
      <c r="A720" t="s">
        <v>1352</v>
      </c>
      <c r="B720" t="s">
        <v>439</v>
      </c>
      <c r="C720">
        <v>2052</v>
      </c>
      <c r="D720">
        <v>368</v>
      </c>
      <c r="E720" t="s">
        <v>1348</v>
      </c>
      <c r="F720" t="s">
        <v>1372</v>
      </c>
      <c r="G720" t="str">
        <f t="shared" si="22"/>
        <v>2052FY20</v>
      </c>
      <c r="H720" t="str">
        <f t="shared" si="23"/>
        <v>FY2020 Dec</v>
      </c>
    </row>
    <row r="721" spans="1:8" x14ac:dyDescent="0.35">
      <c r="A721" t="s">
        <v>1352</v>
      </c>
      <c r="B721" t="s">
        <v>439</v>
      </c>
      <c r="C721">
        <v>2053</v>
      </c>
      <c r="D721">
        <v>292</v>
      </c>
      <c r="E721" t="s">
        <v>1348</v>
      </c>
      <c r="F721" t="s">
        <v>1363</v>
      </c>
      <c r="G721" t="str">
        <f t="shared" si="22"/>
        <v>2053FY20</v>
      </c>
      <c r="H721" t="str">
        <f t="shared" si="23"/>
        <v>FY2021 Jan</v>
      </c>
    </row>
    <row r="722" spans="1:8" x14ac:dyDescent="0.35">
      <c r="A722" t="s">
        <v>1352</v>
      </c>
      <c r="B722" t="s">
        <v>439</v>
      </c>
      <c r="C722">
        <v>2101</v>
      </c>
      <c r="D722">
        <v>581</v>
      </c>
      <c r="E722" t="s">
        <v>1348</v>
      </c>
      <c r="F722" t="s">
        <v>1363</v>
      </c>
      <c r="G722" t="str">
        <f t="shared" si="22"/>
        <v>2101FY20</v>
      </c>
      <c r="H722" t="str">
        <f t="shared" si="23"/>
        <v>FY2021 Jan</v>
      </c>
    </row>
    <row r="723" spans="1:8" x14ac:dyDescent="0.35">
      <c r="A723" t="s">
        <v>1352</v>
      </c>
      <c r="B723" t="s">
        <v>439</v>
      </c>
      <c r="C723">
        <v>2102</v>
      </c>
      <c r="D723">
        <v>133</v>
      </c>
      <c r="E723" t="s">
        <v>1348</v>
      </c>
      <c r="F723" t="s">
        <v>1363</v>
      </c>
      <c r="G723" t="str">
        <f t="shared" si="22"/>
        <v>2102FY20</v>
      </c>
      <c r="H723" t="str">
        <f t="shared" si="23"/>
        <v>FY2021 Jan</v>
      </c>
    </row>
    <row r="724" spans="1:8" x14ac:dyDescent="0.35">
      <c r="A724" t="s">
        <v>1352</v>
      </c>
      <c r="B724" t="s">
        <v>439</v>
      </c>
      <c r="C724">
        <v>2103</v>
      </c>
      <c r="D724">
        <v>666</v>
      </c>
      <c r="E724" t="s">
        <v>1348</v>
      </c>
      <c r="F724" t="s">
        <v>1363</v>
      </c>
      <c r="G724" t="str">
        <f t="shared" si="22"/>
        <v>2103FY20</v>
      </c>
      <c r="H724" t="str">
        <f t="shared" si="23"/>
        <v>FY2021 Jan</v>
      </c>
    </row>
    <row r="725" spans="1:8" x14ac:dyDescent="0.35">
      <c r="A725" t="s">
        <v>1352</v>
      </c>
      <c r="B725" t="s">
        <v>439</v>
      </c>
      <c r="C725">
        <v>2104</v>
      </c>
      <c r="D725">
        <v>866</v>
      </c>
      <c r="E725" t="s">
        <v>1348</v>
      </c>
      <c r="F725" t="s">
        <v>1363</v>
      </c>
      <c r="G725" t="str">
        <f t="shared" si="22"/>
        <v>2104FY20</v>
      </c>
      <c r="H725" t="str">
        <f t="shared" si="23"/>
        <v>FY2021 Jan</v>
      </c>
    </row>
    <row r="726" spans="1:8" x14ac:dyDescent="0.35">
      <c r="A726" t="s">
        <v>1352</v>
      </c>
      <c r="B726" t="s">
        <v>439</v>
      </c>
      <c r="C726">
        <v>2106</v>
      </c>
      <c r="D726">
        <v>944</v>
      </c>
      <c r="E726" t="s">
        <v>1348</v>
      </c>
      <c r="F726" t="s">
        <v>1362</v>
      </c>
      <c r="G726" t="str">
        <f t="shared" si="22"/>
        <v>2106FY20</v>
      </c>
      <c r="H726" t="str">
        <f t="shared" si="23"/>
        <v>FY2021 Feb</v>
      </c>
    </row>
    <row r="727" spans="1:8" x14ac:dyDescent="0.35">
      <c r="A727" t="s">
        <v>1352</v>
      </c>
      <c r="B727" t="s">
        <v>439</v>
      </c>
      <c r="C727">
        <v>2107</v>
      </c>
      <c r="D727">
        <v>111</v>
      </c>
      <c r="E727" t="s">
        <v>1348</v>
      </c>
      <c r="F727" t="s">
        <v>1362</v>
      </c>
      <c r="G727" t="str">
        <f t="shared" si="22"/>
        <v>2107FY20</v>
      </c>
      <c r="H727" t="str">
        <f t="shared" si="23"/>
        <v>FY2021 Feb</v>
      </c>
    </row>
    <row r="728" spans="1:8" x14ac:dyDescent="0.35">
      <c r="A728" t="s">
        <v>1352</v>
      </c>
      <c r="B728" t="s">
        <v>439</v>
      </c>
      <c r="C728">
        <v>2108</v>
      </c>
      <c r="D728">
        <v>241</v>
      </c>
      <c r="E728" t="s">
        <v>1348</v>
      </c>
      <c r="F728" t="s">
        <v>1362</v>
      </c>
      <c r="G728" t="str">
        <f t="shared" si="22"/>
        <v>2108FY20</v>
      </c>
      <c r="H728" t="str">
        <f t="shared" si="23"/>
        <v>FY2021 Feb</v>
      </c>
    </row>
    <row r="729" spans="1:8" x14ac:dyDescent="0.35">
      <c r="A729" t="s">
        <v>1352</v>
      </c>
      <c r="B729" t="s">
        <v>439</v>
      </c>
      <c r="C729">
        <v>2109</v>
      </c>
      <c r="D729">
        <v>217</v>
      </c>
      <c r="E729" t="s">
        <v>1348</v>
      </c>
      <c r="F729" t="s">
        <v>1356</v>
      </c>
      <c r="G729" t="str">
        <f t="shared" si="22"/>
        <v>2109FY20</v>
      </c>
      <c r="H729" t="str">
        <f t="shared" si="23"/>
        <v>FY2021 Mar</v>
      </c>
    </row>
    <row r="730" spans="1:8" x14ac:dyDescent="0.35">
      <c r="A730" t="s">
        <v>1352</v>
      </c>
      <c r="B730" t="s">
        <v>439</v>
      </c>
      <c r="C730">
        <v>2110</v>
      </c>
      <c r="D730">
        <v>32</v>
      </c>
      <c r="E730" t="s">
        <v>1348</v>
      </c>
      <c r="F730" t="s">
        <v>1356</v>
      </c>
      <c r="G730" t="str">
        <f t="shared" si="22"/>
        <v>2110FY20</v>
      </c>
      <c r="H730" t="str">
        <f t="shared" si="23"/>
        <v>FY2021 Mar</v>
      </c>
    </row>
    <row r="731" spans="1:8" x14ac:dyDescent="0.35">
      <c r="A731" t="s">
        <v>1352</v>
      </c>
      <c r="B731" t="s">
        <v>439</v>
      </c>
      <c r="C731">
        <v>2111</v>
      </c>
      <c r="D731">
        <v>59</v>
      </c>
      <c r="E731" t="s">
        <v>1348</v>
      </c>
      <c r="F731" t="s">
        <v>1356</v>
      </c>
      <c r="G731" t="str">
        <f t="shared" si="22"/>
        <v>2111FY20</v>
      </c>
      <c r="H731" t="str">
        <f t="shared" si="23"/>
        <v>FY2021 Mar</v>
      </c>
    </row>
    <row r="732" spans="1:8" x14ac:dyDescent="0.35">
      <c r="A732" t="s">
        <v>1352</v>
      </c>
      <c r="B732" t="s">
        <v>439</v>
      </c>
      <c r="C732">
        <v>2112</v>
      </c>
      <c r="D732">
        <v>507</v>
      </c>
      <c r="E732" t="s">
        <v>1348</v>
      </c>
      <c r="F732" t="s">
        <v>1356</v>
      </c>
      <c r="G732" t="str">
        <f t="shared" si="22"/>
        <v>2112FY20</v>
      </c>
      <c r="H732" t="str">
        <f t="shared" si="23"/>
        <v>FY2021 Mar</v>
      </c>
    </row>
    <row r="733" spans="1:8" x14ac:dyDescent="0.35">
      <c r="A733" t="s">
        <v>1352</v>
      </c>
      <c r="B733" t="s">
        <v>439</v>
      </c>
      <c r="C733">
        <v>2113</v>
      </c>
      <c r="D733">
        <v>376</v>
      </c>
      <c r="E733" t="s">
        <v>1348</v>
      </c>
      <c r="F733" t="s">
        <v>1356</v>
      </c>
      <c r="G733" t="str">
        <f t="shared" si="22"/>
        <v>2113FY20</v>
      </c>
      <c r="H733" t="str">
        <f t="shared" si="23"/>
        <v>FY2021 Mar</v>
      </c>
    </row>
    <row r="734" spans="1:8" x14ac:dyDescent="0.35">
      <c r="A734" t="s">
        <v>1352</v>
      </c>
      <c r="B734" t="s">
        <v>439</v>
      </c>
      <c r="C734">
        <v>2114</v>
      </c>
      <c r="D734">
        <v>327</v>
      </c>
      <c r="E734" t="s">
        <v>1348</v>
      </c>
      <c r="F734" t="s">
        <v>1357</v>
      </c>
      <c r="G734" t="str">
        <f t="shared" si="22"/>
        <v>2114FY20</v>
      </c>
      <c r="H734" t="str">
        <f t="shared" si="23"/>
        <v>FY2021 Apr</v>
      </c>
    </row>
    <row r="735" spans="1:8" x14ac:dyDescent="0.35">
      <c r="A735" t="s">
        <v>1352</v>
      </c>
      <c r="B735" t="s">
        <v>439</v>
      </c>
      <c r="C735">
        <v>2115</v>
      </c>
      <c r="D735">
        <v>519</v>
      </c>
      <c r="E735" t="s">
        <v>1348</v>
      </c>
      <c r="F735" t="s">
        <v>1357</v>
      </c>
      <c r="G735" t="str">
        <f t="shared" si="22"/>
        <v>2115FY20</v>
      </c>
      <c r="H735" t="str">
        <f t="shared" si="23"/>
        <v>FY2021 Apr</v>
      </c>
    </row>
    <row r="736" spans="1:8" x14ac:dyDescent="0.35">
      <c r="A736" t="s">
        <v>1352</v>
      </c>
      <c r="B736" t="s">
        <v>439</v>
      </c>
      <c r="C736">
        <v>2117</v>
      </c>
      <c r="D736">
        <v>201</v>
      </c>
      <c r="E736" t="s">
        <v>1348</v>
      </c>
      <c r="F736" t="s">
        <v>1357</v>
      </c>
      <c r="G736" t="str">
        <f t="shared" si="22"/>
        <v>2117FY20</v>
      </c>
      <c r="H736" t="str">
        <f t="shared" si="23"/>
        <v>FY2021 Apr</v>
      </c>
    </row>
    <row r="737" spans="1:8" x14ac:dyDescent="0.35">
      <c r="A737" t="s">
        <v>1352</v>
      </c>
      <c r="B737" t="s">
        <v>439</v>
      </c>
      <c r="C737">
        <v>2121</v>
      </c>
      <c r="D737">
        <v>57</v>
      </c>
      <c r="E737" t="s">
        <v>1348</v>
      </c>
      <c r="F737" t="s">
        <v>1358</v>
      </c>
      <c r="G737" t="str">
        <f t="shared" si="22"/>
        <v>2121FY20</v>
      </c>
      <c r="H737" t="str">
        <f t="shared" si="23"/>
        <v>FY2021 May</v>
      </c>
    </row>
    <row r="738" spans="1:8" x14ac:dyDescent="0.35">
      <c r="A738" t="s">
        <v>1352</v>
      </c>
      <c r="B738" t="s">
        <v>439</v>
      </c>
      <c r="C738">
        <v>2122</v>
      </c>
      <c r="D738">
        <v>294</v>
      </c>
      <c r="E738" t="s">
        <v>1348</v>
      </c>
      <c r="F738" t="s">
        <v>1358</v>
      </c>
      <c r="G738" t="str">
        <f t="shared" si="22"/>
        <v>2122FY20</v>
      </c>
      <c r="H738" t="str">
        <f t="shared" si="23"/>
        <v>FY2021 May</v>
      </c>
    </row>
    <row r="739" spans="1:8" x14ac:dyDescent="0.35">
      <c r="A739" t="s">
        <v>1352</v>
      </c>
      <c r="B739" t="s">
        <v>439</v>
      </c>
      <c r="C739">
        <v>2126</v>
      </c>
      <c r="D739">
        <v>69</v>
      </c>
      <c r="E739" t="s">
        <v>1348</v>
      </c>
      <c r="F739" t="s">
        <v>1359</v>
      </c>
      <c r="G739" t="str">
        <f t="shared" si="22"/>
        <v>2126FY20</v>
      </c>
      <c r="H739" t="str">
        <f t="shared" si="23"/>
        <v>FY2021 Jun</v>
      </c>
    </row>
    <row r="740" spans="1:8" x14ac:dyDescent="0.35">
      <c r="A740" t="s">
        <v>1352</v>
      </c>
      <c r="B740" t="s">
        <v>439</v>
      </c>
      <c r="C740">
        <v>2130</v>
      </c>
      <c r="D740">
        <v>100</v>
      </c>
      <c r="E740" t="s">
        <v>1348</v>
      </c>
      <c r="F740" t="s">
        <v>1360</v>
      </c>
      <c r="G740" t="str">
        <f t="shared" si="22"/>
        <v>2130FY20</v>
      </c>
      <c r="H740" t="str">
        <f t="shared" si="23"/>
        <v>FY2021 Jul</v>
      </c>
    </row>
    <row r="741" spans="1:8" x14ac:dyDescent="0.35">
      <c r="A741" t="s">
        <v>1352</v>
      </c>
      <c r="B741" t="s">
        <v>439</v>
      </c>
      <c r="C741">
        <v>2132</v>
      </c>
      <c r="D741">
        <v>220</v>
      </c>
      <c r="E741" t="s">
        <v>1348</v>
      </c>
      <c r="F741" t="s">
        <v>1361</v>
      </c>
      <c r="G741" t="str">
        <f t="shared" si="22"/>
        <v>2132FY20</v>
      </c>
      <c r="H741" t="str">
        <f t="shared" si="23"/>
        <v>FY2021 Aug</v>
      </c>
    </row>
    <row r="742" spans="1:8" x14ac:dyDescent="0.35">
      <c r="A742" t="s">
        <v>1352</v>
      </c>
      <c r="B742" t="s">
        <v>439</v>
      </c>
      <c r="C742">
        <v>2133</v>
      </c>
      <c r="D742">
        <v>1</v>
      </c>
      <c r="E742" t="s">
        <v>1348</v>
      </c>
      <c r="F742" t="s">
        <v>1361</v>
      </c>
      <c r="G742" t="str">
        <f t="shared" si="22"/>
        <v>2133FY20</v>
      </c>
      <c r="H742" t="str">
        <f t="shared" si="23"/>
        <v>FY2021 Aug</v>
      </c>
    </row>
    <row r="743" spans="1:8" x14ac:dyDescent="0.35">
      <c r="A743" t="s">
        <v>1352</v>
      </c>
      <c r="B743" t="s">
        <v>446</v>
      </c>
      <c r="C743">
        <v>2026</v>
      </c>
      <c r="D743">
        <v>50</v>
      </c>
      <c r="E743" t="s">
        <v>1348</v>
      </c>
      <c r="F743" t="s">
        <v>1366</v>
      </c>
      <c r="G743" t="str">
        <f t="shared" si="22"/>
        <v>2026FY20</v>
      </c>
      <c r="H743" t="str">
        <f t="shared" si="23"/>
        <v>FY2020 Jun</v>
      </c>
    </row>
    <row r="744" spans="1:8" x14ac:dyDescent="0.35">
      <c r="A744" t="s">
        <v>1352</v>
      </c>
      <c r="B744" t="s">
        <v>446</v>
      </c>
      <c r="C744">
        <v>2028</v>
      </c>
      <c r="D744">
        <v>35</v>
      </c>
      <c r="E744" t="s">
        <v>1348</v>
      </c>
      <c r="F744" t="s">
        <v>1367</v>
      </c>
      <c r="G744" t="str">
        <f t="shared" si="22"/>
        <v>2028FY20</v>
      </c>
      <c r="H744" t="str">
        <f t="shared" si="23"/>
        <v>FY2020 Jul</v>
      </c>
    </row>
    <row r="745" spans="1:8" x14ac:dyDescent="0.35">
      <c r="A745" t="s">
        <v>1352</v>
      </c>
      <c r="B745" t="s">
        <v>446</v>
      </c>
      <c r="C745">
        <v>2029</v>
      </c>
      <c r="D745">
        <v>206</v>
      </c>
      <c r="E745" t="s">
        <v>1348</v>
      </c>
      <c r="F745" t="s">
        <v>1367</v>
      </c>
      <c r="G745" t="str">
        <f t="shared" si="22"/>
        <v>2029FY20</v>
      </c>
      <c r="H745" t="str">
        <f t="shared" si="23"/>
        <v>FY2020 Jul</v>
      </c>
    </row>
    <row r="746" spans="1:8" x14ac:dyDescent="0.35">
      <c r="A746" t="s">
        <v>1352</v>
      </c>
      <c r="B746" t="s">
        <v>446</v>
      </c>
      <c r="C746">
        <v>2030</v>
      </c>
      <c r="D746">
        <v>436</v>
      </c>
      <c r="E746" t="s">
        <v>1348</v>
      </c>
      <c r="F746" t="s">
        <v>1367</v>
      </c>
      <c r="G746" t="str">
        <f t="shared" si="22"/>
        <v>2030FY20</v>
      </c>
      <c r="H746" t="str">
        <f t="shared" si="23"/>
        <v>FY2020 Jul</v>
      </c>
    </row>
    <row r="747" spans="1:8" x14ac:dyDescent="0.35">
      <c r="A747" t="s">
        <v>1352</v>
      </c>
      <c r="B747" t="s">
        <v>446</v>
      </c>
      <c r="C747">
        <v>2031</v>
      </c>
      <c r="D747">
        <v>111</v>
      </c>
      <c r="E747" t="s">
        <v>1348</v>
      </c>
      <c r="F747" t="s">
        <v>1368</v>
      </c>
      <c r="G747" t="str">
        <f t="shared" si="22"/>
        <v>2031FY20</v>
      </c>
      <c r="H747" t="str">
        <f t="shared" si="23"/>
        <v>FY2020 Aug</v>
      </c>
    </row>
    <row r="748" spans="1:8" x14ac:dyDescent="0.35">
      <c r="A748" t="s">
        <v>1352</v>
      </c>
      <c r="B748" t="s">
        <v>446</v>
      </c>
      <c r="C748">
        <v>2032</v>
      </c>
      <c r="D748">
        <v>314</v>
      </c>
      <c r="E748" t="s">
        <v>1348</v>
      </c>
      <c r="F748" t="s">
        <v>1368</v>
      </c>
      <c r="G748" t="str">
        <f t="shared" si="22"/>
        <v>2032FY20</v>
      </c>
      <c r="H748" t="str">
        <f t="shared" si="23"/>
        <v>FY2020 Aug</v>
      </c>
    </row>
    <row r="749" spans="1:8" x14ac:dyDescent="0.35">
      <c r="A749" t="s">
        <v>1352</v>
      </c>
      <c r="B749" t="s">
        <v>446</v>
      </c>
      <c r="C749">
        <v>2033</v>
      </c>
      <c r="D749">
        <v>1881</v>
      </c>
      <c r="E749" t="s">
        <v>1348</v>
      </c>
      <c r="F749" t="s">
        <v>1368</v>
      </c>
      <c r="G749" t="str">
        <f t="shared" si="22"/>
        <v>2033FY20</v>
      </c>
      <c r="H749" t="str">
        <f t="shared" si="23"/>
        <v>FY2020 Aug</v>
      </c>
    </row>
    <row r="750" spans="1:8" x14ac:dyDescent="0.35">
      <c r="A750" t="s">
        <v>1352</v>
      </c>
      <c r="B750" t="s">
        <v>446</v>
      </c>
      <c r="C750">
        <v>2034</v>
      </c>
      <c r="D750">
        <v>1025</v>
      </c>
      <c r="E750" t="s">
        <v>1348</v>
      </c>
      <c r="F750" t="s">
        <v>1368</v>
      </c>
      <c r="G750" t="str">
        <f t="shared" si="22"/>
        <v>2034FY20</v>
      </c>
      <c r="H750" t="str">
        <f t="shared" si="23"/>
        <v>FY2020 Aug</v>
      </c>
    </row>
    <row r="751" spans="1:8" x14ac:dyDescent="0.35">
      <c r="A751" t="s">
        <v>1352</v>
      </c>
      <c r="B751" t="s">
        <v>446</v>
      </c>
      <c r="C751">
        <v>2035</v>
      </c>
      <c r="D751">
        <v>953</v>
      </c>
      <c r="E751" t="s">
        <v>1348</v>
      </c>
      <c r="F751" t="s">
        <v>1368</v>
      </c>
      <c r="G751" t="str">
        <f t="shared" si="22"/>
        <v>2035FY20</v>
      </c>
      <c r="H751" t="str">
        <f t="shared" si="23"/>
        <v>FY2020 Aug</v>
      </c>
    </row>
    <row r="752" spans="1:8" x14ac:dyDescent="0.35">
      <c r="A752" t="s">
        <v>1352</v>
      </c>
      <c r="B752" t="s">
        <v>446</v>
      </c>
      <c r="C752">
        <v>2036</v>
      </c>
      <c r="D752">
        <v>19</v>
      </c>
      <c r="E752" t="s">
        <v>1348</v>
      </c>
      <c r="F752" t="s">
        <v>1369</v>
      </c>
      <c r="G752" t="str">
        <f t="shared" si="22"/>
        <v>2036FY20</v>
      </c>
      <c r="H752" t="str">
        <f t="shared" si="23"/>
        <v>FY2020 Sep</v>
      </c>
    </row>
    <row r="753" spans="1:8" x14ac:dyDescent="0.35">
      <c r="A753" t="s">
        <v>1352</v>
      </c>
      <c r="B753" t="s">
        <v>446</v>
      </c>
      <c r="C753">
        <v>2037</v>
      </c>
      <c r="D753">
        <v>127</v>
      </c>
      <c r="E753" t="s">
        <v>1348</v>
      </c>
      <c r="F753" t="s">
        <v>1369</v>
      </c>
      <c r="G753" t="str">
        <f t="shared" si="22"/>
        <v>2037FY20</v>
      </c>
      <c r="H753" t="str">
        <f t="shared" si="23"/>
        <v>FY2020 Sep</v>
      </c>
    </row>
    <row r="754" spans="1:8" x14ac:dyDescent="0.35">
      <c r="A754" t="s">
        <v>1352</v>
      </c>
      <c r="B754" t="s">
        <v>446</v>
      </c>
      <c r="C754">
        <v>2039</v>
      </c>
      <c r="D754">
        <v>371</v>
      </c>
      <c r="E754" t="s">
        <v>1348</v>
      </c>
      <c r="F754" t="s">
        <v>1369</v>
      </c>
      <c r="G754" t="str">
        <f t="shared" si="22"/>
        <v>2039FY20</v>
      </c>
      <c r="H754" t="str">
        <f t="shared" si="23"/>
        <v>FY2020 Sep</v>
      </c>
    </row>
    <row r="755" spans="1:8" x14ac:dyDescent="0.35">
      <c r="A755" t="s">
        <v>1352</v>
      </c>
      <c r="B755" t="s">
        <v>446</v>
      </c>
      <c r="C755">
        <v>2040</v>
      </c>
      <c r="D755">
        <v>328</v>
      </c>
      <c r="E755" t="s">
        <v>1348</v>
      </c>
      <c r="F755" t="s">
        <v>1370</v>
      </c>
      <c r="G755" t="str">
        <f t="shared" si="22"/>
        <v>2040FY20</v>
      </c>
      <c r="H755" t="str">
        <f t="shared" si="23"/>
        <v>FY2020 Oct</v>
      </c>
    </row>
    <row r="756" spans="1:8" x14ac:dyDescent="0.35">
      <c r="A756" t="s">
        <v>1352</v>
      </c>
      <c r="B756" t="s">
        <v>446</v>
      </c>
      <c r="C756">
        <v>2041</v>
      </c>
      <c r="D756">
        <v>312</v>
      </c>
      <c r="E756" t="s">
        <v>1348</v>
      </c>
      <c r="F756" t="s">
        <v>1370</v>
      </c>
      <c r="G756" t="str">
        <f t="shared" si="22"/>
        <v>2041FY20</v>
      </c>
      <c r="H756" t="str">
        <f t="shared" si="23"/>
        <v>FY2020 Oct</v>
      </c>
    </row>
    <row r="757" spans="1:8" x14ac:dyDescent="0.35">
      <c r="A757" t="s">
        <v>1352</v>
      </c>
      <c r="B757" t="s">
        <v>446</v>
      </c>
      <c r="C757">
        <v>2042</v>
      </c>
      <c r="D757">
        <v>366</v>
      </c>
      <c r="E757" t="s">
        <v>1348</v>
      </c>
      <c r="F757" t="s">
        <v>1370</v>
      </c>
      <c r="G757" t="str">
        <f t="shared" si="22"/>
        <v>2042FY20</v>
      </c>
      <c r="H757" t="str">
        <f t="shared" si="23"/>
        <v>FY2020 Oct</v>
      </c>
    </row>
    <row r="758" spans="1:8" x14ac:dyDescent="0.35">
      <c r="A758" t="s">
        <v>1352</v>
      </c>
      <c r="B758" t="s">
        <v>446</v>
      </c>
      <c r="C758">
        <v>2043</v>
      </c>
      <c r="D758">
        <v>506</v>
      </c>
      <c r="E758" t="s">
        <v>1348</v>
      </c>
      <c r="F758" t="s">
        <v>1370</v>
      </c>
      <c r="G758" t="str">
        <f t="shared" si="22"/>
        <v>2043FY20</v>
      </c>
      <c r="H758" t="str">
        <f t="shared" si="23"/>
        <v>FY2020 Oct</v>
      </c>
    </row>
    <row r="759" spans="1:8" x14ac:dyDescent="0.35">
      <c r="A759" t="s">
        <v>1352</v>
      </c>
      <c r="B759" t="s">
        <v>446</v>
      </c>
      <c r="C759">
        <v>2049</v>
      </c>
      <c r="D759">
        <v>485</v>
      </c>
      <c r="E759" t="s">
        <v>1348</v>
      </c>
      <c r="F759" t="s">
        <v>1372</v>
      </c>
      <c r="G759" t="str">
        <f t="shared" si="22"/>
        <v>2049FY20</v>
      </c>
      <c r="H759" t="str">
        <f t="shared" si="23"/>
        <v>FY2020 Dec</v>
      </c>
    </row>
    <row r="760" spans="1:8" x14ac:dyDescent="0.35">
      <c r="A760" t="s">
        <v>1352</v>
      </c>
      <c r="B760" t="s">
        <v>446</v>
      </c>
      <c r="C760">
        <v>2050</v>
      </c>
      <c r="D760">
        <v>442</v>
      </c>
      <c r="E760" t="s">
        <v>1348</v>
      </c>
      <c r="F760" t="s">
        <v>1372</v>
      </c>
      <c r="G760" t="str">
        <f t="shared" si="22"/>
        <v>2050FY20</v>
      </c>
      <c r="H760" t="str">
        <f t="shared" si="23"/>
        <v>FY2020 Dec</v>
      </c>
    </row>
    <row r="761" spans="1:8" x14ac:dyDescent="0.35">
      <c r="A761" t="s">
        <v>1352</v>
      </c>
      <c r="B761" t="s">
        <v>446</v>
      </c>
      <c r="C761">
        <v>2051</v>
      </c>
      <c r="D761">
        <v>815</v>
      </c>
      <c r="E761" t="s">
        <v>1348</v>
      </c>
      <c r="F761" t="s">
        <v>1372</v>
      </c>
      <c r="G761" t="str">
        <f t="shared" si="22"/>
        <v>2051FY20</v>
      </c>
      <c r="H761" t="str">
        <f t="shared" si="23"/>
        <v>FY2020 Dec</v>
      </c>
    </row>
    <row r="762" spans="1:8" x14ac:dyDescent="0.35">
      <c r="A762" t="s">
        <v>1352</v>
      </c>
      <c r="B762" t="s">
        <v>446</v>
      </c>
      <c r="C762">
        <v>2052</v>
      </c>
      <c r="D762">
        <v>620</v>
      </c>
      <c r="E762" t="s">
        <v>1348</v>
      </c>
      <c r="F762" t="s">
        <v>1372</v>
      </c>
      <c r="G762" t="str">
        <f t="shared" si="22"/>
        <v>2052FY20</v>
      </c>
      <c r="H762" t="str">
        <f t="shared" si="23"/>
        <v>FY2020 Dec</v>
      </c>
    </row>
    <row r="763" spans="1:8" x14ac:dyDescent="0.35">
      <c r="A763" t="s">
        <v>1352</v>
      </c>
      <c r="B763" t="s">
        <v>446</v>
      </c>
      <c r="C763">
        <v>2053</v>
      </c>
      <c r="D763">
        <v>399</v>
      </c>
      <c r="E763" t="s">
        <v>1348</v>
      </c>
      <c r="F763" t="s">
        <v>1363</v>
      </c>
      <c r="G763" t="str">
        <f t="shared" si="22"/>
        <v>2053FY20</v>
      </c>
      <c r="H763" t="str">
        <f t="shared" si="23"/>
        <v>FY2021 Jan</v>
      </c>
    </row>
    <row r="764" spans="1:8" x14ac:dyDescent="0.35">
      <c r="A764" t="s">
        <v>1352</v>
      </c>
      <c r="B764" t="s">
        <v>446</v>
      </c>
      <c r="C764">
        <v>2101</v>
      </c>
      <c r="D764">
        <v>224</v>
      </c>
      <c r="E764" t="s">
        <v>1348</v>
      </c>
      <c r="F764" t="s">
        <v>1363</v>
      </c>
      <c r="G764" t="str">
        <f t="shared" si="22"/>
        <v>2101FY20</v>
      </c>
      <c r="H764" t="str">
        <f t="shared" si="23"/>
        <v>FY2021 Jan</v>
      </c>
    </row>
    <row r="765" spans="1:8" x14ac:dyDescent="0.35">
      <c r="A765" t="s">
        <v>1352</v>
      </c>
      <c r="B765" t="s">
        <v>446</v>
      </c>
      <c r="C765">
        <v>2102</v>
      </c>
      <c r="D765">
        <v>1056</v>
      </c>
      <c r="E765" t="s">
        <v>1348</v>
      </c>
      <c r="F765" t="s">
        <v>1363</v>
      </c>
      <c r="G765" t="str">
        <f t="shared" si="22"/>
        <v>2102FY20</v>
      </c>
      <c r="H765" t="str">
        <f t="shared" si="23"/>
        <v>FY2021 Jan</v>
      </c>
    </row>
    <row r="766" spans="1:8" x14ac:dyDescent="0.35">
      <c r="A766" t="s">
        <v>1352</v>
      </c>
      <c r="B766" t="s">
        <v>446</v>
      </c>
      <c r="C766">
        <v>2104</v>
      </c>
      <c r="D766">
        <v>513</v>
      </c>
      <c r="E766" t="s">
        <v>1348</v>
      </c>
      <c r="F766" t="s">
        <v>1363</v>
      </c>
      <c r="G766" t="str">
        <f t="shared" si="22"/>
        <v>2104FY20</v>
      </c>
      <c r="H766" t="str">
        <f t="shared" si="23"/>
        <v>FY2021 Jan</v>
      </c>
    </row>
    <row r="767" spans="1:8" x14ac:dyDescent="0.35">
      <c r="A767" t="s">
        <v>1352</v>
      </c>
      <c r="B767" t="s">
        <v>446</v>
      </c>
      <c r="C767">
        <v>2106</v>
      </c>
      <c r="D767">
        <v>876</v>
      </c>
      <c r="E767" t="s">
        <v>1348</v>
      </c>
      <c r="F767" t="s">
        <v>1362</v>
      </c>
      <c r="G767" t="str">
        <f t="shared" si="22"/>
        <v>2106FY20</v>
      </c>
      <c r="H767" t="str">
        <f t="shared" si="23"/>
        <v>FY2021 Feb</v>
      </c>
    </row>
    <row r="768" spans="1:8" x14ac:dyDescent="0.35">
      <c r="A768" t="s">
        <v>1352</v>
      </c>
      <c r="B768" t="s">
        <v>446</v>
      </c>
      <c r="C768">
        <v>2107</v>
      </c>
      <c r="D768">
        <v>929</v>
      </c>
      <c r="E768" t="s">
        <v>1348</v>
      </c>
      <c r="F768" t="s">
        <v>1362</v>
      </c>
      <c r="G768" t="str">
        <f t="shared" si="22"/>
        <v>2107FY20</v>
      </c>
      <c r="H768" t="str">
        <f t="shared" si="23"/>
        <v>FY2021 Feb</v>
      </c>
    </row>
    <row r="769" spans="1:8" x14ac:dyDescent="0.35">
      <c r="A769" t="s">
        <v>1352</v>
      </c>
      <c r="B769" t="s">
        <v>446</v>
      </c>
      <c r="C769">
        <v>2108</v>
      </c>
      <c r="D769">
        <v>418</v>
      </c>
      <c r="E769" t="s">
        <v>1348</v>
      </c>
      <c r="F769" t="s">
        <v>1362</v>
      </c>
      <c r="G769" t="str">
        <f t="shared" si="22"/>
        <v>2108FY20</v>
      </c>
      <c r="H769" t="str">
        <f t="shared" si="23"/>
        <v>FY2021 Feb</v>
      </c>
    </row>
    <row r="770" spans="1:8" x14ac:dyDescent="0.35">
      <c r="A770" t="s">
        <v>1352</v>
      </c>
      <c r="B770" t="s">
        <v>446</v>
      </c>
      <c r="C770">
        <v>2109</v>
      </c>
      <c r="D770">
        <v>97</v>
      </c>
      <c r="E770" t="s">
        <v>1348</v>
      </c>
      <c r="F770" t="s">
        <v>1356</v>
      </c>
      <c r="G770" t="str">
        <f t="shared" si="22"/>
        <v>2109FY20</v>
      </c>
      <c r="H770" t="str">
        <f t="shared" si="23"/>
        <v>FY2021 Mar</v>
      </c>
    </row>
    <row r="771" spans="1:8" x14ac:dyDescent="0.35">
      <c r="A771" t="s">
        <v>1352</v>
      </c>
      <c r="B771" t="s">
        <v>446</v>
      </c>
      <c r="C771">
        <v>2110</v>
      </c>
      <c r="D771">
        <v>576</v>
      </c>
      <c r="E771" t="s">
        <v>1348</v>
      </c>
      <c r="F771" t="s">
        <v>1356</v>
      </c>
      <c r="G771" t="str">
        <f t="shared" ref="G771:G834" si="24">C771&amp;E771</f>
        <v>2110FY20</v>
      </c>
      <c r="H771" t="str">
        <f t="shared" ref="H771:H834" si="25">E771&amp;F771</f>
        <v>FY2021 Mar</v>
      </c>
    </row>
    <row r="772" spans="1:8" x14ac:dyDescent="0.35">
      <c r="A772" t="s">
        <v>1352</v>
      </c>
      <c r="B772" t="s">
        <v>446</v>
      </c>
      <c r="C772">
        <v>2111</v>
      </c>
      <c r="D772">
        <v>724</v>
      </c>
      <c r="E772" t="s">
        <v>1348</v>
      </c>
      <c r="F772" t="s">
        <v>1356</v>
      </c>
      <c r="G772" t="str">
        <f t="shared" si="24"/>
        <v>2111FY20</v>
      </c>
      <c r="H772" t="str">
        <f t="shared" si="25"/>
        <v>FY2021 Mar</v>
      </c>
    </row>
    <row r="773" spans="1:8" x14ac:dyDescent="0.35">
      <c r="A773" t="s">
        <v>1352</v>
      </c>
      <c r="B773" t="s">
        <v>446</v>
      </c>
      <c r="C773">
        <v>2112</v>
      </c>
      <c r="D773">
        <v>160</v>
      </c>
      <c r="E773" t="s">
        <v>1348</v>
      </c>
      <c r="F773" t="s">
        <v>1356</v>
      </c>
      <c r="G773" t="str">
        <f t="shared" si="24"/>
        <v>2112FY20</v>
      </c>
      <c r="H773" t="str">
        <f t="shared" si="25"/>
        <v>FY2021 Mar</v>
      </c>
    </row>
    <row r="774" spans="1:8" x14ac:dyDescent="0.35">
      <c r="A774" t="s">
        <v>1352</v>
      </c>
      <c r="B774" t="s">
        <v>446</v>
      </c>
      <c r="C774">
        <v>2113</v>
      </c>
      <c r="D774">
        <v>118</v>
      </c>
      <c r="E774" t="s">
        <v>1348</v>
      </c>
      <c r="F774" t="s">
        <v>1356</v>
      </c>
      <c r="G774" t="str">
        <f t="shared" si="24"/>
        <v>2113FY20</v>
      </c>
      <c r="H774" t="str">
        <f t="shared" si="25"/>
        <v>FY2021 Mar</v>
      </c>
    </row>
    <row r="775" spans="1:8" x14ac:dyDescent="0.35">
      <c r="A775" t="s">
        <v>1352</v>
      </c>
      <c r="B775" t="s">
        <v>446</v>
      </c>
      <c r="C775">
        <v>2114</v>
      </c>
      <c r="D775">
        <v>102</v>
      </c>
      <c r="E775" t="s">
        <v>1348</v>
      </c>
      <c r="F775" t="s">
        <v>1357</v>
      </c>
      <c r="G775" t="str">
        <f t="shared" si="24"/>
        <v>2114FY20</v>
      </c>
      <c r="H775" t="str">
        <f t="shared" si="25"/>
        <v>FY2021 Apr</v>
      </c>
    </row>
    <row r="776" spans="1:8" x14ac:dyDescent="0.35">
      <c r="A776" t="s">
        <v>1352</v>
      </c>
      <c r="B776" t="s">
        <v>446</v>
      </c>
      <c r="C776">
        <v>2115</v>
      </c>
      <c r="D776">
        <v>696</v>
      </c>
      <c r="E776" t="s">
        <v>1348</v>
      </c>
      <c r="F776" t="s">
        <v>1357</v>
      </c>
      <c r="G776" t="str">
        <f t="shared" si="24"/>
        <v>2115FY20</v>
      </c>
      <c r="H776" t="str">
        <f t="shared" si="25"/>
        <v>FY2021 Apr</v>
      </c>
    </row>
    <row r="777" spans="1:8" x14ac:dyDescent="0.35">
      <c r="A777" t="s">
        <v>1352</v>
      </c>
      <c r="B777" t="s">
        <v>446</v>
      </c>
      <c r="C777">
        <v>2116</v>
      </c>
      <c r="D777">
        <v>314</v>
      </c>
      <c r="E777" t="s">
        <v>1348</v>
      </c>
      <c r="F777" t="s">
        <v>1357</v>
      </c>
      <c r="G777" t="str">
        <f t="shared" si="24"/>
        <v>2116FY20</v>
      </c>
      <c r="H777" t="str">
        <f t="shared" si="25"/>
        <v>FY2021 Apr</v>
      </c>
    </row>
    <row r="778" spans="1:8" x14ac:dyDescent="0.35">
      <c r="A778" t="s">
        <v>1352</v>
      </c>
      <c r="B778" t="s">
        <v>446</v>
      </c>
      <c r="C778">
        <v>2118</v>
      </c>
      <c r="D778">
        <v>267</v>
      </c>
      <c r="E778" t="s">
        <v>1348</v>
      </c>
      <c r="F778" t="s">
        <v>1358</v>
      </c>
      <c r="G778" t="str">
        <f t="shared" si="24"/>
        <v>2118FY20</v>
      </c>
      <c r="H778" t="str">
        <f t="shared" si="25"/>
        <v>FY2021 May</v>
      </c>
    </row>
    <row r="779" spans="1:8" x14ac:dyDescent="0.35">
      <c r="A779" t="s">
        <v>1352</v>
      </c>
      <c r="B779" t="s">
        <v>446</v>
      </c>
      <c r="C779">
        <v>2121</v>
      </c>
      <c r="D779">
        <v>167</v>
      </c>
      <c r="E779" t="s">
        <v>1348</v>
      </c>
      <c r="F779" t="s">
        <v>1358</v>
      </c>
      <c r="G779" t="str">
        <f t="shared" si="24"/>
        <v>2121FY20</v>
      </c>
      <c r="H779" t="str">
        <f t="shared" si="25"/>
        <v>FY2021 May</v>
      </c>
    </row>
    <row r="780" spans="1:8" x14ac:dyDescent="0.35">
      <c r="A780" t="s">
        <v>1352</v>
      </c>
      <c r="B780" t="s">
        <v>446</v>
      </c>
      <c r="C780">
        <v>2122</v>
      </c>
      <c r="D780">
        <v>295</v>
      </c>
      <c r="E780" t="s">
        <v>1348</v>
      </c>
      <c r="F780" t="s">
        <v>1358</v>
      </c>
      <c r="G780" t="str">
        <f t="shared" si="24"/>
        <v>2122FY20</v>
      </c>
      <c r="H780" t="str">
        <f t="shared" si="25"/>
        <v>FY2021 May</v>
      </c>
    </row>
    <row r="781" spans="1:8" x14ac:dyDescent="0.35">
      <c r="A781" t="s">
        <v>1352</v>
      </c>
      <c r="B781" t="s">
        <v>446</v>
      </c>
      <c r="C781">
        <v>2123</v>
      </c>
      <c r="D781">
        <v>209</v>
      </c>
      <c r="E781" t="s">
        <v>1348</v>
      </c>
      <c r="F781" t="s">
        <v>1359</v>
      </c>
      <c r="G781" t="str">
        <f t="shared" si="24"/>
        <v>2123FY20</v>
      </c>
      <c r="H781" t="str">
        <f t="shared" si="25"/>
        <v>FY2021 Jun</v>
      </c>
    </row>
    <row r="782" spans="1:8" x14ac:dyDescent="0.35">
      <c r="A782" t="s">
        <v>1352</v>
      </c>
      <c r="B782" t="s">
        <v>446</v>
      </c>
      <c r="C782">
        <v>2125</v>
      </c>
      <c r="D782">
        <v>182</v>
      </c>
      <c r="E782" t="s">
        <v>1348</v>
      </c>
      <c r="F782" t="s">
        <v>1359</v>
      </c>
      <c r="G782" t="str">
        <f t="shared" si="24"/>
        <v>2125FY20</v>
      </c>
      <c r="H782" t="str">
        <f t="shared" si="25"/>
        <v>FY2021 Jun</v>
      </c>
    </row>
    <row r="783" spans="1:8" x14ac:dyDescent="0.35">
      <c r="A783" t="s">
        <v>1352</v>
      </c>
      <c r="B783" t="s">
        <v>446</v>
      </c>
      <c r="C783">
        <v>2128</v>
      </c>
      <c r="D783">
        <v>52</v>
      </c>
      <c r="E783" t="s">
        <v>1348</v>
      </c>
      <c r="F783" t="s">
        <v>1360</v>
      </c>
      <c r="G783" t="str">
        <f t="shared" si="24"/>
        <v>2128FY20</v>
      </c>
      <c r="H783" t="str">
        <f t="shared" si="25"/>
        <v>FY2021 Jul</v>
      </c>
    </row>
    <row r="784" spans="1:8" x14ac:dyDescent="0.35">
      <c r="A784" t="s">
        <v>1352</v>
      </c>
      <c r="B784" t="s">
        <v>446</v>
      </c>
      <c r="C784">
        <v>2129</v>
      </c>
      <c r="D784">
        <v>387</v>
      </c>
      <c r="E784" t="s">
        <v>1348</v>
      </c>
      <c r="F784" t="s">
        <v>1360</v>
      </c>
      <c r="G784" t="str">
        <f t="shared" si="24"/>
        <v>2129FY20</v>
      </c>
      <c r="H784" t="str">
        <f t="shared" si="25"/>
        <v>FY2021 Jul</v>
      </c>
    </row>
    <row r="785" spans="1:8" x14ac:dyDescent="0.35">
      <c r="A785" t="s">
        <v>1352</v>
      </c>
      <c r="B785" t="s">
        <v>446</v>
      </c>
      <c r="C785">
        <v>2130</v>
      </c>
      <c r="D785">
        <v>188</v>
      </c>
      <c r="E785" t="s">
        <v>1348</v>
      </c>
      <c r="F785" t="s">
        <v>1360</v>
      </c>
      <c r="G785" t="str">
        <f t="shared" si="24"/>
        <v>2130FY20</v>
      </c>
      <c r="H785" t="str">
        <f t="shared" si="25"/>
        <v>FY2021 Jul</v>
      </c>
    </row>
    <row r="786" spans="1:8" x14ac:dyDescent="0.35">
      <c r="A786" t="s">
        <v>1352</v>
      </c>
      <c r="B786" t="s">
        <v>446</v>
      </c>
      <c r="C786">
        <v>2132</v>
      </c>
      <c r="D786">
        <v>206</v>
      </c>
      <c r="E786" t="s">
        <v>1348</v>
      </c>
      <c r="F786" t="s">
        <v>1361</v>
      </c>
      <c r="G786" t="str">
        <f t="shared" si="24"/>
        <v>2132FY20</v>
      </c>
      <c r="H786" t="str">
        <f t="shared" si="25"/>
        <v>FY2021 Aug</v>
      </c>
    </row>
    <row r="787" spans="1:8" x14ac:dyDescent="0.35">
      <c r="A787" t="s">
        <v>1352</v>
      </c>
      <c r="B787" t="s">
        <v>446</v>
      </c>
      <c r="C787">
        <v>2133</v>
      </c>
      <c r="D787">
        <v>64</v>
      </c>
      <c r="E787" t="s">
        <v>1348</v>
      </c>
      <c r="F787" t="s">
        <v>1361</v>
      </c>
      <c r="G787" t="str">
        <f t="shared" si="24"/>
        <v>2133FY20</v>
      </c>
      <c r="H787" t="str">
        <f t="shared" si="25"/>
        <v>FY2021 Aug</v>
      </c>
    </row>
    <row r="788" spans="1:8" x14ac:dyDescent="0.35">
      <c r="A788" t="s">
        <v>1352</v>
      </c>
      <c r="B788" t="s">
        <v>445</v>
      </c>
      <c r="C788">
        <v>2030</v>
      </c>
      <c r="D788">
        <v>10</v>
      </c>
      <c r="E788" t="s">
        <v>1348</v>
      </c>
      <c r="F788" t="s">
        <v>1367</v>
      </c>
      <c r="G788" t="str">
        <f t="shared" si="24"/>
        <v>2030FY20</v>
      </c>
      <c r="H788" t="str">
        <f t="shared" si="25"/>
        <v>FY2020 Jul</v>
      </c>
    </row>
    <row r="789" spans="1:8" x14ac:dyDescent="0.35">
      <c r="A789" t="s">
        <v>1352</v>
      </c>
      <c r="B789" t="s">
        <v>445</v>
      </c>
      <c r="C789">
        <v>2031</v>
      </c>
      <c r="D789">
        <v>215</v>
      </c>
      <c r="E789" t="s">
        <v>1348</v>
      </c>
      <c r="F789" t="s">
        <v>1368</v>
      </c>
      <c r="G789" t="str">
        <f t="shared" si="24"/>
        <v>2031FY20</v>
      </c>
      <c r="H789" t="str">
        <f t="shared" si="25"/>
        <v>FY2020 Aug</v>
      </c>
    </row>
    <row r="790" spans="1:8" x14ac:dyDescent="0.35">
      <c r="A790" t="s">
        <v>1352</v>
      </c>
      <c r="B790" t="s">
        <v>445</v>
      </c>
      <c r="C790">
        <v>2032</v>
      </c>
      <c r="D790">
        <v>14</v>
      </c>
      <c r="E790" t="s">
        <v>1348</v>
      </c>
      <c r="F790" t="s">
        <v>1368</v>
      </c>
      <c r="G790" t="str">
        <f t="shared" si="24"/>
        <v>2032FY20</v>
      </c>
      <c r="H790" t="str">
        <f t="shared" si="25"/>
        <v>FY2020 Aug</v>
      </c>
    </row>
    <row r="791" spans="1:8" x14ac:dyDescent="0.35">
      <c r="A791" t="s">
        <v>1352</v>
      </c>
      <c r="B791" t="s">
        <v>445</v>
      </c>
      <c r="C791">
        <v>2036</v>
      </c>
      <c r="D791">
        <v>6</v>
      </c>
      <c r="E791" t="s">
        <v>1348</v>
      </c>
      <c r="F791" t="s">
        <v>1369</v>
      </c>
      <c r="G791" t="str">
        <f t="shared" si="24"/>
        <v>2036FY20</v>
      </c>
      <c r="H791" t="str">
        <f t="shared" si="25"/>
        <v>FY2020 Sep</v>
      </c>
    </row>
    <row r="792" spans="1:8" x14ac:dyDescent="0.35">
      <c r="A792" t="s">
        <v>1352</v>
      </c>
      <c r="B792" t="s">
        <v>445</v>
      </c>
      <c r="C792">
        <v>2037</v>
      </c>
      <c r="D792">
        <v>13</v>
      </c>
      <c r="E792" t="s">
        <v>1348</v>
      </c>
      <c r="F792" t="s">
        <v>1369</v>
      </c>
      <c r="G792" t="str">
        <f t="shared" si="24"/>
        <v>2037FY20</v>
      </c>
      <c r="H792" t="str">
        <f t="shared" si="25"/>
        <v>FY2020 Sep</v>
      </c>
    </row>
    <row r="793" spans="1:8" x14ac:dyDescent="0.35">
      <c r="A793" t="s">
        <v>1352</v>
      </c>
      <c r="B793" t="s">
        <v>445</v>
      </c>
      <c r="C793">
        <v>2041</v>
      </c>
      <c r="D793">
        <v>32</v>
      </c>
      <c r="E793" t="s">
        <v>1348</v>
      </c>
      <c r="F793" t="s">
        <v>1370</v>
      </c>
      <c r="G793" t="str">
        <f t="shared" si="24"/>
        <v>2041FY20</v>
      </c>
      <c r="H793" t="str">
        <f t="shared" si="25"/>
        <v>FY2020 Oct</v>
      </c>
    </row>
    <row r="794" spans="1:8" x14ac:dyDescent="0.35">
      <c r="A794" t="s">
        <v>1352</v>
      </c>
      <c r="B794" t="s">
        <v>445</v>
      </c>
      <c r="C794">
        <v>2049</v>
      </c>
      <c r="D794">
        <v>24</v>
      </c>
      <c r="E794" t="s">
        <v>1348</v>
      </c>
      <c r="F794" t="s">
        <v>1372</v>
      </c>
      <c r="G794" t="str">
        <f t="shared" si="24"/>
        <v>2049FY20</v>
      </c>
      <c r="H794" t="str">
        <f t="shared" si="25"/>
        <v>FY2020 Dec</v>
      </c>
    </row>
    <row r="795" spans="1:8" x14ac:dyDescent="0.35">
      <c r="A795" t="s">
        <v>1352</v>
      </c>
      <c r="B795" t="s">
        <v>445</v>
      </c>
      <c r="C795">
        <v>2050</v>
      </c>
      <c r="D795">
        <v>59</v>
      </c>
      <c r="E795" t="s">
        <v>1348</v>
      </c>
      <c r="F795" t="s">
        <v>1372</v>
      </c>
      <c r="G795" t="str">
        <f t="shared" si="24"/>
        <v>2050FY20</v>
      </c>
      <c r="H795" t="str">
        <f t="shared" si="25"/>
        <v>FY2020 Dec</v>
      </c>
    </row>
    <row r="796" spans="1:8" x14ac:dyDescent="0.35">
      <c r="A796" t="s">
        <v>1352</v>
      </c>
      <c r="B796" t="s">
        <v>445</v>
      </c>
      <c r="C796">
        <v>2102</v>
      </c>
      <c r="D796">
        <v>20</v>
      </c>
      <c r="E796" t="s">
        <v>1348</v>
      </c>
      <c r="F796" t="s">
        <v>1363</v>
      </c>
      <c r="G796" t="str">
        <f t="shared" si="24"/>
        <v>2102FY20</v>
      </c>
      <c r="H796" t="str">
        <f t="shared" si="25"/>
        <v>FY2021 Jan</v>
      </c>
    </row>
    <row r="797" spans="1:8" x14ac:dyDescent="0.35">
      <c r="A797" t="s">
        <v>1352</v>
      </c>
      <c r="B797" t="s">
        <v>445</v>
      </c>
      <c r="C797">
        <v>2105</v>
      </c>
      <c r="D797">
        <v>24</v>
      </c>
      <c r="E797" t="s">
        <v>1348</v>
      </c>
      <c r="F797" t="s">
        <v>1362</v>
      </c>
      <c r="G797" t="str">
        <f t="shared" si="24"/>
        <v>2105FY20</v>
      </c>
      <c r="H797" t="str">
        <f t="shared" si="25"/>
        <v>FY2021 Feb</v>
      </c>
    </row>
    <row r="798" spans="1:8" x14ac:dyDescent="0.35">
      <c r="A798" t="s">
        <v>1352</v>
      </c>
      <c r="B798" t="s">
        <v>445</v>
      </c>
      <c r="C798">
        <v>2122</v>
      </c>
      <c r="D798">
        <v>24</v>
      </c>
      <c r="E798" t="s">
        <v>1348</v>
      </c>
      <c r="F798" t="s">
        <v>1358</v>
      </c>
      <c r="G798" t="str">
        <f t="shared" si="24"/>
        <v>2122FY20</v>
      </c>
      <c r="H798" t="str">
        <f t="shared" si="25"/>
        <v>FY2021 May</v>
      </c>
    </row>
    <row r="799" spans="1:8" x14ac:dyDescent="0.35">
      <c r="A799" t="s">
        <v>1352</v>
      </c>
      <c r="B799" t="s">
        <v>445</v>
      </c>
      <c r="C799">
        <v>2129</v>
      </c>
      <c r="D799">
        <v>16</v>
      </c>
      <c r="E799" t="s">
        <v>1348</v>
      </c>
      <c r="F799" t="s">
        <v>1360</v>
      </c>
      <c r="G799" t="str">
        <f t="shared" si="24"/>
        <v>2129FY20</v>
      </c>
      <c r="H799" t="str">
        <f t="shared" si="25"/>
        <v>FY2021 Jul</v>
      </c>
    </row>
    <row r="800" spans="1:8" x14ac:dyDescent="0.35">
      <c r="A800" t="s">
        <v>1352</v>
      </c>
      <c r="B800" t="s">
        <v>445</v>
      </c>
      <c r="C800">
        <v>2131</v>
      </c>
      <c r="D800">
        <v>10</v>
      </c>
      <c r="E800" t="s">
        <v>1348</v>
      </c>
      <c r="F800" t="s">
        <v>1361</v>
      </c>
      <c r="G800" t="str">
        <f t="shared" si="24"/>
        <v>2131FY20</v>
      </c>
      <c r="H800" t="str">
        <f t="shared" si="25"/>
        <v>FY2021 Aug</v>
      </c>
    </row>
    <row r="801" spans="1:8" x14ac:dyDescent="0.35">
      <c r="A801" t="s">
        <v>1352</v>
      </c>
      <c r="B801" t="s">
        <v>445</v>
      </c>
      <c r="C801">
        <v>2133</v>
      </c>
      <c r="D801">
        <v>32</v>
      </c>
      <c r="E801" t="s">
        <v>1348</v>
      </c>
      <c r="F801" t="s">
        <v>1361</v>
      </c>
      <c r="G801" t="str">
        <f t="shared" si="24"/>
        <v>2133FY20</v>
      </c>
      <c r="H801" t="str">
        <f t="shared" si="25"/>
        <v>FY2021 Aug</v>
      </c>
    </row>
    <row r="802" spans="1:8" x14ac:dyDescent="0.35">
      <c r="A802" t="s">
        <v>1352</v>
      </c>
      <c r="B802" t="s">
        <v>451</v>
      </c>
      <c r="C802">
        <v>2129</v>
      </c>
      <c r="D802">
        <v>49</v>
      </c>
      <c r="E802" t="s">
        <v>1347</v>
      </c>
      <c r="F802" t="s">
        <v>1360</v>
      </c>
      <c r="G802" t="str">
        <f t="shared" si="24"/>
        <v>2129FY21</v>
      </c>
      <c r="H802" t="str">
        <f t="shared" si="25"/>
        <v>FY2121 Jul</v>
      </c>
    </row>
    <row r="803" spans="1:8" x14ac:dyDescent="0.35">
      <c r="A803" t="s">
        <v>1352</v>
      </c>
      <c r="B803" t="s">
        <v>451</v>
      </c>
      <c r="C803">
        <v>2131</v>
      </c>
      <c r="D803">
        <v>11</v>
      </c>
      <c r="E803" t="s">
        <v>1347</v>
      </c>
      <c r="F803" t="s">
        <v>1361</v>
      </c>
      <c r="G803" t="str">
        <f t="shared" si="24"/>
        <v>2131FY21</v>
      </c>
      <c r="H803" t="str">
        <f t="shared" si="25"/>
        <v>FY2121 Aug</v>
      </c>
    </row>
    <row r="804" spans="1:8" x14ac:dyDescent="0.35">
      <c r="A804" t="s">
        <v>1352</v>
      </c>
      <c r="B804" t="s">
        <v>451</v>
      </c>
      <c r="C804">
        <v>2132</v>
      </c>
      <c r="D804">
        <v>196</v>
      </c>
      <c r="E804" t="s">
        <v>1347</v>
      </c>
      <c r="F804" t="s">
        <v>1361</v>
      </c>
      <c r="G804" t="str">
        <f t="shared" si="24"/>
        <v>2132FY21</v>
      </c>
      <c r="H804" t="str">
        <f t="shared" si="25"/>
        <v>FY2121 Aug</v>
      </c>
    </row>
    <row r="805" spans="1:8" x14ac:dyDescent="0.35">
      <c r="A805" t="s">
        <v>1352</v>
      </c>
      <c r="B805" t="s">
        <v>451</v>
      </c>
      <c r="C805">
        <v>2133</v>
      </c>
      <c r="D805">
        <v>126</v>
      </c>
      <c r="E805" t="s">
        <v>1347</v>
      </c>
      <c r="F805" t="s">
        <v>1361</v>
      </c>
      <c r="G805" t="str">
        <f t="shared" si="24"/>
        <v>2133FY21</v>
      </c>
      <c r="H805" t="str">
        <f t="shared" si="25"/>
        <v>FY2121 Aug</v>
      </c>
    </row>
    <row r="806" spans="1:8" x14ac:dyDescent="0.35">
      <c r="A806" t="s">
        <v>1352</v>
      </c>
      <c r="B806" t="s">
        <v>449</v>
      </c>
      <c r="C806">
        <v>2121</v>
      </c>
      <c r="D806">
        <v>49</v>
      </c>
      <c r="E806" t="s">
        <v>1347</v>
      </c>
      <c r="F806" t="s">
        <v>1358</v>
      </c>
      <c r="G806" t="str">
        <f t="shared" si="24"/>
        <v>2121FY21</v>
      </c>
      <c r="H806" t="str">
        <f t="shared" si="25"/>
        <v>FY2121 May</v>
      </c>
    </row>
    <row r="807" spans="1:8" x14ac:dyDescent="0.35">
      <c r="A807" t="s">
        <v>1352</v>
      </c>
      <c r="B807" t="s">
        <v>449</v>
      </c>
      <c r="C807">
        <v>2122</v>
      </c>
      <c r="D807">
        <v>1</v>
      </c>
      <c r="E807" t="s">
        <v>1347</v>
      </c>
      <c r="F807" t="s">
        <v>1358</v>
      </c>
      <c r="G807" t="str">
        <f t="shared" si="24"/>
        <v>2122FY21</v>
      </c>
      <c r="H807" t="str">
        <f t="shared" si="25"/>
        <v>FY2121 May</v>
      </c>
    </row>
    <row r="808" spans="1:8" x14ac:dyDescent="0.35">
      <c r="A808" t="s">
        <v>1352</v>
      </c>
      <c r="B808" t="s">
        <v>449</v>
      </c>
      <c r="C808">
        <v>2123</v>
      </c>
      <c r="D808">
        <v>31</v>
      </c>
      <c r="E808" t="s">
        <v>1347</v>
      </c>
      <c r="F808" t="s">
        <v>1359</v>
      </c>
      <c r="G808" t="str">
        <f t="shared" si="24"/>
        <v>2123FY21</v>
      </c>
      <c r="H808" t="str">
        <f t="shared" si="25"/>
        <v>FY2121 Jun</v>
      </c>
    </row>
    <row r="809" spans="1:8" x14ac:dyDescent="0.35">
      <c r="A809" t="s">
        <v>1352</v>
      </c>
      <c r="B809" t="s">
        <v>449</v>
      </c>
      <c r="C809">
        <v>2125</v>
      </c>
      <c r="D809">
        <v>143</v>
      </c>
      <c r="E809" t="s">
        <v>1347</v>
      </c>
      <c r="F809" t="s">
        <v>1359</v>
      </c>
      <c r="G809" t="str">
        <f t="shared" si="24"/>
        <v>2125FY21</v>
      </c>
      <c r="H809" t="str">
        <f t="shared" si="25"/>
        <v>FY2121 Jun</v>
      </c>
    </row>
    <row r="810" spans="1:8" x14ac:dyDescent="0.35">
      <c r="A810" t="s">
        <v>1352</v>
      </c>
      <c r="B810" t="s">
        <v>449</v>
      </c>
      <c r="C810">
        <v>2128</v>
      </c>
      <c r="D810">
        <v>98</v>
      </c>
      <c r="E810" t="s">
        <v>1347</v>
      </c>
      <c r="F810" t="s">
        <v>1360</v>
      </c>
      <c r="G810" t="str">
        <f t="shared" si="24"/>
        <v>2128FY21</v>
      </c>
      <c r="H810" t="str">
        <f t="shared" si="25"/>
        <v>FY2121 Jul</v>
      </c>
    </row>
    <row r="811" spans="1:8" x14ac:dyDescent="0.35">
      <c r="A811" t="s">
        <v>1352</v>
      </c>
      <c r="B811" t="s">
        <v>449</v>
      </c>
      <c r="C811">
        <v>2129</v>
      </c>
      <c r="D811">
        <v>92</v>
      </c>
      <c r="E811" t="s">
        <v>1347</v>
      </c>
      <c r="F811" t="s">
        <v>1360</v>
      </c>
      <c r="G811" t="str">
        <f t="shared" si="24"/>
        <v>2129FY21</v>
      </c>
      <c r="H811" t="str">
        <f t="shared" si="25"/>
        <v>FY2121 Jul</v>
      </c>
    </row>
    <row r="812" spans="1:8" x14ac:dyDescent="0.35">
      <c r="A812" t="s">
        <v>1352</v>
      </c>
      <c r="B812" t="s">
        <v>449</v>
      </c>
      <c r="C812">
        <v>2130</v>
      </c>
      <c r="D812">
        <v>224</v>
      </c>
      <c r="E812" t="s">
        <v>1347</v>
      </c>
      <c r="F812" t="s">
        <v>1360</v>
      </c>
      <c r="G812" t="str">
        <f t="shared" si="24"/>
        <v>2130FY21</v>
      </c>
      <c r="H812" t="str">
        <f t="shared" si="25"/>
        <v>FY2121 Jul</v>
      </c>
    </row>
    <row r="813" spans="1:8" x14ac:dyDescent="0.35">
      <c r="A813" t="s">
        <v>1352</v>
      </c>
      <c r="B813" t="s">
        <v>449</v>
      </c>
      <c r="C813">
        <v>2131</v>
      </c>
      <c r="D813">
        <v>744</v>
      </c>
      <c r="E813" t="s">
        <v>1347</v>
      </c>
      <c r="F813" t="s">
        <v>1361</v>
      </c>
      <c r="G813" t="str">
        <f t="shared" si="24"/>
        <v>2131FY21</v>
      </c>
      <c r="H813" t="str">
        <f t="shared" si="25"/>
        <v>FY2121 Aug</v>
      </c>
    </row>
    <row r="814" spans="1:8" x14ac:dyDescent="0.35">
      <c r="A814" t="s">
        <v>1352</v>
      </c>
      <c r="B814" t="s">
        <v>450</v>
      </c>
      <c r="C814">
        <v>2114</v>
      </c>
      <c r="D814">
        <v>33</v>
      </c>
      <c r="E814" t="s">
        <v>1347</v>
      </c>
      <c r="F814" t="s">
        <v>1357</v>
      </c>
      <c r="G814" t="str">
        <f t="shared" si="24"/>
        <v>2114FY21</v>
      </c>
      <c r="H814" t="str">
        <f t="shared" si="25"/>
        <v>FY2121 Apr</v>
      </c>
    </row>
    <row r="815" spans="1:8" x14ac:dyDescent="0.35">
      <c r="A815" t="s">
        <v>1352</v>
      </c>
      <c r="B815" t="s">
        <v>450</v>
      </c>
      <c r="C815">
        <v>2115</v>
      </c>
      <c r="D815">
        <v>40</v>
      </c>
      <c r="E815" t="s">
        <v>1347</v>
      </c>
      <c r="F815" t="s">
        <v>1357</v>
      </c>
      <c r="G815" t="str">
        <f t="shared" si="24"/>
        <v>2115FY21</v>
      </c>
      <c r="H815" t="str">
        <f t="shared" si="25"/>
        <v>FY2121 Apr</v>
      </c>
    </row>
    <row r="816" spans="1:8" x14ac:dyDescent="0.35">
      <c r="A816" t="s">
        <v>1352</v>
      </c>
      <c r="B816" t="s">
        <v>450</v>
      </c>
      <c r="C816">
        <v>2116</v>
      </c>
      <c r="D816">
        <v>100</v>
      </c>
      <c r="E816" t="s">
        <v>1347</v>
      </c>
      <c r="F816" t="s">
        <v>1357</v>
      </c>
      <c r="G816" t="str">
        <f t="shared" si="24"/>
        <v>2116FY21</v>
      </c>
      <c r="H816" t="str">
        <f t="shared" si="25"/>
        <v>FY2121 Apr</v>
      </c>
    </row>
    <row r="817" spans="1:8" x14ac:dyDescent="0.35">
      <c r="A817" t="s">
        <v>1352</v>
      </c>
      <c r="B817" t="s">
        <v>450</v>
      </c>
      <c r="C817">
        <v>2117</v>
      </c>
      <c r="D817">
        <v>181</v>
      </c>
      <c r="E817" t="s">
        <v>1347</v>
      </c>
      <c r="F817" t="s">
        <v>1357</v>
      </c>
      <c r="G817" t="str">
        <f t="shared" si="24"/>
        <v>2117FY21</v>
      </c>
      <c r="H817" t="str">
        <f t="shared" si="25"/>
        <v>FY2121 Apr</v>
      </c>
    </row>
    <row r="818" spans="1:8" x14ac:dyDescent="0.35">
      <c r="A818" t="s">
        <v>1352</v>
      </c>
      <c r="B818" t="s">
        <v>450</v>
      </c>
      <c r="C818">
        <v>2118</v>
      </c>
      <c r="D818">
        <v>363</v>
      </c>
      <c r="E818" t="s">
        <v>1347</v>
      </c>
      <c r="F818" t="s">
        <v>1358</v>
      </c>
      <c r="G818" t="str">
        <f t="shared" si="24"/>
        <v>2118FY21</v>
      </c>
      <c r="H818" t="str">
        <f t="shared" si="25"/>
        <v>FY2121 May</v>
      </c>
    </row>
    <row r="819" spans="1:8" x14ac:dyDescent="0.35">
      <c r="A819" t="s">
        <v>1352</v>
      </c>
      <c r="B819" t="s">
        <v>450</v>
      </c>
      <c r="C819">
        <v>2120</v>
      </c>
      <c r="D819">
        <v>1388</v>
      </c>
      <c r="E819" t="s">
        <v>1347</v>
      </c>
      <c r="F819" t="s">
        <v>1358</v>
      </c>
      <c r="G819" t="str">
        <f t="shared" si="24"/>
        <v>2120FY21</v>
      </c>
      <c r="H819" t="str">
        <f t="shared" si="25"/>
        <v>FY2121 May</v>
      </c>
    </row>
    <row r="820" spans="1:8" x14ac:dyDescent="0.35">
      <c r="A820" t="s">
        <v>1352</v>
      </c>
      <c r="B820" t="s">
        <v>450</v>
      </c>
      <c r="C820">
        <v>2121</v>
      </c>
      <c r="D820">
        <v>470</v>
      </c>
      <c r="E820" t="s">
        <v>1347</v>
      </c>
      <c r="F820" t="s">
        <v>1358</v>
      </c>
      <c r="G820" t="str">
        <f t="shared" si="24"/>
        <v>2121FY21</v>
      </c>
      <c r="H820" t="str">
        <f t="shared" si="25"/>
        <v>FY2121 May</v>
      </c>
    </row>
    <row r="821" spans="1:8" x14ac:dyDescent="0.35">
      <c r="A821" t="s">
        <v>1352</v>
      </c>
      <c r="B821" t="s">
        <v>450</v>
      </c>
      <c r="C821">
        <v>2122</v>
      </c>
      <c r="D821">
        <v>1486</v>
      </c>
      <c r="E821" t="s">
        <v>1347</v>
      </c>
      <c r="F821" t="s">
        <v>1358</v>
      </c>
      <c r="G821" t="str">
        <f t="shared" si="24"/>
        <v>2122FY21</v>
      </c>
      <c r="H821" t="str">
        <f t="shared" si="25"/>
        <v>FY2121 May</v>
      </c>
    </row>
    <row r="822" spans="1:8" x14ac:dyDescent="0.35">
      <c r="A822" t="s">
        <v>1352</v>
      </c>
      <c r="B822" t="s">
        <v>450</v>
      </c>
      <c r="C822">
        <v>2123</v>
      </c>
      <c r="D822">
        <v>352</v>
      </c>
      <c r="E822" t="s">
        <v>1347</v>
      </c>
      <c r="F822" t="s">
        <v>1359</v>
      </c>
      <c r="G822" t="str">
        <f t="shared" si="24"/>
        <v>2123FY21</v>
      </c>
      <c r="H822" t="str">
        <f t="shared" si="25"/>
        <v>FY2121 Jun</v>
      </c>
    </row>
    <row r="823" spans="1:8" x14ac:dyDescent="0.35">
      <c r="A823" t="s">
        <v>1352</v>
      </c>
      <c r="B823" t="s">
        <v>450</v>
      </c>
      <c r="C823">
        <v>2124</v>
      </c>
      <c r="D823">
        <v>1</v>
      </c>
      <c r="E823" t="s">
        <v>1347</v>
      </c>
      <c r="F823" t="s">
        <v>1359</v>
      </c>
      <c r="G823" t="str">
        <f t="shared" si="24"/>
        <v>2124FY21</v>
      </c>
      <c r="H823" t="str">
        <f t="shared" si="25"/>
        <v>FY2121 Jun</v>
      </c>
    </row>
    <row r="824" spans="1:8" x14ac:dyDescent="0.35">
      <c r="A824" t="s">
        <v>1352</v>
      </c>
      <c r="B824" t="s">
        <v>450</v>
      </c>
      <c r="C824">
        <v>2125</v>
      </c>
      <c r="D824">
        <v>894</v>
      </c>
      <c r="E824" t="s">
        <v>1347</v>
      </c>
      <c r="F824" t="s">
        <v>1359</v>
      </c>
      <c r="G824" t="str">
        <f t="shared" si="24"/>
        <v>2125FY21</v>
      </c>
      <c r="H824" t="str">
        <f t="shared" si="25"/>
        <v>FY2121 Jun</v>
      </c>
    </row>
    <row r="825" spans="1:8" x14ac:dyDescent="0.35">
      <c r="A825" t="s">
        <v>1352</v>
      </c>
      <c r="B825" t="s">
        <v>450</v>
      </c>
      <c r="C825">
        <v>2126</v>
      </c>
      <c r="D825">
        <v>1111</v>
      </c>
      <c r="E825" t="s">
        <v>1347</v>
      </c>
      <c r="F825" t="s">
        <v>1359</v>
      </c>
      <c r="G825" t="str">
        <f t="shared" si="24"/>
        <v>2126FY21</v>
      </c>
      <c r="H825" t="str">
        <f t="shared" si="25"/>
        <v>FY2121 Jun</v>
      </c>
    </row>
    <row r="826" spans="1:8" x14ac:dyDescent="0.35">
      <c r="A826" t="s">
        <v>1352</v>
      </c>
      <c r="B826" t="s">
        <v>450</v>
      </c>
      <c r="C826">
        <v>2128</v>
      </c>
      <c r="D826">
        <v>891</v>
      </c>
      <c r="E826" t="s">
        <v>1347</v>
      </c>
      <c r="F826" t="s">
        <v>1360</v>
      </c>
      <c r="G826" t="str">
        <f t="shared" si="24"/>
        <v>2128FY21</v>
      </c>
      <c r="H826" t="str">
        <f t="shared" si="25"/>
        <v>FY2121 Jul</v>
      </c>
    </row>
    <row r="827" spans="1:8" x14ac:dyDescent="0.35">
      <c r="A827" t="s">
        <v>1352</v>
      </c>
      <c r="B827" t="s">
        <v>450</v>
      </c>
      <c r="C827">
        <v>2129</v>
      </c>
      <c r="D827">
        <v>11</v>
      </c>
      <c r="E827" t="s">
        <v>1347</v>
      </c>
      <c r="F827" t="s">
        <v>1360</v>
      </c>
      <c r="G827" t="str">
        <f t="shared" si="24"/>
        <v>2129FY21</v>
      </c>
      <c r="H827" t="str">
        <f t="shared" si="25"/>
        <v>FY2121 Jul</v>
      </c>
    </row>
    <row r="828" spans="1:8" x14ac:dyDescent="0.35">
      <c r="A828" t="s">
        <v>1352</v>
      </c>
      <c r="B828" t="s">
        <v>450</v>
      </c>
      <c r="C828">
        <v>2130</v>
      </c>
      <c r="D828">
        <v>19</v>
      </c>
      <c r="E828" t="s">
        <v>1347</v>
      </c>
      <c r="F828" t="s">
        <v>1360</v>
      </c>
      <c r="G828" t="str">
        <f t="shared" si="24"/>
        <v>2130FY21</v>
      </c>
      <c r="H828" t="str">
        <f t="shared" si="25"/>
        <v>FY2121 Jul</v>
      </c>
    </row>
    <row r="829" spans="1:8" x14ac:dyDescent="0.35">
      <c r="A829" t="s">
        <v>1352</v>
      </c>
      <c r="B829" t="s">
        <v>450</v>
      </c>
      <c r="C829">
        <v>2133</v>
      </c>
      <c r="D829">
        <v>1678</v>
      </c>
      <c r="E829" t="s">
        <v>1347</v>
      </c>
      <c r="F829" t="s">
        <v>1361</v>
      </c>
      <c r="G829" t="str">
        <f t="shared" si="24"/>
        <v>2133FY21</v>
      </c>
      <c r="H829" t="str">
        <f t="shared" si="25"/>
        <v>FY2121 Aug</v>
      </c>
    </row>
    <row r="830" spans="1:8" x14ac:dyDescent="0.35">
      <c r="A830" t="s">
        <v>1352</v>
      </c>
      <c r="B830" t="s">
        <v>442</v>
      </c>
      <c r="C830">
        <v>2036</v>
      </c>
      <c r="D830">
        <v>487</v>
      </c>
      <c r="E830" t="s">
        <v>1348</v>
      </c>
      <c r="F830" t="s">
        <v>1369</v>
      </c>
      <c r="G830" t="str">
        <f t="shared" si="24"/>
        <v>2036FY20</v>
      </c>
      <c r="H830" t="str">
        <f t="shared" si="25"/>
        <v>FY2020 Sep</v>
      </c>
    </row>
    <row r="831" spans="1:8" x14ac:dyDescent="0.35">
      <c r="A831" t="s">
        <v>1352</v>
      </c>
      <c r="B831" t="s">
        <v>442</v>
      </c>
      <c r="C831">
        <v>2037</v>
      </c>
      <c r="D831">
        <v>1314</v>
      </c>
      <c r="E831" t="s">
        <v>1348</v>
      </c>
      <c r="F831" t="s">
        <v>1369</v>
      </c>
      <c r="G831" t="str">
        <f t="shared" si="24"/>
        <v>2037FY20</v>
      </c>
      <c r="H831" t="str">
        <f t="shared" si="25"/>
        <v>FY2020 Sep</v>
      </c>
    </row>
    <row r="832" spans="1:8" x14ac:dyDescent="0.35">
      <c r="A832" t="s">
        <v>1352</v>
      </c>
      <c r="B832" t="s">
        <v>442</v>
      </c>
      <c r="C832">
        <v>2038</v>
      </c>
      <c r="D832">
        <v>866</v>
      </c>
      <c r="E832" t="s">
        <v>1348</v>
      </c>
      <c r="F832" t="s">
        <v>1369</v>
      </c>
      <c r="G832" t="str">
        <f t="shared" si="24"/>
        <v>2038FY20</v>
      </c>
      <c r="H832" t="str">
        <f t="shared" si="25"/>
        <v>FY2020 Sep</v>
      </c>
    </row>
    <row r="833" spans="1:8" x14ac:dyDescent="0.35">
      <c r="A833" t="s">
        <v>1352</v>
      </c>
      <c r="B833" t="s">
        <v>442</v>
      </c>
      <c r="C833">
        <v>2039</v>
      </c>
      <c r="D833">
        <v>404</v>
      </c>
      <c r="E833" t="s">
        <v>1348</v>
      </c>
      <c r="F833" t="s">
        <v>1369</v>
      </c>
      <c r="G833" t="str">
        <f t="shared" si="24"/>
        <v>2039FY20</v>
      </c>
      <c r="H833" t="str">
        <f t="shared" si="25"/>
        <v>FY2020 Sep</v>
      </c>
    </row>
    <row r="834" spans="1:8" x14ac:dyDescent="0.35">
      <c r="A834" t="s">
        <v>1352</v>
      </c>
      <c r="B834" t="s">
        <v>442</v>
      </c>
      <c r="C834">
        <v>2040</v>
      </c>
      <c r="D834">
        <v>641</v>
      </c>
      <c r="E834" t="s">
        <v>1348</v>
      </c>
      <c r="F834" t="s">
        <v>1370</v>
      </c>
      <c r="G834" t="str">
        <f t="shared" si="24"/>
        <v>2040FY20</v>
      </c>
      <c r="H834" t="str">
        <f t="shared" si="25"/>
        <v>FY2020 Oct</v>
      </c>
    </row>
    <row r="835" spans="1:8" x14ac:dyDescent="0.35">
      <c r="A835" t="s">
        <v>1352</v>
      </c>
      <c r="B835" t="s">
        <v>442</v>
      </c>
      <c r="C835">
        <v>2041</v>
      </c>
      <c r="D835">
        <v>838</v>
      </c>
      <c r="E835" t="s">
        <v>1348</v>
      </c>
      <c r="F835" t="s">
        <v>1370</v>
      </c>
      <c r="G835" t="str">
        <f t="shared" ref="G835:G898" si="26">C835&amp;E835</f>
        <v>2041FY20</v>
      </c>
      <c r="H835" t="str">
        <f t="shared" ref="H835:H898" si="27">E835&amp;F835</f>
        <v>FY2020 Oct</v>
      </c>
    </row>
    <row r="836" spans="1:8" x14ac:dyDescent="0.35">
      <c r="A836" t="s">
        <v>1352</v>
      </c>
      <c r="B836" t="s">
        <v>442</v>
      </c>
      <c r="C836">
        <v>2042</v>
      </c>
      <c r="D836">
        <v>588</v>
      </c>
      <c r="E836" t="s">
        <v>1348</v>
      </c>
      <c r="F836" t="s">
        <v>1370</v>
      </c>
      <c r="G836" t="str">
        <f t="shared" si="26"/>
        <v>2042FY20</v>
      </c>
      <c r="H836" t="str">
        <f t="shared" si="27"/>
        <v>FY2020 Oct</v>
      </c>
    </row>
    <row r="837" spans="1:8" x14ac:dyDescent="0.35">
      <c r="A837" t="s">
        <v>1352</v>
      </c>
      <c r="B837" t="s">
        <v>442</v>
      </c>
      <c r="C837">
        <v>2043</v>
      </c>
      <c r="D837">
        <v>334</v>
      </c>
      <c r="E837" t="s">
        <v>1348</v>
      </c>
      <c r="F837" t="s">
        <v>1370</v>
      </c>
      <c r="G837" t="str">
        <f t="shared" si="26"/>
        <v>2043FY20</v>
      </c>
      <c r="H837" t="str">
        <f t="shared" si="27"/>
        <v>FY2020 Oct</v>
      </c>
    </row>
    <row r="838" spans="1:8" x14ac:dyDescent="0.35">
      <c r="A838" t="s">
        <v>1352</v>
      </c>
      <c r="B838" t="s">
        <v>442</v>
      </c>
      <c r="C838">
        <v>2044</v>
      </c>
      <c r="D838">
        <v>508</v>
      </c>
      <c r="E838" t="s">
        <v>1348</v>
      </c>
      <c r="F838" t="s">
        <v>1371</v>
      </c>
      <c r="G838" t="str">
        <f t="shared" si="26"/>
        <v>2044FY20</v>
      </c>
      <c r="H838" t="str">
        <f t="shared" si="27"/>
        <v>FY2020 Nov</v>
      </c>
    </row>
    <row r="839" spans="1:8" x14ac:dyDescent="0.35">
      <c r="A839" t="s">
        <v>1352</v>
      </c>
      <c r="B839" t="s">
        <v>442</v>
      </c>
      <c r="C839">
        <v>2049</v>
      </c>
      <c r="D839">
        <v>517</v>
      </c>
      <c r="E839" t="s">
        <v>1348</v>
      </c>
      <c r="F839" t="s">
        <v>1372</v>
      </c>
      <c r="G839" t="str">
        <f t="shared" si="26"/>
        <v>2049FY20</v>
      </c>
      <c r="H839" t="str">
        <f t="shared" si="27"/>
        <v>FY2020 Dec</v>
      </c>
    </row>
    <row r="840" spans="1:8" x14ac:dyDescent="0.35">
      <c r="A840" t="s">
        <v>1352</v>
      </c>
      <c r="B840" t="s">
        <v>442</v>
      </c>
      <c r="C840">
        <v>2050</v>
      </c>
      <c r="D840">
        <v>836</v>
      </c>
      <c r="E840" t="s">
        <v>1348</v>
      </c>
      <c r="F840" t="s">
        <v>1372</v>
      </c>
      <c r="G840" t="str">
        <f t="shared" si="26"/>
        <v>2050FY20</v>
      </c>
      <c r="H840" t="str">
        <f t="shared" si="27"/>
        <v>FY2020 Dec</v>
      </c>
    </row>
    <row r="841" spans="1:8" x14ac:dyDescent="0.35">
      <c r="A841" t="s">
        <v>1352</v>
      </c>
      <c r="B841" t="s">
        <v>442</v>
      </c>
      <c r="C841">
        <v>2051</v>
      </c>
      <c r="D841">
        <v>841</v>
      </c>
      <c r="E841" t="s">
        <v>1348</v>
      </c>
      <c r="F841" t="s">
        <v>1372</v>
      </c>
      <c r="G841" t="str">
        <f t="shared" si="26"/>
        <v>2051FY20</v>
      </c>
      <c r="H841" t="str">
        <f t="shared" si="27"/>
        <v>FY2020 Dec</v>
      </c>
    </row>
    <row r="842" spans="1:8" x14ac:dyDescent="0.35">
      <c r="A842" t="s">
        <v>1352</v>
      </c>
      <c r="B842" t="s">
        <v>442</v>
      </c>
      <c r="C842">
        <v>2052</v>
      </c>
      <c r="D842">
        <v>953</v>
      </c>
      <c r="E842" t="s">
        <v>1348</v>
      </c>
      <c r="F842" t="s">
        <v>1372</v>
      </c>
      <c r="G842" t="str">
        <f t="shared" si="26"/>
        <v>2052FY20</v>
      </c>
      <c r="H842" t="str">
        <f t="shared" si="27"/>
        <v>FY2020 Dec</v>
      </c>
    </row>
    <row r="843" spans="1:8" x14ac:dyDescent="0.35">
      <c r="A843" t="s">
        <v>1352</v>
      </c>
      <c r="B843" t="s">
        <v>442</v>
      </c>
      <c r="C843">
        <v>2053</v>
      </c>
      <c r="D843">
        <v>216</v>
      </c>
      <c r="E843" t="s">
        <v>1348</v>
      </c>
      <c r="F843" t="s">
        <v>1363</v>
      </c>
      <c r="G843" t="str">
        <f t="shared" si="26"/>
        <v>2053FY20</v>
      </c>
      <c r="H843" t="str">
        <f t="shared" si="27"/>
        <v>FY2021 Jan</v>
      </c>
    </row>
    <row r="844" spans="1:8" x14ac:dyDescent="0.35">
      <c r="A844" t="s">
        <v>1352</v>
      </c>
      <c r="B844" t="s">
        <v>442</v>
      </c>
      <c r="C844">
        <v>2101</v>
      </c>
      <c r="D844">
        <v>1604</v>
      </c>
      <c r="E844" t="s">
        <v>1348</v>
      </c>
      <c r="F844" t="s">
        <v>1363</v>
      </c>
      <c r="G844" t="str">
        <f t="shared" si="26"/>
        <v>2101FY20</v>
      </c>
      <c r="H844" t="str">
        <f t="shared" si="27"/>
        <v>FY2021 Jan</v>
      </c>
    </row>
    <row r="845" spans="1:8" x14ac:dyDescent="0.35">
      <c r="A845" t="s">
        <v>1352</v>
      </c>
      <c r="B845" t="s">
        <v>442</v>
      </c>
      <c r="C845">
        <v>2102</v>
      </c>
      <c r="D845">
        <v>1113</v>
      </c>
      <c r="E845" t="s">
        <v>1348</v>
      </c>
      <c r="F845" t="s">
        <v>1363</v>
      </c>
      <c r="G845" t="str">
        <f t="shared" si="26"/>
        <v>2102FY20</v>
      </c>
      <c r="H845" t="str">
        <f t="shared" si="27"/>
        <v>FY2021 Jan</v>
      </c>
    </row>
    <row r="846" spans="1:8" x14ac:dyDescent="0.35">
      <c r="A846" t="s">
        <v>1352</v>
      </c>
      <c r="B846" t="s">
        <v>442</v>
      </c>
      <c r="C846">
        <v>2105</v>
      </c>
      <c r="D846">
        <v>1839</v>
      </c>
      <c r="E846" t="s">
        <v>1348</v>
      </c>
      <c r="F846" t="s">
        <v>1362</v>
      </c>
      <c r="G846" t="str">
        <f t="shared" si="26"/>
        <v>2105FY20</v>
      </c>
      <c r="H846" t="str">
        <f t="shared" si="27"/>
        <v>FY2021 Feb</v>
      </c>
    </row>
    <row r="847" spans="1:8" x14ac:dyDescent="0.35">
      <c r="A847" t="s">
        <v>1352</v>
      </c>
      <c r="B847" t="s">
        <v>442</v>
      </c>
      <c r="C847">
        <v>2106</v>
      </c>
      <c r="D847">
        <v>669</v>
      </c>
      <c r="E847" t="s">
        <v>1348</v>
      </c>
      <c r="F847" t="s">
        <v>1362</v>
      </c>
      <c r="G847" t="str">
        <f t="shared" si="26"/>
        <v>2106FY20</v>
      </c>
      <c r="H847" t="str">
        <f t="shared" si="27"/>
        <v>FY2021 Feb</v>
      </c>
    </row>
    <row r="848" spans="1:8" x14ac:dyDescent="0.35">
      <c r="A848" t="s">
        <v>1352</v>
      </c>
      <c r="B848" t="s">
        <v>442</v>
      </c>
      <c r="C848">
        <v>2107</v>
      </c>
      <c r="D848">
        <v>836</v>
      </c>
      <c r="E848" t="s">
        <v>1348</v>
      </c>
      <c r="F848" t="s">
        <v>1362</v>
      </c>
      <c r="G848" t="str">
        <f t="shared" si="26"/>
        <v>2107FY20</v>
      </c>
      <c r="H848" t="str">
        <f t="shared" si="27"/>
        <v>FY2021 Feb</v>
      </c>
    </row>
    <row r="849" spans="1:8" x14ac:dyDescent="0.35">
      <c r="A849" t="s">
        <v>1352</v>
      </c>
      <c r="B849" t="s">
        <v>442</v>
      </c>
      <c r="C849">
        <v>2108</v>
      </c>
      <c r="D849">
        <v>461</v>
      </c>
      <c r="E849" t="s">
        <v>1348</v>
      </c>
      <c r="F849" t="s">
        <v>1362</v>
      </c>
      <c r="G849" t="str">
        <f t="shared" si="26"/>
        <v>2108FY20</v>
      </c>
      <c r="H849" t="str">
        <f t="shared" si="27"/>
        <v>FY2021 Feb</v>
      </c>
    </row>
    <row r="850" spans="1:8" x14ac:dyDescent="0.35">
      <c r="A850" t="s">
        <v>1352</v>
      </c>
      <c r="B850" t="s">
        <v>442</v>
      </c>
      <c r="C850">
        <v>2109</v>
      </c>
      <c r="D850">
        <v>186</v>
      </c>
      <c r="E850" t="s">
        <v>1348</v>
      </c>
      <c r="F850" t="s">
        <v>1356</v>
      </c>
      <c r="G850" t="str">
        <f t="shared" si="26"/>
        <v>2109FY20</v>
      </c>
      <c r="H850" t="str">
        <f t="shared" si="27"/>
        <v>FY2021 Mar</v>
      </c>
    </row>
    <row r="851" spans="1:8" x14ac:dyDescent="0.35">
      <c r="A851" t="s">
        <v>1352</v>
      </c>
      <c r="B851" t="s">
        <v>442</v>
      </c>
      <c r="C851">
        <v>2110</v>
      </c>
      <c r="D851">
        <v>243</v>
      </c>
      <c r="E851" t="s">
        <v>1348</v>
      </c>
      <c r="F851" t="s">
        <v>1356</v>
      </c>
      <c r="G851" t="str">
        <f t="shared" si="26"/>
        <v>2110FY20</v>
      </c>
      <c r="H851" t="str">
        <f t="shared" si="27"/>
        <v>FY2021 Mar</v>
      </c>
    </row>
    <row r="852" spans="1:8" x14ac:dyDescent="0.35">
      <c r="A852" t="s">
        <v>1352</v>
      </c>
      <c r="B852" t="s">
        <v>442</v>
      </c>
      <c r="C852">
        <v>2111</v>
      </c>
      <c r="D852">
        <v>23</v>
      </c>
      <c r="E852" t="s">
        <v>1348</v>
      </c>
      <c r="F852" t="s">
        <v>1356</v>
      </c>
      <c r="G852" t="str">
        <f t="shared" si="26"/>
        <v>2111FY20</v>
      </c>
      <c r="H852" t="str">
        <f t="shared" si="27"/>
        <v>FY2021 Mar</v>
      </c>
    </row>
    <row r="853" spans="1:8" x14ac:dyDescent="0.35">
      <c r="A853" t="s">
        <v>1352</v>
      </c>
      <c r="B853" t="s">
        <v>442</v>
      </c>
      <c r="C853">
        <v>2112</v>
      </c>
      <c r="D853">
        <v>553</v>
      </c>
      <c r="E853" t="s">
        <v>1348</v>
      </c>
      <c r="F853" t="s">
        <v>1356</v>
      </c>
      <c r="G853" t="str">
        <f t="shared" si="26"/>
        <v>2112FY20</v>
      </c>
      <c r="H853" t="str">
        <f t="shared" si="27"/>
        <v>FY2021 Mar</v>
      </c>
    </row>
    <row r="854" spans="1:8" x14ac:dyDescent="0.35">
      <c r="A854" t="s">
        <v>1352</v>
      </c>
      <c r="B854" t="s">
        <v>442</v>
      </c>
      <c r="C854">
        <v>2113</v>
      </c>
      <c r="D854">
        <v>253</v>
      </c>
      <c r="E854" t="s">
        <v>1348</v>
      </c>
      <c r="F854" t="s">
        <v>1356</v>
      </c>
      <c r="G854" t="str">
        <f t="shared" si="26"/>
        <v>2113FY20</v>
      </c>
      <c r="H854" t="str">
        <f t="shared" si="27"/>
        <v>FY2021 Mar</v>
      </c>
    </row>
    <row r="855" spans="1:8" x14ac:dyDescent="0.35">
      <c r="A855" t="s">
        <v>1352</v>
      </c>
      <c r="B855" t="s">
        <v>442</v>
      </c>
      <c r="C855">
        <v>2115</v>
      </c>
      <c r="D855">
        <v>29</v>
      </c>
      <c r="E855" t="s">
        <v>1348</v>
      </c>
      <c r="F855" t="s">
        <v>1357</v>
      </c>
      <c r="G855" t="str">
        <f t="shared" si="26"/>
        <v>2115FY20</v>
      </c>
      <c r="H855" t="str">
        <f t="shared" si="27"/>
        <v>FY2021 Apr</v>
      </c>
    </row>
    <row r="856" spans="1:8" x14ac:dyDescent="0.35">
      <c r="A856" t="s">
        <v>1352</v>
      </c>
      <c r="B856" t="s">
        <v>442</v>
      </c>
      <c r="C856">
        <v>2116</v>
      </c>
      <c r="D856">
        <v>523</v>
      </c>
      <c r="E856" t="s">
        <v>1348</v>
      </c>
      <c r="F856" t="s">
        <v>1357</v>
      </c>
      <c r="G856" t="str">
        <f t="shared" si="26"/>
        <v>2116FY20</v>
      </c>
      <c r="H856" t="str">
        <f t="shared" si="27"/>
        <v>FY2021 Apr</v>
      </c>
    </row>
    <row r="857" spans="1:8" x14ac:dyDescent="0.35">
      <c r="A857" t="s">
        <v>1352</v>
      </c>
      <c r="B857" t="s">
        <v>442</v>
      </c>
      <c r="C857">
        <v>2117</v>
      </c>
      <c r="D857">
        <v>1</v>
      </c>
      <c r="E857" t="s">
        <v>1348</v>
      </c>
      <c r="F857" t="s">
        <v>1357</v>
      </c>
      <c r="G857" t="str">
        <f t="shared" si="26"/>
        <v>2117FY20</v>
      </c>
      <c r="H857" t="str">
        <f t="shared" si="27"/>
        <v>FY2021 Apr</v>
      </c>
    </row>
    <row r="858" spans="1:8" x14ac:dyDescent="0.35">
      <c r="A858" t="s">
        <v>1352</v>
      </c>
      <c r="B858" t="s">
        <v>434</v>
      </c>
      <c r="C858">
        <v>2109</v>
      </c>
      <c r="D858">
        <v>52</v>
      </c>
      <c r="E858" t="s">
        <v>1347</v>
      </c>
      <c r="F858" t="s">
        <v>1356</v>
      </c>
      <c r="G858" t="str">
        <f t="shared" si="26"/>
        <v>2109FY21</v>
      </c>
      <c r="H858" t="str">
        <f t="shared" si="27"/>
        <v>FY2121 Mar</v>
      </c>
    </row>
    <row r="859" spans="1:8" x14ac:dyDescent="0.35">
      <c r="A859" t="s">
        <v>1352</v>
      </c>
      <c r="B859" t="s">
        <v>434</v>
      </c>
      <c r="C859">
        <v>2111</v>
      </c>
      <c r="D859">
        <v>90</v>
      </c>
      <c r="E859" t="s">
        <v>1347</v>
      </c>
      <c r="F859" t="s">
        <v>1356</v>
      </c>
      <c r="G859" t="str">
        <f t="shared" si="26"/>
        <v>2111FY21</v>
      </c>
      <c r="H859" t="str">
        <f t="shared" si="27"/>
        <v>FY2121 Mar</v>
      </c>
    </row>
    <row r="860" spans="1:8" x14ac:dyDescent="0.35">
      <c r="A860" t="s">
        <v>1352</v>
      </c>
      <c r="B860" t="s">
        <v>434</v>
      </c>
      <c r="C860">
        <v>2112</v>
      </c>
      <c r="D860">
        <v>35</v>
      </c>
      <c r="E860" t="s">
        <v>1347</v>
      </c>
      <c r="F860" t="s">
        <v>1356</v>
      </c>
      <c r="G860" t="str">
        <f t="shared" si="26"/>
        <v>2112FY21</v>
      </c>
      <c r="H860" t="str">
        <f t="shared" si="27"/>
        <v>FY2121 Mar</v>
      </c>
    </row>
    <row r="861" spans="1:8" x14ac:dyDescent="0.35">
      <c r="A861" t="s">
        <v>1352</v>
      </c>
      <c r="B861" t="s">
        <v>434</v>
      </c>
      <c r="C861">
        <v>2113</v>
      </c>
      <c r="D861">
        <v>20</v>
      </c>
      <c r="E861" t="s">
        <v>1347</v>
      </c>
      <c r="F861" t="s">
        <v>1356</v>
      </c>
      <c r="G861" t="str">
        <f t="shared" si="26"/>
        <v>2113FY21</v>
      </c>
      <c r="H861" t="str">
        <f t="shared" si="27"/>
        <v>FY2121 Mar</v>
      </c>
    </row>
    <row r="862" spans="1:8" x14ac:dyDescent="0.35">
      <c r="A862" t="s">
        <v>1352</v>
      </c>
      <c r="B862" t="s">
        <v>434</v>
      </c>
      <c r="C862">
        <v>2114</v>
      </c>
      <c r="D862">
        <v>407</v>
      </c>
      <c r="E862" t="s">
        <v>1347</v>
      </c>
      <c r="F862" t="s">
        <v>1357</v>
      </c>
      <c r="G862" t="str">
        <f t="shared" si="26"/>
        <v>2114FY21</v>
      </c>
      <c r="H862" t="str">
        <f t="shared" si="27"/>
        <v>FY2121 Apr</v>
      </c>
    </row>
    <row r="863" spans="1:8" x14ac:dyDescent="0.35">
      <c r="A863" t="s">
        <v>1352</v>
      </c>
      <c r="B863" t="s">
        <v>434</v>
      </c>
      <c r="C863">
        <v>2115</v>
      </c>
      <c r="D863">
        <v>1143</v>
      </c>
      <c r="E863" t="s">
        <v>1347</v>
      </c>
      <c r="F863" t="s">
        <v>1357</v>
      </c>
      <c r="G863" t="str">
        <f t="shared" si="26"/>
        <v>2115FY21</v>
      </c>
      <c r="H863" t="str">
        <f t="shared" si="27"/>
        <v>FY2121 Apr</v>
      </c>
    </row>
    <row r="864" spans="1:8" x14ac:dyDescent="0.35">
      <c r="A864" t="s">
        <v>1352</v>
      </c>
      <c r="B864" t="s">
        <v>434</v>
      </c>
      <c r="C864">
        <v>2116</v>
      </c>
      <c r="D864">
        <v>2098</v>
      </c>
      <c r="E864" t="s">
        <v>1347</v>
      </c>
      <c r="F864" t="s">
        <v>1357</v>
      </c>
      <c r="G864" t="str">
        <f t="shared" si="26"/>
        <v>2116FY21</v>
      </c>
      <c r="H864" t="str">
        <f t="shared" si="27"/>
        <v>FY2121 Apr</v>
      </c>
    </row>
    <row r="865" spans="1:8" x14ac:dyDescent="0.35">
      <c r="A865" t="s">
        <v>1352</v>
      </c>
      <c r="B865" t="s">
        <v>434</v>
      </c>
      <c r="C865">
        <v>2117</v>
      </c>
      <c r="D865">
        <v>1254</v>
      </c>
      <c r="E865" t="s">
        <v>1347</v>
      </c>
      <c r="F865" t="s">
        <v>1357</v>
      </c>
      <c r="G865" t="str">
        <f t="shared" si="26"/>
        <v>2117FY21</v>
      </c>
      <c r="H865" t="str">
        <f t="shared" si="27"/>
        <v>FY2121 Apr</v>
      </c>
    </row>
    <row r="866" spans="1:8" x14ac:dyDescent="0.35">
      <c r="A866" t="s">
        <v>1352</v>
      </c>
      <c r="B866" t="s">
        <v>434</v>
      </c>
      <c r="C866">
        <v>2118</v>
      </c>
      <c r="D866">
        <v>858</v>
      </c>
      <c r="E866" t="s">
        <v>1347</v>
      </c>
      <c r="F866" t="s">
        <v>1358</v>
      </c>
      <c r="G866" t="str">
        <f t="shared" si="26"/>
        <v>2118FY21</v>
      </c>
      <c r="H866" t="str">
        <f t="shared" si="27"/>
        <v>FY2121 May</v>
      </c>
    </row>
    <row r="867" spans="1:8" x14ac:dyDescent="0.35">
      <c r="A867" t="s">
        <v>1352</v>
      </c>
      <c r="B867" t="s">
        <v>434</v>
      </c>
      <c r="C867">
        <v>2120</v>
      </c>
      <c r="D867">
        <v>559</v>
      </c>
      <c r="E867" t="s">
        <v>1347</v>
      </c>
      <c r="F867" t="s">
        <v>1358</v>
      </c>
      <c r="G867" t="str">
        <f t="shared" si="26"/>
        <v>2120FY21</v>
      </c>
      <c r="H867" t="str">
        <f t="shared" si="27"/>
        <v>FY2121 May</v>
      </c>
    </row>
    <row r="868" spans="1:8" x14ac:dyDescent="0.35">
      <c r="A868" t="s">
        <v>1352</v>
      </c>
      <c r="B868" t="s">
        <v>434</v>
      </c>
      <c r="C868">
        <v>2121</v>
      </c>
      <c r="D868">
        <v>882</v>
      </c>
      <c r="E868" t="s">
        <v>1347</v>
      </c>
      <c r="F868" t="s">
        <v>1358</v>
      </c>
      <c r="G868" t="str">
        <f t="shared" si="26"/>
        <v>2121FY21</v>
      </c>
      <c r="H868" t="str">
        <f t="shared" si="27"/>
        <v>FY2121 May</v>
      </c>
    </row>
    <row r="869" spans="1:8" x14ac:dyDescent="0.35">
      <c r="A869" t="s">
        <v>1352</v>
      </c>
      <c r="B869" t="s">
        <v>434</v>
      </c>
      <c r="C869">
        <v>2122</v>
      </c>
      <c r="D869">
        <v>1317</v>
      </c>
      <c r="E869" t="s">
        <v>1347</v>
      </c>
      <c r="F869" t="s">
        <v>1358</v>
      </c>
      <c r="G869" t="str">
        <f t="shared" si="26"/>
        <v>2122FY21</v>
      </c>
      <c r="H869" t="str">
        <f t="shared" si="27"/>
        <v>FY2121 May</v>
      </c>
    </row>
    <row r="870" spans="1:8" x14ac:dyDescent="0.35">
      <c r="A870" t="s">
        <v>1352</v>
      </c>
      <c r="B870" t="s">
        <v>434</v>
      </c>
      <c r="C870">
        <v>2123</v>
      </c>
      <c r="D870">
        <v>783</v>
      </c>
      <c r="E870" t="s">
        <v>1347</v>
      </c>
      <c r="F870" t="s">
        <v>1359</v>
      </c>
      <c r="G870" t="str">
        <f t="shared" si="26"/>
        <v>2123FY21</v>
      </c>
      <c r="H870" t="str">
        <f t="shared" si="27"/>
        <v>FY2121 Jun</v>
      </c>
    </row>
    <row r="871" spans="1:8" x14ac:dyDescent="0.35">
      <c r="A871" t="s">
        <v>1352</v>
      </c>
      <c r="B871" t="s">
        <v>434</v>
      </c>
      <c r="C871">
        <v>2124</v>
      </c>
      <c r="D871">
        <v>897</v>
      </c>
      <c r="E871" t="s">
        <v>1347</v>
      </c>
      <c r="F871" t="s">
        <v>1359</v>
      </c>
      <c r="G871" t="str">
        <f t="shared" si="26"/>
        <v>2124FY21</v>
      </c>
      <c r="H871" t="str">
        <f t="shared" si="27"/>
        <v>FY2121 Jun</v>
      </c>
    </row>
    <row r="872" spans="1:8" x14ac:dyDescent="0.35">
      <c r="A872" t="s">
        <v>1352</v>
      </c>
      <c r="B872" t="s">
        <v>434</v>
      </c>
      <c r="C872">
        <v>2125</v>
      </c>
      <c r="D872">
        <v>353</v>
      </c>
      <c r="E872" t="s">
        <v>1347</v>
      </c>
      <c r="F872" t="s">
        <v>1359</v>
      </c>
      <c r="G872" t="str">
        <f t="shared" si="26"/>
        <v>2125FY21</v>
      </c>
      <c r="H872" t="str">
        <f t="shared" si="27"/>
        <v>FY2121 Jun</v>
      </c>
    </row>
    <row r="873" spans="1:8" x14ac:dyDescent="0.35">
      <c r="A873" t="s">
        <v>1352</v>
      </c>
      <c r="B873" t="s">
        <v>434</v>
      </c>
      <c r="C873">
        <v>2126</v>
      </c>
      <c r="D873">
        <v>179</v>
      </c>
      <c r="E873" t="s">
        <v>1347</v>
      </c>
      <c r="F873" t="s">
        <v>1359</v>
      </c>
      <c r="G873" t="str">
        <f t="shared" si="26"/>
        <v>2126FY21</v>
      </c>
      <c r="H873" t="str">
        <f t="shared" si="27"/>
        <v>FY2121 Jun</v>
      </c>
    </row>
    <row r="874" spans="1:8" x14ac:dyDescent="0.35">
      <c r="A874" t="s">
        <v>1352</v>
      </c>
      <c r="B874" t="s">
        <v>434</v>
      </c>
      <c r="C874">
        <v>2128</v>
      </c>
      <c r="D874">
        <v>453</v>
      </c>
      <c r="E874" t="s">
        <v>1347</v>
      </c>
      <c r="F874" t="s">
        <v>1360</v>
      </c>
      <c r="G874" t="str">
        <f t="shared" si="26"/>
        <v>2128FY21</v>
      </c>
      <c r="H874" t="str">
        <f t="shared" si="27"/>
        <v>FY2121 Jul</v>
      </c>
    </row>
    <row r="875" spans="1:8" x14ac:dyDescent="0.35">
      <c r="A875" t="s">
        <v>1352</v>
      </c>
      <c r="B875" t="s">
        <v>434</v>
      </c>
      <c r="C875">
        <v>2129</v>
      </c>
      <c r="D875">
        <v>1772</v>
      </c>
      <c r="E875" t="s">
        <v>1347</v>
      </c>
      <c r="F875" t="s">
        <v>1360</v>
      </c>
      <c r="G875" t="str">
        <f t="shared" si="26"/>
        <v>2129FY21</v>
      </c>
      <c r="H875" t="str">
        <f t="shared" si="27"/>
        <v>FY2121 Jul</v>
      </c>
    </row>
    <row r="876" spans="1:8" x14ac:dyDescent="0.35">
      <c r="A876" t="s">
        <v>1352</v>
      </c>
      <c r="B876" t="s">
        <v>434</v>
      </c>
      <c r="C876">
        <v>2130</v>
      </c>
      <c r="D876">
        <v>773</v>
      </c>
      <c r="E876" t="s">
        <v>1347</v>
      </c>
      <c r="F876" t="s">
        <v>1360</v>
      </c>
      <c r="G876" t="str">
        <f t="shared" si="26"/>
        <v>2130FY21</v>
      </c>
      <c r="H876" t="str">
        <f t="shared" si="27"/>
        <v>FY2121 Jul</v>
      </c>
    </row>
    <row r="877" spans="1:8" x14ac:dyDescent="0.35">
      <c r="A877" t="s">
        <v>1352</v>
      </c>
      <c r="B877" t="s">
        <v>434</v>
      </c>
      <c r="C877">
        <v>2131</v>
      </c>
      <c r="D877">
        <v>45</v>
      </c>
      <c r="E877" t="s">
        <v>1347</v>
      </c>
      <c r="F877" t="s">
        <v>1361</v>
      </c>
      <c r="G877" t="str">
        <f t="shared" si="26"/>
        <v>2131FY21</v>
      </c>
      <c r="H877" t="str">
        <f t="shared" si="27"/>
        <v>FY2121 Aug</v>
      </c>
    </row>
    <row r="878" spans="1:8" x14ac:dyDescent="0.35">
      <c r="A878" t="s">
        <v>1352</v>
      </c>
      <c r="B878" t="s">
        <v>434</v>
      </c>
      <c r="C878">
        <v>2132</v>
      </c>
      <c r="D878">
        <v>1826</v>
      </c>
      <c r="E878" t="s">
        <v>1347</v>
      </c>
      <c r="F878" t="s">
        <v>1361</v>
      </c>
      <c r="G878" t="str">
        <f t="shared" si="26"/>
        <v>2132FY21</v>
      </c>
      <c r="H878" t="str">
        <f t="shared" si="27"/>
        <v>FY2121 Aug</v>
      </c>
    </row>
    <row r="879" spans="1:8" x14ac:dyDescent="0.35">
      <c r="A879" t="s">
        <v>1352</v>
      </c>
      <c r="B879" t="s">
        <v>434</v>
      </c>
      <c r="C879">
        <v>2133</v>
      </c>
      <c r="D879">
        <v>600</v>
      </c>
      <c r="E879" t="s">
        <v>1347</v>
      </c>
      <c r="F879" t="s">
        <v>1361</v>
      </c>
      <c r="G879" t="str">
        <f t="shared" si="26"/>
        <v>2133FY21</v>
      </c>
      <c r="H879" t="str">
        <f t="shared" si="27"/>
        <v>FY2121 Aug</v>
      </c>
    </row>
    <row r="880" spans="1:8" x14ac:dyDescent="0.35">
      <c r="A880" t="s">
        <v>1352</v>
      </c>
      <c r="B880" t="s">
        <v>444</v>
      </c>
      <c r="C880">
        <v>2120</v>
      </c>
      <c r="D880">
        <v>347</v>
      </c>
      <c r="E880" t="s">
        <v>1348</v>
      </c>
      <c r="F880" t="s">
        <v>1358</v>
      </c>
      <c r="G880" t="str">
        <f t="shared" si="26"/>
        <v>2120FY20</v>
      </c>
      <c r="H880" t="str">
        <f t="shared" si="27"/>
        <v>FY2021 May</v>
      </c>
    </row>
    <row r="881" spans="1:8" x14ac:dyDescent="0.35">
      <c r="A881" t="s">
        <v>1352</v>
      </c>
      <c r="B881" t="s">
        <v>444</v>
      </c>
      <c r="C881">
        <v>2121</v>
      </c>
      <c r="D881">
        <v>1</v>
      </c>
      <c r="E881" t="s">
        <v>1348</v>
      </c>
      <c r="F881" t="s">
        <v>1358</v>
      </c>
      <c r="G881" t="str">
        <f t="shared" si="26"/>
        <v>2121FY20</v>
      </c>
      <c r="H881" t="str">
        <f t="shared" si="27"/>
        <v>FY2021 May</v>
      </c>
    </row>
    <row r="882" spans="1:8" x14ac:dyDescent="0.35">
      <c r="A882" t="s">
        <v>1352</v>
      </c>
      <c r="B882" t="s">
        <v>447</v>
      </c>
      <c r="C882">
        <v>2122</v>
      </c>
      <c r="D882">
        <v>60</v>
      </c>
      <c r="E882" t="s">
        <v>1348</v>
      </c>
      <c r="F882" t="s">
        <v>1358</v>
      </c>
      <c r="G882" t="str">
        <f t="shared" si="26"/>
        <v>2122FY20</v>
      </c>
      <c r="H882" t="str">
        <f t="shared" si="27"/>
        <v>FY2021 May</v>
      </c>
    </row>
    <row r="883" spans="1:8" x14ac:dyDescent="0.35">
      <c r="A883" t="s">
        <v>1352</v>
      </c>
      <c r="B883" t="s">
        <v>447</v>
      </c>
      <c r="C883">
        <v>2126</v>
      </c>
      <c r="D883">
        <v>137</v>
      </c>
      <c r="E883" t="s">
        <v>1348</v>
      </c>
      <c r="F883" t="s">
        <v>1359</v>
      </c>
      <c r="G883" t="str">
        <f t="shared" si="26"/>
        <v>2126FY20</v>
      </c>
      <c r="H883" t="str">
        <f t="shared" si="27"/>
        <v>FY2021 Jun</v>
      </c>
    </row>
    <row r="884" spans="1:8" x14ac:dyDescent="0.35">
      <c r="A884" t="s">
        <v>1352</v>
      </c>
      <c r="B884" t="s">
        <v>447</v>
      </c>
      <c r="C884">
        <v>2129</v>
      </c>
      <c r="D884">
        <v>16</v>
      </c>
      <c r="E884" t="s">
        <v>1348</v>
      </c>
      <c r="F884" t="s">
        <v>1360</v>
      </c>
      <c r="G884" t="str">
        <f t="shared" si="26"/>
        <v>2129FY20</v>
      </c>
      <c r="H884" t="str">
        <f t="shared" si="27"/>
        <v>FY2021 Jul</v>
      </c>
    </row>
    <row r="885" spans="1:8" x14ac:dyDescent="0.35">
      <c r="A885" t="s">
        <v>1352</v>
      </c>
      <c r="B885" t="s">
        <v>447</v>
      </c>
      <c r="C885">
        <v>2131</v>
      </c>
      <c r="D885">
        <v>135</v>
      </c>
      <c r="E885" t="s">
        <v>1348</v>
      </c>
      <c r="F885" t="s">
        <v>1361</v>
      </c>
      <c r="G885" t="str">
        <f t="shared" si="26"/>
        <v>2131FY20</v>
      </c>
      <c r="H885" t="str">
        <f t="shared" si="27"/>
        <v>FY2021 Aug</v>
      </c>
    </row>
    <row r="886" spans="1:8" x14ac:dyDescent="0.35">
      <c r="A886" t="s">
        <v>1352</v>
      </c>
      <c r="B886" t="s">
        <v>447</v>
      </c>
      <c r="C886">
        <v>2133</v>
      </c>
      <c r="D886">
        <v>155</v>
      </c>
      <c r="E886" t="s">
        <v>1348</v>
      </c>
      <c r="F886" t="s">
        <v>1361</v>
      </c>
      <c r="G886" t="str">
        <f t="shared" si="26"/>
        <v>2133FY20</v>
      </c>
      <c r="H886" t="str">
        <f t="shared" si="27"/>
        <v>FY2021 Aug</v>
      </c>
    </row>
    <row r="887" spans="1:8" x14ac:dyDescent="0.35">
      <c r="A887" t="s">
        <v>1352</v>
      </c>
      <c r="B887" t="s">
        <v>438</v>
      </c>
      <c r="C887">
        <v>2123</v>
      </c>
      <c r="D887">
        <v>25</v>
      </c>
      <c r="E887" t="s">
        <v>1347</v>
      </c>
      <c r="F887" t="s">
        <v>1359</v>
      </c>
      <c r="G887" t="str">
        <f t="shared" si="26"/>
        <v>2123FY21</v>
      </c>
      <c r="H887" t="str">
        <f t="shared" si="27"/>
        <v>FY2121 Jun</v>
      </c>
    </row>
    <row r="888" spans="1:8" x14ac:dyDescent="0.35">
      <c r="A888" t="s">
        <v>1352</v>
      </c>
      <c r="B888" t="s">
        <v>438</v>
      </c>
      <c r="C888">
        <v>2125</v>
      </c>
      <c r="D888">
        <v>50</v>
      </c>
      <c r="E888" t="s">
        <v>1347</v>
      </c>
      <c r="F888" t="s">
        <v>1359</v>
      </c>
      <c r="G888" t="str">
        <f t="shared" si="26"/>
        <v>2125FY21</v>
      </c>
      <c r="H888" t="str">
        <f t="shared" si="27"/>
        <v>FY2121 Jun</v>
      </c>
    </row>
    <row r="889" spans="1:8" x14ac:dyDescent="0.35">
      <c r="A889" t="s">
        <v>1352</v>
      </c>
      <c r="B889" t="s">
        <v>438</v>
      </c>
      <c r="C889">
        <v>2130</v>
      </c>
      <c r="D889">
        <v>359</v>
      </c>
      <c r="E889" t="s">
        <v>1347</v>
      </c>
      <c r="F889" t="s">
        <v>1360</v>
      </c>
      <c r="G889" t="str">
        <f t="shared" si="26"/>
        <v>2130FY21</v>
      </c>
      <c r="H889" t="str">
        <f t="shared" si="27"/>
        <v>FY2121 Jul</v>
      </c>
    </row>
    <row r="890" spans="1:8" x14ac:dyDescent="0.35">
      <c r="A890" t="s">
        <v>1352</v>
      </c>
      <c r="B890" t="s">
        <v>438</v>
      </c>
      <c r="C890">
        <v>2131</v>
      </c>
      <c r="D890">
        <v>300</v>
      </c>
      <c r="E890" t="s">
        <v>1347</v>
      </c>
      <c r="F890" t="s">
        <v>1361</v>
      </c>
      <c r="G890" t="str">
        <f t="shared" si="26"/>
        <v>2131FY21</v>
      </c>
      <c r="H890" t="str">
        <f t="shared" si="27"/>
        <v>FY2121 Aug</v>
      </c>
    </row>
    <row r="891" spans="1:8" x14ac:dyDescent="0.35">
      <c r="A891" t="s">
        <v>1352</v>
      </c>
      <c r="B891" t="s">
        <v>438</v>
      </c>
      <c r="C891">
        <v>2133</v>
      </c>
      <c r="D891">
        <v>229</v>
      </c>
      <c r="E891" t="s">
        <v>1347</v>
      </c>
      <c r="F891" t="s">
        <v>1361</v>
      </c>
      <c r="G891" t="str">
        <f t="shared" si="26"/>
        <v>2133FY21</v>
      </c>
      <c r="H891" t="str">
        <f t="shared" si="27"/>
        <v>FY2121 Aug</v>
      </c>
    </row>
    <row r="892" spans="1:8" x14ac:dyDescent="0.35">
      <c r="A892" t="s">
        <v>1352</v>
      </c>
      <c r="B892" t="s">
        <v>435</v>
      </c>
      <c r="C892">
        <v>2115</v>
      </c>
      <c r="D892">
        <v>80</v>
      </c>
      <c r="E892" t="s">
        <v>1347</v>
      </c>
      <c r="F892" t="s">
        <v>1357</v>
      </c>
      <c r="G892" t="str">
        <f t="shared" si="26"/>
        <v>2115FY21</v>
      </c>
      <c r="H892" t="str">
        <f t="shared" si="27"/>
        <v>FY2121 Apr</v>
      </c>
    </row>
    <row r="893" spans="1:8" x14ac:dyDescent="0.35">
      <c r="A893" t="s">
        <v>1352</v>
      </c>
      <c r="B893" t="s">
        <v>435</v>
      </c>
      <c r="C893">
        <v>2117</v>
      </c>
      <c r="D893">
        <v>160</v>
      </c>
      <c r="E893" t="s">
        <v>1347</v>
      </c>
      <c r="F893" t="s">
        <v>1357</v>
      </c>
      <c r="G893" t="str">
        <f t="shared" si="26"/>
        <v>2117FY21</v>
      </c>
      <c r="H893" t="str">
        <f t="shared" si="27"/>
        <v>FY2121 Apr</v>
      </c>
    </row>
    <row r="894" spans="1:8" x14ac:dyDescent="0.35">
      <c r="A894" t="s">
        <v>1352</v>
      </c>
      <c r="B894" t="s">
        <v>435</v>
      </c>
      <c r="C894">
        <v>2118</v>
      </c>
      <c r="D894">
        <v>1699</v>
      </c>
      <c r="E894" t="s">
        <v>1347</v>
      </c>
      <c r="F894" t="s">
        <v>1358</v>
      </c>
      <c r="G894" t="str">
        <f t="shared" si="26"/>
        <v>2118FY21</v>
      </c>
      <c r="H894" t="str">
        <f t="shared" si="27"/>
        <v>FY2121 May</v>
      </c>
    </row>
    <row r="895" spans="1:8" x14ac:dyDescent="0.35">
      <c r="A895" t="s">
        <v>1352</v>
      </c>
      <c r="B895" t="s">
        <v>435</v>
      </c>
      <c r="C895">
        <v>2120</v>
      </c>
      <c r="D895">
        <v>1026</v>
      </c>
      <c r="E895" t="s">
        <v>1347</v>
      </c>
      <c r="F895" t="s">
        <v>1358</v>
      </c>
      <c r="G895" t="str">
        <f t="shared" si="26"/>
        <v>2120FY21</v>
      </c>
      <c r="H895" t="str">
        <f t="shared" si="27"/>
        <v>FY2121 May</v>
      </c>
    </row>
    <row r="896" spans="1:8" x14ac:dyDescent="0.35">
      <c r="A896" t="s">
        <v>1352</v>
      </c>
      <c r="B896" t="s">
        <v>435</v>
      </c>
      <c r="C896">
        <v>2121</v>
      </c>
      <c r="D896">
        <v>1351</v>
      </c>
      <c r="E896" t="s">
        <v>1347</v>
      </c>
      <c r="F896" t="s">
        <v>1358</v>
      </c>
      <c r="G896" t="str">
        <f t="shared" si="26"/>
        <v>2121FY21</v>
      </c>
      <c r="H896" t="str">
        <f t="shared" si="27"/>
        <v>FY2121 May</v>
      </c>
    </row>
    <row r="897" spans="1:8" x14ac:dyDescent="0.35">
      <c r="A897" t="s">
        <v>1352</v>
      </c>
      <c r="B897" t="s">
        <v>435</v>
      </c>
      <c r="C897">
        <v>2122</v>
      </c>
      <c r="D897">
        <v>511</v>
      </c>
      <c r="E897" t="s">
        <v>1347</v>
      </c>
      <c r="F897" t="s">
        <v>1358</v>
      </c>
      <c r="G897" t="str">
        <f t="shared" si="26"/>
        <v>2122FY21</v>
      </c>
      <c r="H897" t="str">
        <f t="shared" si="27"/>
        <v>FY2121 May</v>
      </c>
    </row>
    <row r="898" spans="1:8" x14ac:dyDescent="0.35">
      <c r="A898" t="s">
        <v>1352</v>
      </c>
      <c r="B898" t="s">
        <v>435</v>
      </c>
      <c r="C898">
        <v>2123</v>
      </c>
      <c r="D898">
        <v>1173</v>
      </c>
      <c r="E898" t="s">
        <v>1347</v>
      </c>
      <c r="F898" t="s">
        <v>1359</v>
      </c>
      <c r="G898" t="str">
        <f t="shared" si="26"/>
        <v>2123FY21</v>
      </c>
      <c r="H898" t="str">
        <f t="shared" si="27"/>
        <v>FY2121 Jun</v>
      </c>
    </row>
    <row r="899" spans="1:8" x14ac:dyDescent="0.35">
      <c r="A899" t="s">
        <v>1352</v>
      </c>
      <c r="B899" t="s">
        <v>435</v>
      </c>
      <c r="C899">
        <v>2124</v>
      </c>
      <c r="D899">
        <v>345</v>
      </c>
      <c r="E899" t="s">
        <v>1347</v>
      </c>
      <c r="F899" t="s">
        <v>1359</v>
      </c>
      <c r="G899" t="str">
        <f t="shared" ref="G899:G962" si="28">C899&amp;E899</f>
        <v>2124FY21</v>
      </c>
      <c r="H899" t="str">
        <f t="shared" ref="H899:H962" si="29">E899&amp;F899</f>
        <v>FY2121 Jun</v>
      </c>
    </row>
    <row r="900" spans="1:8" x14ac:dyDescent="0.35">
      <c r="A900" t="s">
        <v>1352</v>
      </c>
      <c r="B900" t="s">
        <v>435</v>
      </c>
      <c r="C900">
        <v>2128</v>
      </c>
      <c r="D900">
        <v>932</v>
      </c>
      <c r="E900" t="s">
        <v>1347</v>
      </c>
      <c r="F900" t="s">
        <v>1360</v>
      </c>
      <c r="G900" t="str">
        <f t="shared" si="28"/>
        <v>2128FY21</v>
      </c>
      <c r="H900" t="str">
        <f t="shared" si="29"/>
        <v>FY2121 Jul</v>
      </c>
    </row>
    <row r="901" spans="1:8" x14ac:dyDescent="0.35">
      <c r="A901" t="s">
        <v>1352</v>
      </c>
      <c r="B901" t="s">
        <v>435</v>
      </c>
      <c r="C901">
        <v>2129</v>
      </c>
      <c r="D901">
        <v>300</v>
      </c>
      <c r="E901" t="s">
        <v>1347</v>
      </c>
      <c r="F901" t="s">
        <v>1360</v>
      </c>
      <c r="G901" t="str">
        <f t="shared" si="28"/>
        <v>2129FY21</v>
      </c>
      <c r="H901" t="str">
        <f t="shared" si="29"/>
        <v>FY2121 Jul</v>
      </c>
    </row>
    <row r="902" spans="1:8" x14ac:dyDescent="0.35">
      <c r="A902" t="s">
        <v>1352</v>
      </c>
      <c r="B902" t="s">
        <v>435</v>
      </c>
      <c r="C902">
        <v>2130</v>
      </c>
      <c r="D902">
        <v>189</v>
      </c>
      <c r="E902" t="s">
        <v>1347</v>
      </c>
      <c r="F902" t="s">
        <v>1360</v>
      </c>
      <c r="G902" t="str">
        <f t="shared" si="28"/>
        <v>2130FY21</v>
      </c>
      <c r="H902" t="str">
        <f t="shared" si="29"/>
        <v>FY2121 Jul</v>
      </c>
    </row>
    <row r="903" spans="1:8" x14ac:dyDescent="0.35">
      <c r="A903" t="s">
        <v>1352</v>
      </c>
      <c r="B903" t="s">
        <v>435</v>
      </c>
      <c r="C903">
        <v>2131</v>
      </c>
      <c r="D903">
        <v>851</v>
      </c>
      <c r="E903" t="s">
        <v>1347</v>
      </c>
      <c r="F903" t="s">
        <v>1361</v>
      </c>
      <c r="G903" t="str">
        <f t="shared" si="28"/>
        <v>2131FY21</v>
      </c>
      <c r="H903" t="str">
        <f t="shared" si="29"/>
        <v>FY2121 Aug</v>
      </c>
    </row>
    <row r="904" spans="1:8" x14ac:dyDescent="0.35">
      <c r="A904" t="s">
        <v>1352</v>
      </c>
      <c r="B904" t="s">
        <v>435</v>
      </c>
      <c r="C904">
        <v>2132</v>
      </c>
      <c r="D904">
        <v>179</v>
      </c>
      <c r="E904" t="s">
        <v>1347</v>
      </c>
      <c r="F904" t="s">
        <v>1361</v>
      </c>
      <c r="G904" t="str">
        <f t="shared" si="28"/>
        <v>2132FY21</v>
      </c>
      <c r="H904" t="str">
        <f t="shared" si="29"/>
        <v>FY2121 Aug</v>
      </c>
    </row>
    <row r="905" spans="1:8" x14ac:dyDescent="0.35">
      <c r="A905" t="s">
        <v>1352</v>
      </c>
      <c r="B905" t="s">
        <v>448</v>
      </c>
      <c r="C905">
        <v>2114</v>
      </c>
      <c r="D905">
        <v>30</v>
      </c>
      <c r="E905" t="s">
        <v>1347</v>
      </c>
      <c r="F905" t="s">
        <v>1357</v>
      </c>
      <c r="G905" t="str">
        <f t="shared" si="28"/>
        <v>2114FY21</v>
      </c>
      <c r="H905" t="str">
        <f t="shared" si="29"/>
        <v>FY2121 Apr</v>
      </c>
    </row>
    <row r="906" spans="1:8" x14ac:dyDescent="0.35">
      <c r="A906" t="s">
        <v>1352</v>
      </c>
      <c r="B906" t="s">
        <v>448</v>
      </c>
      <c r="C906">
        <v>2116</v>
      </c>
      <c r="D906">
        <v>50</v>
      </c>
      <c r="E906" t="s">
        <v>1347</v>
      </c>
      <c r="F906" t="s">
        <v>1357</v>
      </c>
      <c r="G906" t="str">
        <f t="shared" si="28"/>
        <v>2116FY21</v>
      </c>
      <c r="H906" t="str">
        <f t="shared" si="29"/>
        <v>FY2121 Apr</v>
      </c>
    </row>
    <row r="907" spans="1:8" x14ac:dyDescent="0.35">
      <c r="A907" t="s">
        <v>1352</v>
      </c>
      <c r="B907" t="s">
        <v>448</v>
      </c>
      <c r="C907">
        <v>2117</v>
      </c>
      <c r="D907">
        <v>10</v>
      </c>
      <c r="E907" t="s">
        <v>1347</v>
      </c>
      <c r="F907" t="s">
        <v>1357</v>
      </c>
      <c r="G907" t="str">
        <f t="shared" si="28"/>
        <v>2117FY21</v>
      </c>
      <c r="H907" t="str">
        <f t="shared" si="29"/>
        <v>FY2121 Apr</v>
      </c>
    </row>
    <row r="908" spans="1:8" x14ac:dyDescent="0.35">
      <c r="A908" t="s">
        <v>1352</v>
      </c>
      <c r="B908" t="s">
        <v>448</v>
      </c>
      <c r="C908">
        <v>2118</v>
      </c>
      <c r="D908">
        <v>330</v>
      </c>
      <c r="E908" t="s">
        <v>1347</v>
      </c>
      <c r="F908" t="s">
        <v>1358</v>
      </c>
      <c r="G908" t="str">
        <f t="shared" si="28"/>
        <v>2118FY21</v>
      </c>
      <c r="H908" t="str">
        <f t="shared" si="29"/>
        <v>FY2121 May</v>
      </c>
    </row>
    <row r="909" spans="1:8" x14ac:dyDescent="0.35">
      <c r="A909" t="s">
        <v>1352</v>
      </c>
      <c r="B909" t="s">
        <v>448</v>
      </c>
      <c r="C909">
        <v>2120</v>
      </c>
      <c r="D909">
        <v>317</v>
      </c>
      <c r="E909" t="s">
        <v>1347</v>
      </c>
      <c r="F909" t="s">
        <v>1358</v>
      </c>
      <c r="G909" t="str">
        <f t="shared" si="28"/>
        <v>2120FY21</v>
      </c>
      <c r="H909" t="str">
        <f t="shared" si="29"/>
        <v>FY2121 May</v>
      </c>
    </row>
    <row r="910" spans="1:8" x14ac:dyDescent="0.35">
      <c r="A910" t="s">
        <v>1352</v>
      </c>
      <c r="B910" t="s">
        <v>448</v>
      </c>
      <c r="C910">
        <v>2121</v>
      </c>
      <c r="D910">
        <v>899</v>
      </c>
      <c r="E910" t="s">
        <v>1347</v>
      </c>
      <c r="F910" t="s">
        <v>1358</v>
      </c>
      <c r="G910" t="str">
        <f t="shared" si="28"/>
        <v>2121FY21</v>
      </c>
      <c r="H910" t="str">
        <f t="shared" si="29"/>
        <v>FY2121 May</v>
      </c>
    </row>
    <row r="911" spans="1:8" x14ac:dyDescent="0.35">
      <c r="A911" t="s">
        <v>1352</v>
      </c>
      <c r="B911" t="s">
        <v>448</v>
      </c>
      <c r="C911">
        <v>2122</v>
      </c>
      <c r="D911">
        <v>469</v>
      </c>
      <c r="E911" t="s">
        <v>1347</v>
      </c>
      <c r="F911" t="s">
        <v>1358</v>
      </c>
      <c r="G911" t="str">
        <f t="shared" si="28"/>
        <v>2122FY21</v>
      </c>
      <c r="H911" t="str">
        <f t="shared" si="29"/>
        <v>FY2121 May</v>
      </c>
    </row>
    <row r="912" spans="1:8" x14ac:dyDescent="0.35">
      <c r="A912" t="s">
        <v>1352</v>
      </c>
      <c r="B912" t="s">
        <v>448</v>
      </c>
      <c r="C912">
        <v>2123</v>
      </c>
      <c r="D912">
        <v>1622</v>
      </c>
      <c r="E912" t="s">
        <v>1347</v>
      </c>
      <c r="F912" t="s">
        <v>1359</v>
      </c>
      <c r="G912" t="str">
        <f t="shared" si="28"/>
        <v>2123FY21</v>
      </c>
      <c r="H912" t="str">
        <f t="shared" si="29"/>
        <v>FY2121 Jun</v>
      </c>
    </row>
    <row r="913" spans="1:8" x14ac:dyDescent="0.35">
      <c r="A913" t="s">
        <v>1352</v>
      </c>
      <c r="B913" t="s">
        <v>448</v>
      </c>
      <c r="C913">
        <v>2124</v>
      </c>
      <c r="D913">
        <v>552</v>
      </c>
      <c r="E913" t="s">
        <v>1347</v>
      </c>
      <c r="F913" t="s">
        <v>1359</v>
      </c>
      <c r="G913" t="str">
        <f t="shared" si="28"/>
        <v>2124FY21</v>
      </c>
      <c r="H913" t="str">
        <f t="shared" si="29"/>
        <v>FY2121 Jun</v>
      </c>
    </row>
    <row r="914" spans="1:8" x14ac:dyDescent="0.35">
      <c r="A914" t="s">
        <v>1352</v>
      </c>
      <c r="B914" t="s">
        <v>448</v>
      </c>
      <c r="C914">
        <v>2126</v>
      </c>
      <c r="D914">
        <v>453</v>
      </c>
      <c r="E914" t="s">
        <v>1347</v>
      </c>
      <c r="F914" t="s">
        <v>1359</v>
      </c>
      <c r="G914" t="str">
        <f t="shared" si="28"/>
        <v>2126FY21</v>
      </c>
      <c r="H914" t="str">
        <f t="shared" si="29"/>
        <v>FY2121 Jun</v>
      </c>
    </row>
    <row r="915" spans="1:8" x14ac:dyDescent="0.35">
      <c r="A915" t="s">
        <v>1352</v>
      </c>
      <c r="B915" t="s">
        <v>448</v>
      </c>
      <c r="C915">
        <v>2128</v>
      </c>
      <c r="D915">
        <v>239</v>
      </c>
      <c r="E915" t="s">
        <v>1347</v>
      </c>
      <c r="F915" t="s">
        <v>1360</v>
      </c>
      <c r="G915" t="str">
        <f t="shared" si="28"/>
        <v>2128FY21</v>
      </c>
      <c r="H915" t="str">
        <f t="shared" si="29"/>
        <v>FY2121 Jul</v>
      </c>
    </row>
    <row r="916" spans="1:8" x14ac:dyDescent="0.35">
      <c r="A916" t="s">
        <v>1352</v>
      </c>
      <c r="B916" t="s">
        <v>448</v>
      </c>
      <c r="C916">
        <v>2130</v>
      </c>
      <c r="D916">
        <v>411</v>
      </c>
      <c r="E916" t="s">
        <v>1347</v>
      </c>
      <c r="F916" t="s">
        <v>1360</v>
      </c>
      <c r="G916" t="str">
        <f t="shared" si="28"/>
        <v>2130FY21</v>
      </c>
      <c r="H916" t="str">
        <f t="shared" si="29"/>
        <v>FY2121 Jul</v>
      </c>
    </row>
    <row r="917" spans="1:8" x14ac:dyDescent="0.35">
      <c r="A917" t="s">
        <v>1352</v>
      </c>
      <c r="B917" t="s">
        <v>448</v>
      </c>
      <c r="C917">
        <v>2132</v>
      </c>
      <c r="D917">
        <v>377</v>
      </c>
      <c r="E917" t="s">
        <v>1347</v>
      </c>
      <c r="F917" t="s">
        <v>1361</v>
      </c>
      <c r="G917" t="str">
        <f t="shared" si="28"/>
        <v>2132FY21</v>
      </c>
      <c r="H917" t="str">
        <f t="shared" si="29"/>
        <v>FY2121 Aug</v>
      </c>
    </row>
    <row r="918" spans="1:8" x14ac:dyDescent="0.35">
      <c r="A918" t="s">
        <v>1352</v>
      </c>
      <c r="B918" t="s">
        <v>448</v>
      </c>
      <c r="C918">
        <v>2133</v>
      </c>
      <c r="D918">
        <v>169</v>
      </c>
      <c r="E918" t="s">
        <v>1347</v>
      </c>
      <c r="F918" t="s">
        <v>1361</v>
      </c>
      <c r="G918" t="str">
        <f t="shared" si="28"/>
        <v>2133FY21</v>
      </c>
      <c r="H918" t="str">
        <f t="shared" si="29"/>
        <v>FY2121 Aug</v>
      </c>
    </row>
    <row r="919" spans="1:8" x14ac:dyDescent="0.35">
      <c r="A919" t="s">
        <v>1352</v>
      </c>
      <c r="B919" t="s">
        <v>442</v>
      </c>
      <c r="C919">
        <v>2002</v>
      </c>
      <c r="D919">
        <v>27</v>
      </c>
      <c r="E919" t="s">
        <v>1348</v>
      </c>
      <c r="F919" t="s">
        <v>1375</v>
      </c>
      <c r="G919" t="str">
        <f t="shared" si="28"/>
        <v>2002FY20</v>
      </c>
      <c r="H919" t="str">
        <f t="shared" si="29"/>
        <v>FY2020 Jan</v>
      </c>
    </row>
    <row r="920" spans="1:8" x14ac:dyDescent="0.35">
      <c r="A920" t="s">
        <v>1352</v>
      </c>
      <c r="B920" t="s">
        <v>442</v>
      </c>
      <c r="C920">
        <v>2004</v>
      </c>
      <c r="D920">
        <v>20</v>
      </c>
      <c r="E920" t="s">
        <v>1348</v>
      </c>
      <c r="F920" t="s">
        <v>1375</v>
      </c>
      <c r="G920" t="str">
        <f t="shared" si="28"/>
        <v>2004FY20</v>
      </c>
      <c r="H920" t="str">
        <f t="shared" si="29"/>
        <v>FY2020 Jan</v>
      </c>
    </row>
    <row r="921" spans="1:8" x14ac:dyDescent="0.35">
      <c r="A921" t="s">
        <v>1352</v>
      </c>
      <c r="B921" t="s">
        <v>442</v>
      </c>
      <c r="C921">
        <v>2007</v>
      </c>
      <c r="D921">
        <v>243</v>
      </c>
      <c r="E921" t="s">
        <v>1348</v>
      </c>
      <c r="F921" t="s">
        <v>1374</v>
      </c>
      <c r="G921" t="str">
        <f t="shared" si="28"/>
        <v>2007FY20</v>
      </c>
      <c r="H921" t="str">
        <f t="shared" si="29"/>
        <v>FY2020 Feb</v>
      </c>
    </row>
    <row r="922" spans="1:8" x14ac:dyDescent="0.35">
      <c r="A922" t="s">
        <v>1352</v>
      </c>
      <c r="B922" t="s">
        <v>442</v>
      </c>
      <c r="C922">
        <v>2008</v>
      </c>
      <c r="D922">
        <v>220</v>
      </c>
      <c r="E922" t="s">
        <v>1348</v>
      </c>
      <c r="F922" t="s">
        <v>1374</v>
      </c>
      <c r="G922" t="str">
        <f t="shared" si="28"/>
        <v>2008FY20</v>
      </c>
      <c r="H922" t="str">
        <f t="shared" si="29"/>
        <v>FY2020 Feb</v>
      </c>
    </row>
    <row r="923" spans="1:8" x14ac:dyDescent="0.35">
      <c r="A923" t="s">
        <v>1352</v>
      </c>
      <c r="B923" t="s">
        <v>442</v>
      </c>
      <c r="C923">
        <v>2009</v>
      </c>
      <c r="D923">
        <v>10</v>
      </c>
      <c r="E923" t="s">
        <v>1348</v>
      </c>
      <c r="F923" t="s">
        <v>1373</v>
      </c>
      <c r="G923" t="str">
        <f t="shared" si="28"/>
        <v>2009FY20</v>
      </c>
      <c r="H923" t="str">
        <f t="shared" si="29"/>
        <v>FY2020 Mar</v>
      </c>
    </row>
    <row r="924" spans="1:8" x14ac:dyDescent="0.35">
      <c r="A924" t="s">
        <v>1352</v>
      </c>
      <c r="B924" t="s">
        <v>442</v>
      </c>
      <c r="C924">
        <v>2010</v>
      </c>
      <c r="D924">
        <v>30</v>
      </c>
      <c r="E924" t="s">
        <v>1348</v>
      </c>
      <c r="F924" t="s">
        <v>1373</v>
      </c>
      <c r="G924" t="str">
        <f t="shared" si="28"/>
        <v>2010FY20</v>
      </c>
      <c r="H924" t="str">
        <f t="shared" si="29"/>
        <v>FY2020 Mar</v>
      </c>
    </row>
    <row r="925" spans="1:8" x14ac:dyDescent="0.35">
      <c r="A925" t="s">
        <v>1352</v>
      </c>
      <c r="B925" t="s">
        <v>442</v>
      </c>
      <c r="C925">
        <v>2012</v>
      </c>
      <c r="D925">
        <v>298</v>
      </c>
      <c r="E925" t="s">
        <v>1348</v>
      </c>
      <c r="F925" t="s">
        <v>1373</v>
      </c>
      <c r="G925" t="str">
        <f t="shared" si="28"/>
        <v>2012FY20</v>
      </c>
      <c r="H925" t="str">
        <f t="shared" si="29"/>
        <v>FY2020 Mar</v>
      </c>
    </row>
    <row r="926" spans="1:8" x14ac:dyDescent="0.35">
      <c r="A926" t="s">
        <v>1352</v>
      </c>
      <c r="B926" t="s">
        <v>442</v>
      </c>
      <c r="C926">
        <v>2019</v>
      </c>
      <c r="D926">
        <v>284</v>
      </c>
      <c r="E926" t="s">
        <v>1348</v>
      </c>
      <c r="F926" t="s">
        <v>1365</v>
      </c>
      <c r="G926" t="str">
        <f t="shared" si="28"/>
        <v>2019FY20</v>
      </c>
      <c r="H926" t="str">
        <f t="shared" si="29"/>
        <v>FY2020 May</v>
      </c>
    </row>
    <row r="927" spans="1:8" x14ac:dyDescent="0.35">
      <c r="A927" t="s">
        <v>1352</v>
      </c>
      <c r="B927" t="s">
        <v>442</v>
      </c>
      <c r="C927">
        <v>2020</v>
      </c>
      <c r="D927">
        <v>128</v>
      </c>
      <c r="E927" t="s">
        <v>1348</v>
      </c>
      <c r="F927" t="s">
        <v>1365</v>
      </c>
      <c r="G927" t="str">
        <f t="shared" si="28"/>
        <v>2020FY20</v>
      </c>
      <c r="H927" t="str">
        <f t="shared" si="29"/>
        <v>FY2020 May</v>
      </c>
    </row>
    <row r="928" spans="1:8" x14ac:dyDescent="0.35">
      <c r="A928" t="s">
        <v>1352</v>
      </c>
      <c r="B928" t="s">
        <v>442</v>
      </c>
      <c r="C928">
        <v>2021</v>
      </c>
      <c r="D928">
        <v>420</v>
      </c>
      <c r="E928" t="s">
        <v>1348</v>
      </c>
      <c r="F928" t="s">
        <v>1365</v>
      </c>
      <c r="G928" t="str">
        <f t="shared" si="28"/>
        <v>2021FY20</v>
      </c>
      <c r="H928" t="str">
        <f t="shared" si="29"/>
        <v>FY2020 May</v>
      </c>
    </row>
    <row r="929" spans="1:8" x14ac:dyDescent="0.35">
      <c r="A929" t="s">
        <v>1352</v>
      </c>
      <c r="B929" t="s">
        <v>442</v>
      </c>
      <c r="C929">
        <v>2022</v>
      </c>
      <c r="D929">
        <v>320</v>
      </c>
      <c r="E929" t="s">
        <v>1348</v>
      </c>
      <c r="F929" t="s">
        <v>1366</v>
      </c>
      <c r="G929" t="str">
        <f t="shared" si="28"/>
        <v>2022FY20</v>
      </c>
      <c r="H929" t="str">
        <f t="shared" si="29"/>
        <v>FY2020 Jun</v>
      </c>
    </row>
    <row r="930" spans="1:8" x14ac:dyDescent="0.35">
      <c r="A930" t="s">
        <v>1352</v>
      </c>
      <c r="B930" t="s">
        <v>442</v>
      </c>
      <c r="C930">
        <v>2023</v>
      </c>
      <c r="D930">
        <v>388</v>
      </c>
      <c r="E930" t="s">
        <v>1348</v>
      </c>
      <c r="F930" t="s">
        <v>1366</v>
      </c>
      <c r="G930" t="str">
        <f t="shared" si="28"/>
        <v>2023FY20</v>
      </c>
      <c r="H930" t="str">
        <f t="shared" si="29"/>
        <v>FY2020 Jun</v>
      </c>
    </row>
    <row r="931" spans="1:8" x14ac:dyDescent="0.35">
      <c r="A931" t="s">
        <v>1352</v>
      </c>
      <c r="B931" t="s">
        <v>442</v>
      </c>
      <c r="C931">
        <v>2024</v>
      </c>
      <c r="D931">
        <v>1237</v>
      </c>
      <c r="E931" t="s">
        <v>1348</v>
      </c>
      <c r="F931" t="s">
        <v>1366</v>
      </c>
      <c r="G931" t="str">
        <f t="shared" si="28"/>
        <v>2024FY20</v>
      </c>
      <c r="H931" t="str">
        <f t="shared" si="29"/>
        <v>FY2020 Jun</v>
      </c>
    </row>
    <row r="932" spans="1:8" x14ac:dyDescent="0.35">
      <c r="A932" t="s">
        <v>1352</v>
      </c>
      <c r="B932" t="s">
        <v>442</v>
      </c>
      <c r="C932">
        <v>2025</v>
      </c>
      <c r="D932">
        <v>748</v>
      </c>
      <c r="E932" t="s">
        <v>1348</v>
      </c>
      <c r="F932" t="s">
        <v>1366</v>
      </c>
      <c r="G932" t="str">
        <f t="shared" si="28"/>
        <v>2025FY20</v>
      </c>
      <c r="H932" t="str">
        <f t="shared" si="29"/>
        <v>FY2020 Jun</v>
      </c>
    </row>
    <row r="933" spans="1:8" x14ac:dyDescent="0.35">
      <c r="A933" t="s">
        <v>1352</v>
      </c>
      <c r="B933" t="s">
        <v>442</v>
      </c>
      <c r="C933">
        <v>2026</v>
      </c>
      <c r="D933">
        <v>566</v>
      </c>
      <c r="E933" t="s">
        <v>1348</v>
      </c>
      <c r="F933" t="s">
        <v>1366</v>
      </c>
      <c r="G933" t="str">
        <f t="shared" si="28"/>
        <v>2026FY20</v>
      </c>
      <c r="H933" t="str">
        <f t="shared" si="29"/>
        <v>FY2020 Jun</v>
      </c>
    </row>
    <row r="934" spans="1:8" x14ac:dyDescent="0.35">
      <c r="A934" t="s">
        <v>1352</v>
      </c>
      <c r="B934" t="s">
        <v>442</v>
      </c>
      <c r="C934">
        <v>2027</v>
      </c>
      <c r="D934">
        <v>288</v>
      </c>
      <c r="E934" t="s">
        <v>1348</v>
      </c>
      <c r="F934" t="s">
        <v>1367</v>
      </c>
      <c r="G934" t="str">
        <f t="shared" si="28"/>
        <v>2027FY20</v>
      </c>
      <c r="H934" t="str">
        <f t="shared" si="29"/>
        <v>FY2020 Jul</v>
      </c>
    </row>
    <row r="935" spans="1:8" x14ac:dyDescent="0.35">
      <c r="A935" t="s">
        <v>1352</v>
      </c>
      <c r="B935" t="s">
        <v>442</v>
      </c>
      <c r="C935">
        <v>2028</v>
      </c>
      <c r="D935">
        <v>786</v>
      </c>
      <c r="E935" t="s">
        <v>1348</v>
      </c>
      <c r="F935" t="s">
        <v>1367</v>
      </c>
      <c r="G935" t="str">
        <f t="shared" si="28"/>
        <v>2028FY20</v>
      </c>
      <c r="H935" t="str">
        <f t="shared" si="29"/>
        <v>FY2020 Jul</v>
      </c>
    </row>
    <row r="936" spans="1:8" x14ac:dyDescent="0.35">
      <c r="A936" t="s">
        <v>1352</v>
      </c>
      <c r="B936" t="s">
        <v>442</v>
      </c>
      <c r="C936">
        <v>2029</v>
      </c>
      <c r="D936">
        <v>1218</v>
      </c>
      <c r="E936" t="s">
        <v>1348</v>
      </c>
      <c r="F936" t="s">
        <v>1367</v>
      </c>
      <c r="G936" t="str">
        <f t="shared" si="28"/>
        <v>2029FY20</v>
      </c>
      <c r="H936" t="str">
        <f t="shared" si="29"/>
        <v>FY2020 Jul</v>
      </c>
    </row>
    <row r="937" spans="1:8" x14ac:dyDescent="0.35">
      <c r="A937" t="s">
        <v>1352</v>
      </c>
      <c r="B937" t="s">
        <v>442</v>
      </c>
      <c r="C937">
        <v>2030</v>
      </c>
      <c r="D937">
        <v>866</v>
      </c>
      <c r="E937" t="s">
        <v>1348</v>
      </c>
      <c r="F937" t="s">
        <v>1367</v>
      </c>
      <c r="G937" t="str">
        <f t="shared" si="28"/>
        <v>2030FY20</v>
      </c>
      <c r="H937" t="str">
        <f t="shared" si="29"/>
        <v>FY2020 Jul</v>
      </c>
    </row>
    <row r="938" spans="1:8" x14ac:dyDescent="0.35">
      <c r="A938" t="s">
        <v>1352</v>
      </c>
      <c r="B938" t="s">
        <v>442</v>
      </c>
      <c r="C938">
        <v>2031</v>
      </c>
      <c r="D938">
        <v>25</v>
      </c>
      <c r="E938" t="s">
        <v>1348</v>
      </c>
      <c r="F938" t="s">
        <v>1368</v>
      </c>
      <c r="G938" t="str">
        <f t="shared" si="28"/>
        <v>2031FY20</v>
      </c>
      <c r="H938" t="str">
        <f t="shared" si="29"/>
        <v>FY2020 Aug</v>
      </c>
    </row>
    <row r="939" spans="1:8" x14ac:dyDescent="0.35">
      <c r="A939" t="s">
        <v>1352</v>
      </c>
      <c r="B939" t="s">
        <v>442</v>
      </c>
      <c r="C939">
        <v>2032</v>
      </c>
      <c r="D939">
        <v>2359</v>
      </c>
      <c r="E939" t="s">
        <v>1348</v>
      </c>
      <c r="F939" t="s">
        <v>1368</v>
      </c>
      <c r="G939" t="str">
        <f t="shared" si="28"/>
        <v>2032FY20</v>
      </c>
      <c r="H939" t="str">
        <f t="shared" si="29"/>
        <v>FY2020 Aug</v>
      </c>
    </row>
    <row r="940" spans="1:8" x14ac:dyDescent="0.35">
      <c r="A940" t="s">
        <v>1352</v>
      </c>
      <c r="B940" t="s">
        <v>442</v>
      </c>
      <c r="C940">
        <v>2033</v>
      </c>
      <c r="D940">
        <v>795</v>
      </c>
      <c r="E940" t="s">
        <v>1348</v>
      </c>
      <c r="F940" t="s">
        <v>1368</v>
      </c>
      <c r="G940" t="str">
        <f t="shared" si="28"/>
        <v>2033FY20</v>
      </c>
      <c r="H940" t="str">
        <f t="shared" si="29"/>
        <v>FY2020 Aug</v>
      </c>
    </row>
    <row r="941" spans="1:8" x14ac:dyDescent="0.35">
      <c r="A941" t="s">
        <v>1352</v>
      </c>
      <c r="B941" t="s">
        <v>442</v>
      </c>
      <c r="C941">
        <v>2034</v>
      </c>
      <c r="D941">
        <v>1151</v>
      </c>
      <c r="E941" t="s">
        <v>1348</v>
      </c>
      <c r="F941" t="s">
        <v>1368</v>
      </c>
      <c r="G941" t="str">
        <f t="shared" si="28"/>
        <v>2034FY20</v>
      </c>
      <c r="H941" t="str">
        <f t="shared" si="29"/>
        <v>FY2020 Aug</v>
      </c>
    </row>
    <row r="942" spans="1:8" x14ac:dyDescent="0.35">
      <c r="A942" t="s">
        <v>1352</v>
      </c>
      <c r="B942" t="s">
        <v>442</v>
      </c>
      <c r="C942">
        <v>2035</v>
      </c>
      <c r="D942">
        <v>809</v>
      </c>
      <c r="E942" t="s">
        <v>1348</v>
      </c>
      <c r="F942" t="s">
        <v>1368</v>
      </c>
      <c r="G942" t="str">
        <f t="shared" si="28"/>
        <v>2035FY20</v>
      </c>
      <c r="H942" t="str">
        <f t="shared" si="29"/>
        <v>FY2020 Aug</v>
      </c>
    </row>
    <row r="943" spans="1:8" x14ac:dyDescent="0.35">
      <c r="A943" t="s">
        <v>1352</v>
      </c>
      <c r="B943" t="s">
        <v>442</v>
      </c>
      <c r="C943">
        <v>2036</v>
      </c>
      <c r="D943">
        <v>573</v>
      </c>
      <c r="E943" t="s">
        <v>1348</v>
      </c>
      <c r="F943" t="s">
        <v>1369</v>
      </c>
      <c r="G943" t="str">
        <f t="shared" si="28"/>
        <v>2036FY20</v>
      </c>
      <c r="H943" t="str">
        <f t="shared" si="29"/>
        <v>FY2020 Sep</v>
      </c>
    </row>
    <row r="944" spans="1:8" x14ac:dyDescent="0.35">
      <c r="A944" t="s">
        <v>1352</v>
      </c>
      <c r="B944" t="s">
        <v>442</v>
      </c>
      <c r="C944">
        <v>2037</v>
      </c>
      <c r="D944">
        <v>140</v>
      </c>
      <c r="E944" t="s">
        <v>1348</v>
      </c>
      <c r="F944" t="s">
        <v>1369</v>
      </c>
      <c r="G944" t="str">
        <f t="shared" si="28"/>
        <v>2037FY20</v>
      </c>
      <c r="H944" t="str">
        <f t="shared" si="29"/>
        <v>FY2020 Sep</v>
      </c>
    </row>
    <row r="945" spans="1:8" x14ac:dyDescent="0.35">
      <c r="A945" t="s">
        <v>1352</v>
      </c>
      <c r="B945" t="s">
        <v>442</v>
      </c>
      <c r="C945">
        <v>2039</v>
      </c>
      <c r="D945">
        <v>150</v>
      </c>
      <c r="E945" t="s">
        <v>1348</v>
      </c>
      <c r="F945" t="s">
        <v>1369</v>
      </c>
      <c r="G945" t="str">
        <f t="shared" si="28"/>
        <v>2039FY20</v>
      </c>
      <c r="H945" t="str">
        <f t="shared" si="29"/>
        <v>FY2020 Sep</v>
      </c>
    </row>
    <row r="946" spans="1:8" x14ac:dyDescent="0.35">
      <c r="A946" t="s">
        <v>1352</v>
      </c>
      <c r="B946" t="s">
        <v>442</v>
      </c>
      <c r="C946">
        <v>2040</v>
      </c>
      <c r="D946">
        <v>288</v>
      </c>
      <c r="E946" t="s">
        <v>1348</v>
      </c>
      <c r="F946" t="s">
        <v>1370</v>
      </c>
      <c r="G946" t="str">
        <f t="shared" si="28"/>
        <v>2040FY20</v>
      </c>
      <c r="H946" t="str">
        <f t="shared" si="29"/>
        <v>FY2020 Oct</v>
      </c>
    </row>
    <row r="947" spans="1:8" x14ac:dyDescent="0.35">
      <c r="A947" t="s">
        <v>1352</v>
      </c>
      <c r="B947" t="s">
        <v>442</v>
      </c>
      <c r="C947">
        <v>2051</v>
      </c>
      <c r="D947">
        <v>326</v>
      </c>
      <c r="E947" t="s">
        <v>1348</v>
      </c>
      <c r="F947" t="s">
        <v>1372</v>
      </c>
      <c r="G947" t="str">
        <f t="shared" si="28"/>
        <v>2051FY20</v>
      </c>
      <c r="H947" t="str">
        <f t="shared" si="29"/>
        <v>FY2020 Dec</v>
      </c>
    </row>
    <row r="948" spans="1:8" x14ac:dyDescent="0.35">
      <c r="A948" t="s">
        <v>1352</v>
      </c>
      <c r="B948" t="s">
        <v>442</v>
      </c>
      <c r="C948">
        <v>2052</v>
      </c>
      <c r="D948">
        <v>161</v>
      </c>
      <c r="E948" t="s">
        <v>1348</v>
      </c>
      <c r="F948" t="s">
        <v>1372</v>
      </c>
      <c r="G948" t="str">
        <f t="shared" si="28"/>
        <v>2052FY20</v>
      </c>
      <c r="H948" t="str">
        <f t="shared" si="29"/>
        <v>FY2020 Dec</v>
      </c>
    </row>
    <row r="949" spans="1:8" x14ac:dyDescent="0.35">
      <c r="A949" t="s">
        <v>1352</v>
      </c>
      <c r="B949" t="s">
        <v>442</v>
      </c>
      <c r="C949">
        <v>2109</v>
      </c>
      <c r="D949">
        <v>248</v>
      </c>
      <c r="E949" t="s">
        <v>1348</v>
      </c>
      <c r="F949" t="s">
        <v>1356</v>
      </c>
      <c r="G949" t="str">
        <f t="shared" si="28"/>
        <v>2109FY20</v>
      </c>
      <c r="H949" t="str">
        <f t="shared" si="29"/>
        <v>FY2021 Mar</v>
      </c>
    </row>
    <row r="950" spans="1:8" x14ac:dyDescent="0.35">
      <c r="A950" t="s">
        <v>1352</v>
      </c>
      <c r="B950" t="s">
        <v>442</v>
      </c>
      <c r="C950">
        <v>2113</v>
      </c>
      <c r="D950">
        <v>339</v>
      </c>
      <c r="E950" t="s">
        <v>1348</v>
      </c>
      <c r="F950" t="s">
        <v>1356</v>
      </c>
      <c r="G950" t="str">
        <f t="shared" si="28"/>
        <v>2113FY20</v>
      </c>
      <c r="H950" t="str">
        <f t="shared" si="29"/>
        <v>FY2021 Mar</v>
      </c>
    </row>
    <row r="951" spans="1:8" x14ac:dyDescent="0.35">
      <c r="A951" t="s">
        <v>1352</v>
      </c>
      <c r="B951" t="s">
        <v>442</v>
      </c>
      <c r="C951">
        <v>2114</v>
      </c>
      <c r="D951">
        <v>883</v>
      </c>
      <c r="E951" t="s">
        <v>1348</v>
      </c>
      <c r="F951" t="s">
        <v>1357</v>
      </c>
      <c r="G951" t="str">
        <f t="shared" si="28"/>
        <v>2114FY20</v>
      </c>
      <c r="H951" t="str">
        <f t="shared" si="29"/>
        <v>FY2021 Apr</v>
      </c>
    </row>
    <row r="952" spans="1:8" x14ac:dyDescent="0.35">
      <c r="A952" t="s">
        <v>1352</v>
      </c>
      <c r="B952" t="s">
        <v>442</v>
      </c>
      <c r="C952">
        <v>2115</v>
      </c>
      <c r="D952">
        <v>873</v>
      </c>
      <c r="E952" t="s">
        <v>1348</v>
      </c>
      <c r="F952" t="s">
        <v>1357</v>
      </c>
      <c r="G952" t="str">
        <f t="shared" si="28"/>
        <v>2115FY20</v>
      </c>
      <c r="H952" t="str">
        <f t="shared" si="29"/>
        <v>FY2021 Apr</v>
      </c>
    </row>
    <row r="953" spans="1:8" x14ac:dyDescent="0.35">
      <c r="A953" t="s">
        <v>1352</v>
      </c>
      <c r="B953" t="s">
        <v>442</v>
      </c>
      <c r="C953">
        <v>2116</v>
      </c>
      <c r="D953">
        <v>16</v>
      </c>
      <c r="E953" t="s">
        <v>1348</v>
      </c>
      <c r="F953" t="s">
        <v>1357</v>
      </c>
      <c r="G953" t="str">
        <f t="shared" si="28"/>
        <v>2116FY20</v>
      </c>
      <c r="H953" t="str">
        <f t="shared" si="29"/>
        <v>FY2021 Apr</v>
      </c>
    </row>
    <row r="954" spans="1:8" x14ac:dyDescent="0.35">
      <c r="A954" t="s">
        <v>1352</v>
      </c>
      <c r="B954" t="s">
        <v>442</v>
      </c>
      <c r="C954">
        <v>2117</v>
      </c>
      <c r="D954">
        <v>359</v>
      </c>
      <c r="E954" t="s">
        <v>1348</v>
      </c>
      <c r="F954" t="s">
        <v>1357</v>
      </c>
      <c r="G954" t="str">
        <f t="shared" si="28"/>
        <v>2117FY20</v>
      </c>
      <c r="H954" t="str">
        <f t="shared" si="29"/>
        <v>FY2021 Apr</v>
      </c>
    </row>
    <row r="955" spans="1:8" x14ac:dyDescent="0.35">
      <c r="A955" t="s">
        <v>1352</v>
      </c>
      <c r="B955" t="s">
        <v>442</v>
      </c>
      <c r="C955">
        <v>2121</v>
      </c>
      <c r="D955">
        <v>420</v>
      </c>
      <c r="E955" t="s">
        <v>1348</v>
      </c>
      <c r="F955" t="s">
        <v>1358</v>
      </c>
      <c r="G955" t="str">
        <f t="shared" si="28"/>
        <v>2121FY20</v>
      </c>
      <c r="H955" t="str">
        <f t="shared" si="29"/>
        <v>FY2021 May</v>
      </c>
    </row>
    <row r="956" spans="1:8" x14ac:dyDescent="0.35">
      <c r="A956" t="s">
        <v>1352</v>
      </c>
      <c r="B956" t="s">
        <v>442</v>
      </c>
      <c r="C956">
        <v>2122</v>
      </c>
      <c r="D956">
        <v>149</v>
      </c>
      <c r="E956" t="s">
        <v>1348</v>
      </c>
      <c r="F956" t="s">
        <v>1358</v>
      </c>
      <c r="G956" t="str">
        <f t="shared" si="28"/>
        <v>2122FY20</v>
      </c>
      <c r="H956" t="str">
        <f t="shared" si="29"/>
        <v>FY2021 May</v>
      </c>
    </row>
    <row r="957" spans="1:8" x14ac:dyDescent="0.35">
      <c r="A957" t="s">
        <v>1352</v>
      </c>
      <c r="B957" t="s">
        <v>442</v>
      </c>
      <c r="C957">
        <v>2124</v>
      </c>
      <c r="D957">
        <v>274</v>
      </c>
      <c r="E957" t="s">
        <v>1348</v>
      </c>
      <c r="F957" t="s">
        <v>1359</v>
      </c>
      <c r="G957" t="str">
        <f t="shared" si="28"/>
        <v>2124FY20</v>
      </c>
      <c r="H957" t="str">
        <f t="shared" si="29"/>
        <v>FY2021 Jun</v>
      </c>
    </row>
    <row r="958" spans="1:8" x14ac:dyDescent="0.35">
      <c r="A958" t="s">
        <v>1352</v>
      </c>
      <c r="B958" t="s">
        <v>442</v>
      </c>
      <c r="C958">
        <v>2133</v>
      </c>
      <c r="D958">
        <v>210</v>
      </c>
      <c r="E958" t="s">
        <v>1348</v>
      </c>
      <c r="F958" t="s">
        <v>1361</v>
      </c>
      <c r="G958" t="str">
        <f t="shared" si="28"/>
        <v>2133FY20</v>
      </c>
      <c r="H958" t="str">
        <f t="shared" si="29"/>
        <v>FY2021 Aug</v>
      </c>
    </row>
    <row r="959" spans="1:8" x14ac:dyDescent="0.35">
      <c r="A959" t="s">
        <v>1352</v>
      </c>
      <c r="B959" t="s">
        <v>444</v>
      </c>
      <c r="C959">
        <v>2025</v>
      </c>
      <c r="D959">
        <v>50</v>
      </c>
      <c r="E959" t="s">
        <v>1348</v>
      </c>
      <c r="F959" t="s">
        <v>1366</v>
      </c>
      <c r="G959" t="str">
        <f t="shared" si="28"/>
        <v>2025FY20</v>
      </c>
      <c r="H959" t="str">
        <f t="shared" si="29"/>
        <v>FY2020 Jun</v>
      </c>
    </row>
    <row r="960" spans="1:8" x14ac:dyDescent="0.35">
      <c r="A960" t="s">
        <v>1352</v>
      </c>
      <c r="B960" t="s">
        <v>444</v>
      </c>
      <c r="C960">
        <v>2028</v>
      </c>
      <c r="D960">
        <v>70</v>
      </c>
      <c r="E960" t="s">
        <v>1348</v>
      </c>
      <c r="F960" t="s">
        <v>1367</v>
      </c>
      <c r="G960" t="str">
        <f t="shared" si="28"/>
        <v>2028FY20</v>
      </c>
      <c r="H960" t="str">
        <f t="shared" si="29"/>
        <v>FY2020 Jul</v>
      </c>
    </row>
    <row r="961" spans="1:8" x14ac:dyDescent="0.35">
      <c r="A961" t="s">
        <v>1352</v>
      </c>
      <c r="B961" t="s">
        <v>444</v>
      </c>
      <c r="C961">
        <v>2029</v>
      </c>
      <c r="D961">
        <v>1068</v>
      </c>
      <c r="E961" t="s">
        <v>1348</v>
      </c>
      <c r="F961" t="s">
        <v>1367</v>
      </c>
      <c r="G961" t="str">
        <f t="shared" si="28"/>
        <v>2029FY20</v>
      </c>
      <c r="H961" t="str">
        <f t="shared" si="29"/>
        <v>FY2020 Jul</v>
      </c>
    </row>
    <row r="962" spans="1:8" x14ac:dyDescent="0.35">
      <c r="A962" t="s">
        <v>1352</v>
      </c>
      <c r="B962" t="s">
        <v>444</v>
      </c>
      <c r="C962">
        <v>2030</v>
      </c>
      <c r="D962">
        <v>535</v>
      </c>
      <c r="E962" t="s">
        <v>1348</v>
      </c>
      <c r="F962" t="s">
        <v>1367</v>
      </c>
      <c r="G962" t="str">
        <f t="shared" si="28"/>
        <v>2030FY20</v>
      </c>
      <c r="H962" t="str">
        <f t="shared" si="29"/>
        <v>FY2020 Jul</v>
      </c>
    </row>
    <row r="963" spans="1:8" x14ac:dyDescent="0.35">
      <c r="A963" t="s">
        <v>1352</v>
      </c>
      <c r="B963" t="s">
        <v>444</v>
      </c>
      <c r="C963">
        <v>2031</v>
      </c>
      <c r="D963">
        <v>382</v>
      </c>
      <c r="E963" t="s">
        <v>1348</v>
      </c>
      <c r="F963" t="s">
        <v>1368</v>
      </c>
      <c r="G963" t="str">
        <f t="shared" ref="G963:G996" si="30">C963&amp;E963</f>
        <v>2031FY20</v>
      </c>
      <c r="H963" t="str">
        <f t="shared" ref="H963:H996" si="31">E963&amp;F963</f>
        <v>FY2020 Aug</v>
      </c>
    </row>
    <row r="964" spans="1:8" x14ac:dyDescent="0.35">
      <c r="A964" t="s">
        <v>1352</v>
      </c>
      <c r="B964" t="s">
        <v>444</v>
      </c>
      <c r="C964">
        <v>2032</v>
      </c>
      <c r="D964">
        <v>487</v>
      </c>
      <c r="E964" t="s">
        <v>1348</v>
      </c>
      <c r="F964" t="s">
        <v>1368</v>
      </c>
      <c r="G964" t="str">
        <f t="shared" si="30"/>
        <v>2032FY20</v>
      </c>
      <c r="H964" t="str">
        <f t="shared" si="31"/>
        <v>FY2020 Aug</v>
      </c>
    </row>
    <row r="965" spans="1:8" x14ac:dyDescent="0.35">
      <c r="A965" t="s">
        <v>1352</v>
      </c>
      <c r="B965" t="s">
        <v>444</v>
      </c>
      <c r="C965">
        <v>2033</v>
      </c>
      <c r="D965">
        <v>1775</v>
      </c>
      <c r="E965" t="s">
        <v>1348</v>
      </c>
      <c r="F965" t="s">
        <v>1368</v>
      </c>
      <c r="G965" t="str">
        <f t="shared" si="30"/>
        <v>2033FY20</v>
      </c>
      <c r="H965" t="str">
        <f t="shared" si="31"/>
        <v>FY2020 Aug</v>
      </c>
    </row>
    <row r="966" spans="1:8" x14ac:dyDescent="0.35">
      <c r="A966" t="s">
        <v>1352</v>
      </c>
      <c r="B966" t="s">
        <v>444</v>
      </c>
      <c r="C966">
        <v>2034</v>
      </c>
      <c r="D966">
        <v>1869</v>
      </c>
      <c r="E966" t="s">
        <v>1348</v>
      </c>
      <c r="F966" t="s">
        <v>1368</v>
      </c>
      <c r="G966" t="str">
        <f t="shared" si="30"/>
        <v>2034FY20</v>
      </c>
      <c r="H966" t="str">
        <f t="shared" si="31"/>
        <v>FY2020 Aug</v>
      </c>
    </row>
    <row r="967" spans="1:8" x14ac:dyDescent="0.35">
      <c r="A967" t="s">
        <v>1352</v>
      </c>
      <c r="B967" t="s">
        <v>444</v>
      </c>
      <c r="C967">
        <v>2035</v>
      </c>
      <c r="D967">
        <v>1380</v>
      </c>
      <c r="E967" t="s">
        <v>1348</v>
      </c>
      <c r="F967" t="s">
        <v>1368</v>
      </c>
      <c r="G967" t="str">
        <f t="shared" si="30"/>
        <v>2035FY20</v>
      </c>
      <c r="H967" t="str">
        <f t="shared" si="31"/>
        <v>FY2020 Aug</v>
      </c>
    </row>
    <row r="968" spans="1:8" x14ac:dyDescent="0.35">
      <c r="A968" t="s">
        <v>1352</v>
      </c>
      <c r="B968" t="s">
        <v>444</v>
      </c>
      <c r="C968">
        <v>2036</v>
      </c>
      <c r="D968">
        <v>188</v>
      </c>
      <c r="E968" t="s">
        <v>1348</v>
      </c>
      <c r="F968" t="s">
        <v>1369</v>
      </c>
      <c r="G968" t="str">
        <f t="shared" si="30"/>
        <v>2036FY20</v>
      </c>
      <c r="H968" t="str">
        <f t="shared" si="31"/>
        <v>FY2020 Sep</v>
      </c>
    </row>
    <row r="969" spans="1:8" x14ac:dyDescent="0.35">
      <c r="A969" t="s">
        <v>1352</v>
      </c>
      <c r="B969" t="s">
        <v>444</v>
      </c>
      <c r="C969">
        <v>2037</v>
      </c>
      <c r="D969">
        <v>1160</v>
      </c>
      <c r="E969" t="s">
        <v>1348</v>
      </c>
      <c r="F969" t="s">
        <v>1369</v>
      </c>
      <c r="G969" t="str">
        <f t="shared" si="30"/>
        <v>2037FY20</v>
      </c>
      <c r="H969" t="str">
        <f t="shared" si="31"/>
        <v>FY2020 Sep</v>
      </c>
    </row>
    <row r="970" spans="1:8" x14ac:dyDescent="0.35">
      <c r="A970" t="s">
        <v>1352</v>
      </c>
      <c r="B970" t="s">
        <v>444</v>
      </c>
      <c r="C970">
        <v>2039</v>
      </c>
      <c r="D970">
        <v>73</v>
      </c>
      <c r="E970" t="s">
        <v>1348</v>
      </c>
      <c r="F970" t="s">
        <v>1369</v>
      </c>
      <c r="G970" t="str">
        <f t="shared" si="30"/>
        <v>2039FY20</v>
      </c>
      <c r="H970" t="str">
        <f t="shared" si="31"/>
        <v>FY2020 Sep</v>
      </c>
    </row>
    <row r="971" spans="1:8" x14ac:dyDescent="0.35">
      <c r="A971" t="s">
        <v>1352</v>
      </c>
      <c r="B971" t="s">
        <v>444</v>
      </c>
      <c r="C971">
        <v>2040</v>
      </c>
      <c r="D971">
        <v>859</v>
      </c>
      <c r="E971" t="s">
        <v>1348</v>
      </c>
      <c r="F971" t="s">
        <v>1370</v>
      </c>
      <c r="G971" t="str">
        <f t="shared" si="30"/>
        <v>2040FY20</v>
      </c>
      <c r="H971" t="str">
        <f t="shared" si="31"/>
        <v>FY2020 Oct</v>
      </c>
    </row>
    <row r="972" spans="1:8" x14ac:dyDescent="0.35">
      <c r="A972" t="s">
        <v>1352</v>
      </c>
      <c r="B972" t="s">
        <v>444</v>
      </c>
      <c r="C972">
        <v>2041</v>
      </c>
      <c r="D972">
        <v>208</v>
      </c>
      <c r="E972" t="s">
        <v>1348</v>
      </c>
      <c r="F972" t="s">
        <v>1370</v>
      </c>
      <c r="G972" t="str">
        <f t="shared" si="30"/>
        <v>2041FY20</v>
      </c>
      <c r="H972" t="str">
        <f t="shared" si="31"/>
        <v>FY2020 Oct</v>
      </c>
    </row>
    <row r="973" spans="1:8" x14ac:dyDescent="0.35">
      <c r="A973" t="s">
        <v>1352</v>
      </c>
      <c r="B973" t="s">
        <v>444</v>
      </c>
      <c r="C973">
        <v>2042</v>
      </c>
      <c r="D973">
        <v>808</v>
      </c>
      <c r="E973" t="s">
        <v>1348</v>
      </c>
      <c r="F973" t="s">
        <v>1370</v>
      </c>
      <c r="G973" t="str">
        <f t="shared" si="30"/>
        <v>2042FY20</v>
      </c>
      <c r="H973" t="str">
        <f t="shared" si="31"/>
        <v>FY2020 Oct</v>
      </c>
    </row>
    <row r="974" spans="1:8" x14ac:dyDescent="0.35">
      <c r="A974" t="s">
        <v>1352</v>
      </c>
      <c r="B974" t="s">
        <v>444</v>
      </c>
      <c r="C974">
        <v>2043</v>
      </c>
      <c r="D974">
        <v>1155</v>
      </c>
      <c r="E974" t="s">
        <v>1348</v>
      </c>
      <c r="F974" t="s">
        <v>1370</v>
      </c>
      <c r="G974" t="str">
        <f t="shared" si="30"/>
        <v>2043FY20</v>
      </c>
      <c r="H974" t="str">
        <f t="shared" si="31"/>
        <v>FY2020 Oct</v>
      </c>
    </row>
    <row r="975" spans="1:8" x14ac:dyDescent="0.35">
      <c r="A975" t="s">
        <v>1352</v>
      </c>
      <c r="B975" t="s">
        <v>444</v>
      </c>
      <c r="C975">
        <v>2048</v>
      </c>
      <c r="D975">
        <v>267</v>
      </c>
      <c r="E975" t="s">
        <v>1348</v>
      </c>
      <c r="F975" t="s">
        <v>1371</v>
      </c>
      <c r="G975" t="str">
        <f t="shared" si="30"/>
        <v>2048FY20</v>
      </c>
      <c r="H975" t="str">
        <f t="shared" si="31"/>
        <v>FY2020 Nov</v>
      </c>
    </row>
    <row r="976" spans="1:8" x14ac:dyDescent="0.35">
      <c r="A976" t="s">
        <v>1352</v>
      </c>
      <c r="B976" t="s">
        <v>444</v>
      </c>
      <c r="C976">
        <v>2049</v>
      </c>
      <c r="D976">
        <v>282</v>
      </c>
      <c r="E976" t="s">
        <v>1348</v>
      </c>
      <c r="F976" t="s">
        <v>1372</v>
      </c>
      <c r="G976" t="str">
        <f t="shared" si="30"/>
        <v>2049FY20</v>
      </c>
      <c r="H976" t="str">
        <f t="shared" si="31"/>
        <v>FY2020 Dec</v>
      </c>
    </row>
    <row r="977" spans="1:8" x14ac:dyDescent="0.35">
      <c r="A977" t="s">
        <v>1352</v>
      </c>
      <c r="B977" t="s">
        <v>444</v>
      </c>
      <c r="C977">
        <v>2050</v>
      </c>
      <c r="D977">
        <v>1454</v>
      </c>
      <c r="E977" t="s">
        <v>1348</v>
      </c>
      <c r="F977" t="s">
        <v>1372</v>
      </c>
      <c r="G977" t="str">
        <f t="shared" si="30"/>
        <v>2050FY20</v>
      </c>
      <c r="H977" t="str">
        <f t="shared" si="31"/>
        <v>FY2020 Dec</v>
      </c>
    </row>
    <row r="978" spans="1:8" x14ac:dyDescent="0.35">
      <c r="A978" t="s">
        <v>1352</v>
      </c>
      <c r="B978" t="s">
        <v>444</v>
      </c>
      <c r="C978">
        <v>2051</v>
      </c>
      <c r="D978">
        <v>247</v>
      </c>
      <c r="E978" t="s">
        <v>1348</v>
      </c>
      <c r="F978" t="s">
        <v>1372</v>
      </c>
      <c r="G978" t="str">
        <f t="shared" si="30"/>
        <v>2051FY20</v>
      </c>
      <c r="H978" t="str">
        <f t="shared" si="31"/>
        <v>FY2020 Dec</v>
      </c>
    </row>
    <row r="979" spans="1:8" x14ac:dyDescent="0.35">
      <c r="A979" t="s">
        <v>1352</v>
      </c>
      <c r="B979" t="s">
        <v>444</v>
      </c>
      <c r="C979">
        <v>2052</v>
      </c>
      <c r="D979">
        <v>1071</v>
      </c>
      <c r="E979" t="s">
        <v>1348</v>
      </c>
      <c r="F979" t="s">
        <v>1372</v>
      </c>
      <c r="G979" t="str">
        <f t="shared" si="30"/>
        <v>2052FY20</v>
      </c>
      <c r="H979" t="str">
        <f t="shared" si="31"/>
        <v>FY2020 Dec</v>
      </c>
    </row>
    <row r="980" spans="1:8" x14ac:dyDescent="0.35">
      <c r="A980" t="s">
        <v>1352</v>
      </c>
      <c r="B980" t="s">
        <v>444</v>
      </c>
      <c r="C980">
        <v>2053</v>
      </c>
      <c r="D980">
        <v>295</v>
      </c>
      <c r="E980" t="s">
        <v>1348</v>
      </c>
      <c r="F980" t="s">
        <v>1363</v>
      </c>
      <c r="G980" t="str">
        <f t="shared" si="30"/>
        <v>2053FY20</v>
      </c>
      <c r="H980" t="str">
        <f t="shared" si="31"/>
        <v>FY2021 Jan</v>
      </c>
    </row>
    <row r="981" spans="1:8" x14ac:dyDescent="0.35">
      <c r="A981" t="s">
        <v>1352</v>
      </c>
      <c r="B981" t="s">
        <v>444</v>
      </c>
      <c r="C981">
        <v>2101</v>
      </c>
      <c r="D981">
        <v>727</v>
      </c>
      <c r="E981" t="s">
        <v>1348</v>
      </c>
      <c r="F981" t="s">
        <v>1363</v>
      </c>
      <c r="G981" t="str">
        <f t="shared" si="30"/>
        <v>2101FY20</v>
      </c>
      <c r="H981" t="str">
        <f t="shared" si="31"/>
        <v>FY2021 Jan</v>
      </c>
    </row>
    <row r="982" spans="1:8" x14ac:dyDescent="0.35">
      <c r="A982" t="s">
        <v>1352</v>
      </c>
      <c r="B982" t="s">
        <v>444</v>
      </c>
      <c r="C982">
        <v>2102</v>
      </c>
      <c r="D982">
        <v>3</v>
      </c>
      <c r="E982" t="s">
        <v>1348</v>
      </c>
      <c r="F982" t="s">
        <v>1363</v>
      </c>
      <c r="G982" t="str">
        <f t="shared" si="30"/>
        <v>2102FY20</v>
      </c>
      <c r="H982" t="str">
        <f t="shared" si="31"/>
        <v>FY2021 Jan</v>
      </c>
    </row>
    <row r="983" spans="1:8" x14ac:dyDescent="0.35">
      <c r="A983" t="s">
        <v>1352</v>
      </c>
      <c r="B983" t="s">
        <v>444</v>
      </c>
      <c r="C983">
        <v>2103</v>
      </c>
      <c r="D983">
        <v>1162</v>
      </c>
      <c r="E983" t="s">
        <v>1348</v>
      </c>
      <c r="F983" t="s">
        <v>1363</v>
      </c>
      <c r="G983" t="str">
        <f t="shared" si="30"/>
        <v>2103FY20</v>
      </c>
      <c r="H983" t="str">
        <f t="shared" si="31"/>
        <v>FY2021 Jan</v>
      </c>
    </row>
    <row r="984" spans="1:8" x14ac:dyDescent="0.35">
      <c r="A984" t="s">
        <v>1352</v>
      </c>
      <c r="B984" t="s">
        <v>444</v>
      </c>
      <c r="C984">
        <v>2104</v>
      </c>
      <c r="D984">
        <v>328</v>
      </c>
      <c r="E984" t="s">
        <v>1348</v>
      </c>
      <c r="F984" t="s">
        <v>1363</v>
      </c>
      <c r="G984" t="str">
        <f t="shared" si="30"/>
        <v>2104FY20</v>
      </c>
      <c r="H984" t="str">
        <f t="shared" si="31"/>
        <v>FY2021 Jan</v>
      </c>
    </row>
    <row r="985" spans="1:8" x14ac:dyDescent="0.35">
      <c r="A985" t="s">
        <v>1352</v>
      </c>
      <c r="B985" t="s">
        <v>444</v>
      </c>
      <c r="C985">
        <v>2105</v>
      </c>
      <c r="D985">
        <v>1461</v>
      </c>
      <c r="E985" t="s">
        <v>1348</v>
      </c>
      <c r="F985" t="s">
        <v>1362</v>
      </c>
      <c r="G985" t="str">
        <f t="shared" si="30"/>
        <v>2105FY20</v>
      </c>
      <c r="H985" t="str">
        <f t="shared" si="31"/>
        <v>FY2021 Feb</v>
      </c>
    </row>
    <row r="986" spans="1:8" x14ac:dyDescent="0.35">
      <c r="A986" t="s">
        <v>1352</v>
      </c>
      <c r="B986" t="s">
        <v>444</v>
      </c>
      <c r="C986">
        <v>2106</v>
      </c>
      <c r="D986">
        <v>230</v>
      </c>
      <c r="E986" t="s">
        <v>1348</v>
      </c>
      <c r="F986" t="s">
        <v>1362</v>
      </c>
      <c r="G986" t="str">
        <f t="shared" si="30"/>
        <v>2106FY20</v>
      </c>
      <c r="H986" t="str">
        <f t="shared" si="31"/>
        <v>FY2021 Feb</v>
      </c>
    </row>
    <row r="987" spans="1:8" x14ac:dyDescent="0.35">
      <c r="A987" t="s">
        <v>1352</v>
      </c>
      <c r="B987" t="s">
        <v>444</v>
      </c>
      <c r="C987">
        <v>2107</v>
      </c>
      <c r="D987">
        <v>593</v>
      </c>
      <c r="E987" t="s">
        <v>1348</v>
      </c>
      <c r="F987" t="s">
        <v>1362</v>
      </c>
      <c r="G987" t="str">
        <f t="shared" si="30"/>
        <v>2107FY20</v>
      </c>
      <c r="H987" t="str">
        <f t="shared" si="31"/>
        <v>FY2021 Feb</v>
      </c>
    </row>
    <row r="988" spans="1:8" x14ac:dyDescent="0.35">
      <c r="A988" t="s">
        <v>1352</v>
      </c>
      <c r="B988" t="s">
        <v>444</v>
      </c>
      <c r="C988">
        <v>2108</v>
      </c>
      <c r="D988">
        <v>125</v>
      </c>
      <c r="E988" t="s">
        <v>1348</v>
      </c>
      <c r="F988" t="s">
        <v>1362</v>
      </c>
      <c r="G988" t="str">
        <f t="shared" si="30"/>
        <v>2108FY20</v>
      </c>
      <c r="H988" t="str">
        <f t="shared" si="31"/>
        <v>FY2021 Feb</v>
      </c>
    </row>
    <row r="989" spans="1:8" x14ac:dyDescent="0.35">
      <c r="A989" t="s">
        <v>1352</v>
      </c>
      <c r="B989" t="s">
        <v>444</v>
      </c>
      <c r="C989">
        <v>2109</v>
      </c>
      <c r="D989">
        <v>423</v>
      </c>
      <c r="E989" t="s">
        <v>1348</v>
      </c>
      <c r="F989" t="s">
        <v>1356</v>
      </c>
      <c r="G989" t="str">
        <f t="shared" si="30"/>
        <v>2109FY20</v>
      </c>
      <c r="H989" t="str">
        <f t="shared" si="31"/>
        <v>FY2021 Mar</v>
      </c>
    </row>
    <row r="990" spans="1:8" x14ac:dyDescent="0.35">
      <c r="A990" t="s">
        <v>1352</v>
      </c>
      <c r="B990" t="s">
        <v>444</v>
      </c>
      <c r="C990">
        <v>2110</v>
      </c>
      <c r="D990">
        <v>1289</v>
      </c>
      <c r="E990" t="s">
        <v>1348</v>
      </c>
      <c r="F990" t="s">
        <v>1356</v>
      </c>
      <c r="G990" t="str">
        <f t="shared" si="30"/>
        <v>2110FY20</v>
      </c>
      <c r="H990" t="str">
        <f t="shared" si="31"/>
        <v>FY2021 Mar</v>
      </c>
    </row>
    <row r="991" spans="1:8" x14ac:dyDescent="0.35">
      <c r="A991" t="s">
        <v>1352</v>
      </c>
      <c r="B991" t="s">
        <v>444</v>
      </c>
      <c r="C991">
        <v>2112</v>
      </c>
      <c r="D991">
        <v>460</v>
      </c>
      <c r="E991" t="s">
        <v>1348</v>
      </c>
      <c r="F991" t="s">
        <v>1356</v>
      </c>
      <c r="G991" t="str">
        <f t="shared" si="30"/>
        <v>2112FY20</v>
      </c>
      <c r="H991" t="str">
        <f t="shared" si="31"/>
        <v>FY2021 Mar</v>
      </c>
    </row>
    <row r="992" spans="1:8" x14ac:dyDescent="0.35">
      <c r="A992" t="s">
        <v>1352</v>
      </c>
      <c r="B992" t="s">
        <v>444</v>
      </c>
      <c r="C992">
        <v>2113</v>
      </c>
      <c r="D992">
        <v>163</v>
      </c>
      <c r="E992" t="s">
        <v>1348</v>
      </c>
      <c r="F992" t="s">
        <v>1356</v>
      </c>
      <c r="G992" t="str">
        <f t="shared" si="30"/>
        <v>2113FY20</v>
      </c>
      <c r="H992" t="str">
        <f t="shared" si="31"/>
        <v>FY2021 Mar</v>
      </c>
    </row>
    <row r="993" spans="1:8" x14ac:dyDescent="0.35">
      <c r="A993" t="s">
        <v>1352</v>
      </c>
      <c r="B993" t="s">
        <v>444</v>
      </c>
      <c r="C993">
        <v>2114</v>
      </c>
      <c r="D993">
        <v>576</v>
      </c>
      <c r="E993" t="s">
        <v>1348</v>
      </c>
      <c r="F993" t="s">
        <v>1357</v>
      </c>
      <c r="G993" t="str">
        <f t="shared" si="30"/>
        <v>2114FY20</v>
      </c>
      <c r="H993" t="str">
        <f t="shared" si="31"/>
        <v>FY2021 Apr</v>
      </c>
    </row>
    <row r="994" spans="1:8" x14ac:dyDescent="0.35">
      <c r="A994" t="s">
        <v>1352</v>
      </c>
      <c r="B994" t="s">
        <v>444</v>
      </c>
      <c r="C994">
        <v>2115</v>
      </c>
      <c r="D994">
        <v>411</v>
      </c>
      <c r="E994" t="s">
        <v>1348</v>
      </c>
      <c r="F994" t="s">
        <v>1357</v>
      </c>
      <c r="G994" t="str">
        <f t="shared" si="30"/>
        <v>2115FY20</v>
      </c>
      <c r="H994" t="str">
        <f t="shared" si="31"/>
        <v>FY2021 Apr</v>
      </c>
    </row>
    <row r="995" spans="1:8" x14ac:dyDescent="0.35">
      <c r="A995" t="s">
        <v>1352</v>
      </c>
      <c r="B995" t="s">
        <v>444</v>
      </c>
      <c r="C995">
        <v>2116</v>
      </c>
      <c r="D995">
        <v>250</v>
      </c>
      <c r="E995" t="s">
        <v>1348</v>
      </c>
      <c r="F995" t="s">
        <v>1357</v>
      </c>
      <c r="G995" t="str">
        <f t="shared" si="30"/>
        <v>2116FY20</v>
      </c>
      <c r="H995" t="str">
        <f t="shared" si="31"/>
        <v>FY2021 Apr</v>
      </c>
    </row>
    <row r="996" spans="1:8" x14ac:dyDescent="0.35">
      <c r="A996" t="s">
        <v>1352</v>
      </c>
      <c r="B996" t="s">
        <v>444</v>
      </c>
      <c r="C996">
        <v>2120</v>
      </c>
      <c r="D996">
        <v>50</v>
      </c>
      <c r="E996" t="s">
        <v>1348</v>
      </c>
      <c r="F996" t="s">
        <v>1358</v>
      </c>
      <c r="G996" t="str">
        <f t="shared" si="30"/>
        <v>2120FY20</v>
      </c>
      <c r="H996" t="str">
        <f t="shared" si="31"/>
        <v>FY2021 May</v>
      </c>
    </row>
    <row r="997" spans="1:8" x14ac:dyDescent="0.35">
      <c r="A997" t="s">
        <v>1352</v>
      </c>
      <c r="B997" t="s">
        <v>444</v>
      </c>
      <c r="C997">
        <v>2122</v>
      </c>
      <c r="D997">
        <v>115</v>
      </c>
      <c r="E997" t="s">
        <v>1348</v>
      </c>
      <c r="F997" t="s">
        <v>1358</v>
      </c>
    </row>
    <row r="998" spans="1:8" x14ac:dyDescent="0.35">
      <c r="A998" t="s">
        <v>1352</v>
      </c>
      <c r="B998" t="s">
        <v>444</v>
      </c>
      <c r="C998">
        <v>2124</v>
      </c>
      <c r="D998">
        <v>1</v>
      </c>
      <c r="E998" t="s">
        <v>1348</v>
      </c>
      <c r="F998" t="s">
        <v>1359</v>
      </c>
    </row>
    <row r="999" spans="1:8" x14ac:dyDescent="0.35">
      <c r="A999" t="s">
        <v>1352</v>
      </c>
      <c r="B999" t="s">
        <v>444</v>
      </c>
      <c r="C999">
        <v>2131</v>
      </c>
      <c r="D999">
        <v>16</v>
      </c>
      <c r="E999" t="s">
        <v>1348</v>
      </c>
      <c r="F999" t="s">
        <v>1361</v>
      </c>
    </row>
    <row r="1000" spans="1:8" x14ac:dyDescent="0.35">
      <c r="A1000" t="s">
        <v>1352</v>
      </c>
      <c r="B1000" t="s">
        <v>447</v>
      </c>
      <c r="C1000">
        <v>2030</v>
      </c>
      <c r="D1000">
        <v>10</v>
      </c>
      <c r="E1000" t="s">
        <v>1348</v>
      </c>
      <c r="F1000" t="s">
        <v>1367</v>
      </c>
    </row>
    <row r="1001" spans="1:8" x14ac:dyDescent="0.35">
      <c r="A1001" t="s">
        <v>1352</v>
      </c>
      <c r="B1001" t="s">
        <v>447</v>
      </c>
      <c r="C1001">
        <v>2031</v>
      </c>
      <c r="D1001">
        <v>240</v>
      </c>
      <c r="E1001" t="s">
        <v>1348</v>
      </c>
      <c r="F1001" t="s">
        <v>1368</v>
      </c>
    </row>
    <row r="1002" spans="1:8" x14ac:dyDescent="0.35">
      <c r="A1002" t="s">
        <v>1352</v>
      </c>
      <c r="B1002" t="s">
        <v>447</v>
      </c>
      <c r="C1002">
        <v>2032</v>
      </c>
      <c r="D1002">
        <v>14</v>
      </c>
      <c r="E1002" t="s">
        <v>1348</v>
      </c>
      <c r="F1002" t="s">
        <v>1368</v>
      </c>
    </row>
    <row r="1003" spans="1:8" x14ac:dyDescent="0.35">
      <c r="A1003" t="s">
        <v>1352</v>
      </c>
      <c r="B1003" t="s">
        <v>447</v>
      </c>
      <c r="C1003">
        <v>2036</v>
      </c>
      <c r="D1003">
        <v>5</v>
      </c>
      <c r="E1003" t="s">
        <v>1348</v>
      </c>
      <c r="F1003" t="s">
        <v>1369</v>
      </c>
    </row>
    <row r="1004" spans="1:8" x14ac:dyDescent="0.35">
      <c r="A1004" t="s">
        <v>1352</v>
      </c>
      <c r="B1004" t="s">
        <v>447</v>
      </c>
      <c r="C1004">
        <v>2037</v>
      </c>
      <c r="D1004">
        <v>26</v>
      </c>
      <c r="E1004" t="s">
        <v>1348</v>
      </c>
      <c r="F1004" t="s">
        <v>1369</v>
      </c>
    </row>
    <row r="1005" spans="1:8" x14ac:dyDescent="0.35">
      <c r="A1005" t="s">
        <v>1352</v>
      </c>
      <c r="B1005" t="s">
        <v>447</v>
      </c>
      <c r="C1005">
        <v>2041</v>
      </c>
      <c r="D1005">
        <v>24</v>
      </c>
      <c r="E1005" t="s">
        <v>1348</v>
      </c>
      <c r="F1005" t="s">
        <v>1370</v>
      </c>
    </row>
    <row r="1006" spans="1:8" x14ac:dyDescent="0.35">
      <c r="A1006" t="s">
        <v>1352</v>
      </c>
      <c r="B1006" t="s">
        <v>447</v>
      </c>
      <c r="C1006">
        <v>2049</v>
      </c>
      <c r="D1006">
        <v>22</v>
      </c>
      <c r="E1006" t="s">
        <v>1348</v>
      </c>
      <c r="F1006" t="s">
        <v>1372</v>
      </c>
    </row>
    <row r="1007" spans="1:8" x14ac:dyDescent="0.35">
      <c r="A1007" t="s">
        <v>1352</v>
      </c>
      <c r="B1007" t="s">
        <v>447</v>
      </c>
      <c r="C1007">
        <v>2050</v>
      </c>
      <c r="D1007">
        <v>36</v>
      </c>
      <c r="E1007" t="s">
        <v>1348</v>
      </c>
      <c r="F1007" t="s">
        <v>1372</v>
      </c>
    </row>
    <row r="1008" spans="1:8" x14ac:dyDescent="0.35">
      <c r="A1008" t="s">
        <v>1352</v>
      </c>
      <c r="B1008" t="s">
        <v>447</v>
      </c>
      <c r="C1008">
        <v>2102</v>
      </c>
      <c r="D1008">
        <v>20</v>
      </c>
      <c r="E1008" t="s">
        <v>1348</v>
      </c>
      <c r="F1008" t="s">
        <v>1363</v>
      </c>
    </row>
    <row r="1009" spans="1:6" x14ac:dyDescent="0.35">
      <c r="A1009" t="s">
        <v>1352</v>
      </c>
      <c r="B1009" t="s">
        <v>447</v>
      </c>
      <c r="C1009">
        <v>2107</v>
      </c>
      <c r="D1009">
        <v>13</v>
      </c>
      <c r="E1009" t="s">
        <v>1348</v>
      </c>
      <c r="F1009" t="s">
        <v>1362</v>
      </c>
    </row>
    <row r="1010" spans="1:6" x14ac:dyDescent="0.35">
      <c r="A1010" t="s">
        <v>1352</v>
      </c>
      <c r="B1010" t="s">
        <v>447</v>
      </c>
      <c r="C1010">
        <v>2118</v>
      </c>
      <c r="D1010">
        <v>15</v>
      </c>
      <c r="E1010" t="s">
        <v>1348</v>
      </c>
      <c r="F1010" t="s">
        <v>1358</v>
      </c>
    </row>
    <row r="1011" spans="1:6" x14ac:dyDescent="0.35">
      <c r="A1011" t="s">
        <v>1352</v>
      </c>
      <c r="B1011" t="s">
        <v>447</v>
      </c>
      <c r="C1011">
        <v>2122</v>
      </c>
      <c r="D1011">
        <v>192</v>
      </c>
      <c r="E1011" t="s">
        <v>1348</v>
      </c>
      <c r="F1011" t="s">
        <v>1358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B677-5A62-43D9-A247-7D1AC9E73674}">
  <sheetPr codeName="wsWeekly">
    <tabColor rgb="FF0099FF"/>
  </sheetPr>
  <dimension ref="B1:FE26"/>
  <sheetViews>
    <sheetView zoomScale="70" zoomScaleNormal="70" workbookViewId="0">
      <selection activeCell="C7" sqref="C7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36328125" style="3" customWidth="1"/>
    <col min="4" max="54" width="9.36328125" style="3" bestFit="1" customWidth="1"/>
    <col min="55" max="16384" width="8.81640625" style="3"/>
  </cols>
  <sheetData>
    <row r="1" spans="2:161" s="6" customFormat="1" ht="14" customHeight="1" x14ac:dyDescent="0.35"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</row>
    <row r="2" spans="2:161" s="6" customFormat="1" ht="14" customHeight="1" x14ac:dyDescent="0.35">
      <c r="B2" s="4" t="s">
        <v>410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</row>
    <row r="3" spans="2:161" s="8" customFormat="1" x14ac:dyDescent="0.35">
      <c r="B3" s="19" t="str">
        <f>Report!B2</f>
        <v>FY21</v>
      </c>
      <c r="C3" s="7">
        <v>2001</v>
      </c>
      <c r="D3" s="7">
        <v>2002</v>
      </c>
      <c r="E3" s="7">
        <v>2003</v>
      </c>
      <c r="F3" s="7">
        <v>2004</v>
      </c>
      <c r="G3" s="7">
        <v>2005</v>
      </c>
      <c r="H3" s="7">
        <v>2006</v>
      </c>
      <c r="I3" s="7">
        <v>2007</v>
      </c>
      <c r="J3" s="7">
        <v>2008</v>
      </c>
      <c r="K3" s="7">
        <v>2009</v>
      </c>
      <c r="L3" s="7">
        <v>2010</v>
      </c>
      <c r="M3" s="7">
        <v>2011</v>
      </c>
      <c r="N3" s="7">
        <v>2012</v>
      </c>
      <c r="O3" s="7">
        <v>2013</v>
      </c>
      <c r="P3" s="7">
        <v>2014</v>
      </c>
      <c r="Q3" s="7">
        <v>2015</v>
      </c>
      <c r="R3" s="7">
        <v>2016</v>
      </c>
      <c r="S3" s="7">
        <v>2017</v>
      </c>
      <c r="T3" s="7">
        <v>2018</v>
      </c>
      <c r="U3" s="7">
        <v>2019</v>
      </c>
      <c r="V3" s="7">
        <v>2020</v>
      </c>
      <c r="W3" s="7">
        <v>2021</v>
      </c>
      <c r="X3" s="7">
        <v>2022</v>
      </c>
      <c r="Y3" s="7">
        <v>2023</v>
      </c>
      <c r="Z3" s="7">
        <v>2024</v>
      </c>
      <c r="AA3" s="7">
        <v>2025</v>
      </c>
      <c r="AB3" s="7">
        <v>2026</v>
      </c>
      <c r="AC3" s="7">
        <v>2027</v>
      </c>
      <c r="AD3" s="7">
        <v>2028</v>
      </c>
      <c r="AE3" s="7">
        <v>2029</v>
      </c>
      <c r="AF3" s="7">
        <v>2030</v>
      </c>
      <c r="AG3" s="7">
        <v>2031</v>
      </c>
      <c r="AH3" s="7">
        <v>2032</v>
      </c>
      <c r="AI3" s="7">
        <v>2033</v>
      </c>
      <c r="AJ3" s="7">
        <v>2034</v>
      </c>
      <c r="AK3" s="7">
        <v>2035</v>
      </c>
      <c r="AL3" s="7">
        <v>2036</v>
      </c>
      <c r="AM3" s="7">
        <v>2037</v>
      </c>
      <c r="AN3" s="7">
        <v>2038</v>
      </c>
      <c r="AO3" s="7">
        <v>2039</v>
      </c>
      <c r="AP3" s="7">
        <v>2040</v>
      </c>
      <c r="AQ3" s="7">
        <v>2041</v>
      </c>
      <c r="AR3" s="7">
        <v>2042</v>
      </c>
      <c r="AS3" s="7">
        <v>2043</v>
      </c>
      <c r="AT3" s="7">
        <v>2044</v>
      </c>
      <c r="AU3" s="7">
        <v>2045</v>
      </c>
      <c r="AV3" s="7">
        <v>2046</v>
      </c>
      <c r="AW3" s="7">
        <v>2047</v>
      </c>
      <c r="AX3" s="7">
        <v>2048</v>
      </c>
      <c r="AY3" s="7">
        <v>2049</v>
      </c>
      <c r="AZ3" s="7">
        <v>2050</v>
      </c>
      <c r="BA3" s="7">
        <v>2051</v>
      </c>
      <c r="BB3" s="7">
        <v>2052</v>
      </c>
      <c r="BC3" s="7">
        <v>2053</v>
      </c>
      <c r="BD3" s="7">
        <v>2101</v>
      </c>
      <c r="BE3" s="7">
        <v>2102</v>
      </c>
      <c r="BF3" s="7">
        <v>2103</v>
      </c>
      <c r="BG3" s="7">
        <v>2104</v>
      </c>
      <c r="BH3" s="7">
        <v>2105</v>
      </c>
      <c r="BI3" s="7">
        <v>2106</v>
      </c>
      <c r="BJ3" s="7">
        <v>2107</v>
      </c>
      <c r="BK3" s="7">
        <v>2108</v>
      </c>
      <c r="BL3" s="7">
        <v>2109</v>
      </c>
      <c r="BM3" s="7">
        <v>2110</v>
      </c>
      <c r="BN3" s="7">
        <v>2111</v>
      </c>
      <c r="BO3" s="7">
        <v>2112</v>
      </c>
      <c r="BP3" s="7">
        <v>2113</v>
      </c>
      <c r="BQ3" s="7">
        <v>2114</v>
      </c>
      <c r="BR3" s="7">
        <v>2115</v>
      </c>
      <c r="BS3" s="7">
        <v>2116</v>
      </c>
      <c r="BT3" s="7">
        <v>2117</v>
      </c>
      <c r="BU3" s="7">
        <v>2118</v>
      </c>
      <c r="BV3" s="7">
        <v>2119</v>
      </c>
      <c r="BW3" s="7">
        <v>2120</v>
      </c>
      <c r="BX3" s="7">
        <v>2121</v>
      </c>
      <c r="BY3" s="7">
        <v>2122</v>
      </c>
      <c r="BZ3" s="7">
        <v>2123</v>
      </c>
      <c r="CA3" s="7">
        <v>2124</v>
      </c>
      <c r="CB3" s="7">
        <v>2125</v>
      </c>
      <c r="CC3" s="7">
        <v>2126</v>
      </c>
      <c r="CD3" s="7">
        <v>2127</v>
      </c>
      <c r="CE3" s="7">
        <v>2128</v>
      </c>
      <c r="CF3" s="7">
        <v>2129</v>
      </c>
      <c r="CG3" s="7">
        <v>2130</v>
      </c>
      <c r="CH3" s="7">
        <v>2131</v>
      </c>
      <c r="CI3" s="7">
        <v>2132</v>
      </c>
      <c r="CJ3" s="7">
        <v>2133</v>
      </c>
      <c r="CK3" s="7">
        <v>2134</v>
      </c>
      <c r="CL3" s="7">
        <v>2135</v>
      </c>
      <c r="CM3" s="7">
        <v>2136</v>
      </c>
      <c r="CN3" s="7">
        <v>2137</v>
      </c>
      <c r="CO3" s="7">
        <v>2138</v>
      </c>
      <c r="CP3" s="7">
        <v>2139</v>
      </c>
      <c r="CQ3" s="7">
        <v>2140</v>
      </c>
      <c r="CR3" s="7">
        <v>2141</v>
      </c>
      <c r="CS3" s="7">
        <v>2142</v>
      </c>
      <c r="CT3" s="7">
        <v>2143</v>
      </c>
      <c r="CU3" s="7">
        <v>2144</v>
      </c>
      <c r="CV3" s="7">
        <v>2145</v>
      </c>
      <c r="CW3" s="7">
        <v>2146</v>
      </c>
      <c r="CX3" s="7">
        <v>2147</v>
      </c>
      <c r="CY3" s="7">
        <v>2148</v>
      </c>
      <c r="CZ3" s="7">
        <v>2149</v>
      </c>
      <c r="DA3" s="7">
        <v>2150</v>
      </c>
      <c r="DB3" s="7">
        <v>2151</v>
      </c>
      <c r="DC3" s="7">
        <v>2152</v>
      </c>
      <c r="DD3" s="7">
        <v>2153</v>
      </c>
      <c r="DE3" s="7">
        <v>2201</v>
      </c>
      <c r="DF3" s="7">
        <v>2202</v>
      </c>
      <c r="DG3" s="7">
        <v>2203</v>
      </c>
      <c r="DH3" s="7">
        <v>2204</v>
      </c>
      <c r="DI3" s="7">
        <v>2205</v>
      </c>
      <c r="DJ3" s="7">
        <v>2206</v>
      </c>
      <c r="DK3" s="7">
        <v>2207</v>
      </c>
      <c r="DL3" s="7">
        <v>2208</v>
      </c>
      <c r="DM3" s="7">
        <v>2209</v>
      </c>
      <c r="DN3" s="7">
        <v>2210</v>
      </c>
      <c r="DO3" s="7">
        <v>2211</v>
      </c>
      <c r="DP3" s="7">
        <v>2212</v>
      </c>
      <c r="DQ3" s="7">
        <v>2213</v>
      </c>
      <c r="DR3" s="7">
        <v>2214</v>
      </c>
      <c r="DS3" s="7">
        <v>2215</v>
      </c>
      <c r="DT3" s="7">
        <v>2216</v>
      </c>
      <c r="DU3" s="7">
        <v>2217</v>
      </c>
      <c r="DV3" s="7">
        <v>2218</v>
      </c>
      <c r="DW3" s="7">
        <v>2219</v>
      </c>
      <c r="DX3" s="7">
        <v>2220</v>
      </c>
      <c r="DY3" s="7">
        <v>2221</v>
      </c>
      <c r="DZ3" s="7">
        <v>2222</v>
      </c>
      <c r="EA3" s="7">
        <v>2223</v>
      </c>
      <c r="EB3" s="7">
        <v>2224</v>
      </c>
      <c r="EC3" s="7">
        <v>2225</v>
      </c>
      <c r="ED3" s="7">
        <v>2226</v>
      </c>
      <c r="EE3" s="7">
        <v>2227</v>
      </c>
      <c r="EF3" s="7">
        <v>2228</v>
      </c>
      <c r="EG3" s="7">
        <v>2229</v>
      </c>
      <c r="EH3" s="7">
        <v>2230</v>
      </c>
      <c r="EI3" s="7">
        <v>2231</v>
      </c>
      <c r="EJ3" s="7">
        <v>2232</v>
      </c>
      <c r="EK3" s="7">
        <v>2233</v>
      </c>
      <c r="EL3" s="7">
        <v>2234</v>
      </c>
      <c r="EM3" s="7">
        <v>2235</v>
      </c>
      <c r="EN3" s="7">
        <v>2236</v>
      </c>
      <c r="EO3" s="7">
        <v>2237</v>
      </c>
      <c r="EP3" s="7">
        <v>2238</v>
      </c>
      <c r="EQ3" s="7">
        <v>2239</v>
      </c>
      <c r="ER3" s="7">
        <v>2240</v>
      </c>
      <c r="ES3" s="7">
        <v>2241</v>
      </c>
      <c r="ET3" s="7">
        <v>2242</v>
      </c>
      <c r="EU3" s="7">
        <v>2243</v>
      </c>
      <c r="EV3" s="7">
        <v>2244</v>
      </c>
      <c r="EW3" s="7">
        <v>2245</v>
      </c>
      <c r="EX3" s="7">
        <v>2246</v>
      </c>
      <c r="EY3" s="7">
        <v>2247</v>
      </c>
      <c r="EZ3" s="7">
        <v>2248</v>
      </c>
      <c r="FA3" s="7">
        <v>2249</v>
      </c>
      <c r="FB3" s="7">
        <v>2250</v>
      </c>
      <c r="FC3" s="7">
        <v>2251</v>
      </c>
      <c r="FD3" s="7">
        <v>2252</v>
      </c>
      <c r="FE3" s="7">
        <v>2253</v>
      </c>
    </row>
    <row r="4" spans="2:161" x14ac:dyDescent="0.35">
      <c r="B4" s="2" t="s">
        <v>1376</v>
      </c>
      <c r="C4" s="2">
        <f>SUMIF(inputs!$G:$G,Weekly!C$3&amp;Weekly!$B$3,inputs!$D:$D)</f>
        <v>0</v>
      </c>
      <c r="D4" s="2">
        <f>SUMIF(inputs!$G:$G,Weekly!D$3&amp;Weekly!$B$3,inputs!$D:$D)</f>
        <v>0</v>
      </c>
      <c r="E4" s="2">
        <f>SUMIF(inputs!$G:$G,Weekly!E$3&amp;Weekly!$B$3,inputs!$D:$D)</f>
        <v>0</v>
      </c>
      <c r="F4" s="2">
        <f>SUMIF(inputs!$G:$G,Weekly!F$3&amp;Weekly!$B$3,inputs!$D:$D)</f>
        <v>0</v>
      </c>
      <c r="G4" s="2">
        <f>SUMIF(inputs!$G:$G,Weekly!G$3&amp;Weekly!$B$3,inputs!$D:$D)</f>
        <v>0</v>
      </c>
      <c r="H4" s="2">
        <f>SUMIF(inputs!$G:$G,Weekly!H$3&amp;Weekly!$B$3,inputs!$D:$D)</f>
        <v>0</v>
      </c>
      <c r="I4" s="2">
        <f>SUMIF(inputs!$G:$G,Weekly!I$3&amp;Weekly!$B$3,inputs!$D:$D)</f>
        <v>0</v>
      </c>
      <c r="J4" s="2">
        <f>SUMIF(inputs!$G:$G,Weekly!J$3&amp;Weekly!$B$3,inputs!$D:$D)</f>
        <v>0</v>
      </c>
      <c r="K4" s="2">
        <f>SUMIF(inputs!$G:$G,Weekly!K$3&amp;Weekly!$B$3,inputs!$D:$D)</f>
        <v>0</v>
      </c>
      <c r="L4" s="2">
        <f>SUMIF(inputs!$G:$G,Weekly!L$3&amp;Weekly!$B$3,inputs!$D:$D)</f>
        <v>0</v>
      </c>
      <c r="M4" s="2">
        <f>SUMIF(inputs!$G:$G,Weekly!M$3&amp;Weekly!$B$3,inputs!$D:$D)</f>
        <v>0</v>
      </c>
      <c r="N4" s="2">
        <f>SUMIF(inputs!$G:$G,Weekly!N$3&amp;Weekly!$B$3,inputs!$D:$D)</f>
        <v>0</v>
      </c>
      <c r="O4" s="2">
        <f>SUMIF(inputs!$G:$G,Weekly!O$3&amp;Weekly!$B$3,inputs!$D:$D)</f>
        <v>0</v>
      </c>
      <c r="P4" s="2">
        <f>SUMIF(inputs!$G:$G,Weekly!P$3&amp;Weekly!$B$3,inputs!$D:$D)</f>
        <v>0</v>
      </c>
      <c r="Q4" s="2">
        <f>SUMIF(inputs!$G:$G,Weekly!Q$3&amp;Weekly!$B$3,inputs!$D:$D)</f>
        <v>0</v>
      </c>
      <c r="R4" s="2">
        <f>SUMIF(inputs!$G:$G,Weekly!R$3&amp;Weekly!$B$3,inputs!$D:$D)</f>
        <v>0</v>
      </c>
      <c r="S4" s="2">
        <f>SUMIF(inputs!$G:$G,Weekly!S$3&amp;Weekly!$B$3,inputs!$D:$D)</f>
        <v>0</v>
      </c>
      <c r="T4" s="2">
        <f>SUMIF(inputs!$G:$G,Weekly!T$3&amp;Weekly!$B$3,inputs!$D:$D)</f>
        <v>0</v>
      </c>
      <c r="U4" s="2">
        <f>SUMIF(inputs!$G:$G,Weekly!U$3&amp;Weekly!$B$3,inputs!$D:$D)</f>
        <v>0</v>
      </c>
      <c r="V4" s="2">
        <f>SUMIF(inputs!$G:$G,Weekly!V$3&amp;Weekly!$B$3,inputs!$D:$D)</f>
        <v>0</v>
      </c>
      <c r="W4" s="2">
        <f>SUMIF(inputs!$G:$G,Weekly!W$3&amp;Weekly!$B$3,inputs!$D:$D)</f>
        <v>0</v>
      </c>
      <c r="X4" s="2">
        <f>SUMIF(inputs!$G:$G,Weekly!X$3&amp;Weekly!$B$3,inputs!$D:$D)</f>
        <v>0</v>
      </c>
      <c r="Y4" s="2">
        <f>SUMIF(inputs!$G:$G,Weekly!Y$3&amp;Weekly!$B$3,inputs!$D:$D)</f>
        <v>0</v>
      </c>
      <c r="Z4" s="2">
        <f>SUMIF(inputs!$G:$G,Weekly!Z$3&amp;Weekly!$B$3,inputs!$D:$D)</f>
        <v>0</v>
      </c>
      <c r="AA4" s="2">
        <f>SUMIF(inputs!$G:$G,Weekly!AA$3&amp;Weekly!$B$3,inputs!$D:$D)</f>
        <v>0</v>
      </c>
      <c r="AB4" s="2">
        <f>SUMIF(inputs!$G:$G,Weekly!AB$3&amp;Weekly!$B$3,inputs!$D:$D)</f>
        <v>0</v>
      </c>
      <c r="AC4" s="2">
        <f>SUMIF(inputs!$G:$G,Weekly!AC$3&amp;Weekly!$B$3,inputs!$D:$D)</f>
        <v>0</v>
      </c>
      <c r="AD4" s="2">
        <f>SUMIF(inputs!$G:$G,Weekly!AD$3&amp;Weekly!$B$3,inputs!$D:$D)</f>
        <v>0</v>
      </c>
      <c r="AE4" s="2">
        <f>SUMIF(inputs!$G:$G,Weekly!AE$3&amp;Weekly!$B$3,inputs!$D:$D)</f>
        <v>0</v>
      </c>
      <c r="AF4" s="2">
        <f>SUMIF(inputs!$G:$G,Weekly!AF$3&amp;Weekly!$B$3,inputs!$D:$D)</f>
        <v>0</v>
      </c>
      <c r="AG4" s="2">
        <f>SUMIF(inputs!$G:$G,Weekly!AG$3&amp;Weekly!$B$3,inputs!$D:$D)</f>
        <v>0</v>
      </c>
      <c r="AH4" s="2">
        <f>SUMIF(inputs!$G:$G,Weekly!AH$3&amp;Weekly!$B$3,inputs!$D:$D)</f>
        <v>0</v>
      </c>
      <c r="AI4" s="2">
        <f>SUMIF(inputs!$G:$G,Weekly!AI$3&amp;Weekly!$B$3,inputs!$D:$D)</f>
        <v>0</v>
      </c>
      <c r="AJ4" s="2">
        <f>SUMIF(inputs!$G:$G,Weekly!AJ$3&amp;Weekly!$B$3,inputs!$D:$D)</f>
        <v>0</v>
      </c>
      <c r="AK4" s="2">
        <f>SUMIF(inputs!$G:$G,Weekly!AK$3&amp;Weekly!$B$3,inputs!$D:$D)</f>
        <v>0</v>
      </c>
      <c r="AL4" s="2">
        <f>SUMIF(inputs!$G:$G,Weekly!AL$3&amp;Weekly!$B$3,inputs!$D:$D)</f>
        <v>0</v>
      </c>
      <c r="AM4" s="2">
        <f>SUMIF(inputs!$G:$G,Weekly!AM$3&amp;Weekly!$B$3,inputs!$D:$D)</f>
        <v>0</v>
      </c>
      <c r="AN4" s="2">
        <f>SUMIF(inputs!$G:$G,Weekly!AN$3&amp;Weekly!$B$3,inputs!$D:$D)</f>
        <v>0</v>
      </c>
      <c r="AO4" s="2">
        <f>SUMIF(inputs!$G:$G,Weekly!AO$3&amp;Weekly!$B$3,inputs!$D:$D)</f>
        <v>0</v>
      </c>
      <c r="AP4" s="2">
        <f>SUMIF(inputs!$G:$G,Weekly!AP$3&amp;Weekly!$B$3,inputs!$D:$D)</f>
        <v>0</v>
      </c>
      <c r="AQ4" s="2">
        <f>SUMIF(inputs!$G:$G,Weekly!AQ$3&amp;Weekly!$B$3,inputs!$D:$D)</f>
        <v>0</v>
      </c>
      <c r="AR4" s="2">
        <f>SUMIF(inputs!$G:$G,Weekly!AR$3&amp;Weekly!$B$3,inputs!$D:$D)</f>
        <v>0</v>
      </c>
      <c r="AS4" s="2">
        <f>SUMIF(inputs!$G:$G,Weekly!AS$3&amp;Weekly!$B$3,inputs!$D:$D)</f>
        <v>0</v>
      </c>
      <c r="AT4" s="2">
        <f>SUMIF(inputs!$G:$G,Weekly!AT$3&amp;Weekly!$B$3,inputs!$D:$D)</f>
        <v>0</v>
      </c>
      <c r="AU4" s="2">
        <f>SUMIF(inputs!$G:$G,Weekly!AU$3&amp;Weekly!$B$3,inputs!$D:$D)</f>
        <v>0</v>
      </c>
      <c r="AV4" s="2">
        <f>SUMIF(inputs!$G:$G,Weekly!AV$3&amp;Weekly!$B$3,inputs!$D:$D)</f>
        <v>0</v>
      </c>
      <c r="AW4" s="2">
        <f>SUMIF(inputs!$G:$G,Weekly!AW$3&amp;Weekly!$B$3,inputs!$D:$D)</f>
        <v>0</v>
      </c>
      <c r="AX4" s="2">
        <f>SUMIF(inputs!$G:$G,Weekly!AX$3&amp;Weekly!$B$3,inputs!$D:$D)</f>
        <v>0</v>
      </c>
      <c r="AY4" s="2">
        <f>SUMIF(inputs!$G:$G,Weekly!AY$3&amp;Weekly!$B$3,inputs!$D:$D)</f>
        <v>0</v>
      </c>
      <c r="AZ4" s="2">
        <f>SUMIF(inputs!$G:$G,Weekly!AZ$3&amp;Weekly!$B$3,inputs!$D:$D)</f>
        <v>0</v>
      </c>
      <c r="BA4" s="2">
        <f>SUMIF(inputs!$G:$G,Weekly!BA$3&amp;Weekly!$B$3,inputs!$D:$D)</f>
        <v>0</v>
      </c>
      <c r="BB4" s="2">
        <f>SUMIF(inputs!$G:$G,Weekly!BB$3&amp;Weekly!$B$3,inputs!$D:$D)</f>
        <v>0</v>
      </c>
      <c r="BC4" s="2">
        <f>SUMIF(inputs!$G:$G,Weekly!BC$3&amp;Weekly!$B$3,inputs!$D:$D)</f>
        <v>0</v>
      </c>
      <c r="BD4" s="2">
        <f>SUMIF(inputs!$G:$G,Weekly!BD$3&amp;Weekly!$B$3,inputs!$D:$D)</f>
        <v>0</v>
      </c>
      <c r="BE4" s="2">
        <f>SUMIF(inputs!$G:$G,Weekly!BE$3&amp;Weekly!$B$3,inputs!$D:$D)</f>
        <v>0</v>
      </c>
      <c r="BF4" s="2">
        <f>SUMIF(inputs!$G:$G,Weekly!BF$3&amp;Weekly!$B$3,inputs!$D:$D)</f>
        <v>0</v>
      </c>
      <c r="BG4" s="2">
        <f>SUMIF(inputs!$G:$G,Weekly!BG$3&amp;Weekly!$B$3,inputs!$D:$D)</f>
        <v>0</v>
      </c>
      <c r="BH4" s="2">
        <f>SUMIF(inputs!$G:$G,Weekly!BH$3&amp;Weekly!$B$3,inputs!$D:$D)</f>
        <v>0</v>
      </c>
      <c r="BI4" s="2">
        <f>SUMIF(inputs!$G:$G,Weekly!BI$3&amp;Weekly!$B$3,inputs!$D:$D)</f>
        <v>0</v>
      </c>
      <c r="BJ4" s="2">
        <f>SUMIF(inputs!$G:$G,Weekly!BJ$3&amp;Weekly!$B$3,inputs!$D:$D)</f>
        <v>0</v>
      </c>
      <c r="BK4" s="2">
        <f>SUMIF(inputs!$G:$G,Weekly!BK$3&amp;Weekly!$B$3,inputs!$D:$D)</f>
        <v>2</v>
      </c>
      <c r="BL4" s="2">
        <f>SUMIF(inputs!$G:$G,Weekly!BL$3&amp;Weekly!$B$3,inputs!$D:$D)</f>
        <v>90</v>
      </c>
      <c r="BM4" s="2">
        <f>SUMIF(inputs!$G:$G,Weekly!BM$3&amp;Weekly!$B$3,inputs!$D:$D)</f>
        <v>0</v>
      </c>
      <c r="BN4" s="2">
        <f>SUMIF(inputs!$G:$G,Weekly!BN$3&amp;Weekly!$B$3,inputs!$D:$D)</f>
        <v>596</v>
      </c>
      <c r="BO4" s="2">
        <f>SUMIF(inputs!$G:$G,Weekly!BO$3&amp;Weekly!$B$3,inputs!$D:$D)</f>
        <v>929</v>
      </c>
      <c r="BP4" s="2">
        <f>SUMIF(inputs!$G:$G,Weekly!BP$3&amp;Weekly!$B$3,inputs!$D:$D)</f>
        <v>469</v>
      </c>
      <c r="BQ4" s="2">
        <f>SUMIF(inputs!$G:$G,Weekly!BQ$3&amp;Weekly!$B$3,inputs!$D:$D)</f>
        <v>868</v>
      </c>
      <c r="BR4" s="2">
        <f>SUMIF(inputs!$G:$G,Weekly!BR$3&amp;Weekly!$B$3,inputs!$D:$D)</f>
        <v>1844</v>
      </c>
      <c r="BS4" s="2">
        <f>SUMIF(inputs!$G:$G,Weekly!BS$3&amp;Weekly!$B$3,inputs!$D:$D)</f>
        <v>3004</v>
      </c>
      <c r="BT4" s="2">
        <f>SUMIF(inputs!$G:$G,Weekly!BT$3&amp;Weekly!$B$3,inputs!$D:$D)</f>
        <v>2737</v>
      </c>
      <c r="BU4" s="2">
        <f>SUMIF(inputs!$G:$G,Weekly!BU$3&amp;Weekly!$B$3,inputs!$D:$D)</f>
        <v>4512</v>
      </c>
      <c r="BV4" s="2">
        <f>SUMIF(inputs!$G:$G,Weekly!BV$3&amp;Weekly!$B$3,inputs!$D:$D)</f>
        <v>363</v>
      </c>
      <c r="BW4" s="2">
        <f>SUMIF(inputs!$G:$G,Weekly!BW$3&amp;Weekly!$B$3,inputs!$D:$D)</f>
        <v>5140</v>
      </c>
      <c r="BX4" s="2">
        <f>SUMIF(inputs!$G:$G,Weekly!BX$3&amp;Weekly!$B$3,inputs!$D:$D)</f>
        <v>7912</v>
      </c>
      <c r="BY4" s="2">
        <f>SUMIF(inputs!$G:$G,Weekly!BY$3&amp;Weekly!$B$3,inputs!$D:$D)</f>
        <v>6774</v>
      </c>
      <c r="BZ4" s="2">
        <f>SUMIF(inputs!$G:$G,Weekly!BZ$3&amp;Weekly!$B$3,inputs!$D:$D)</f>
        <v>10572</v>
      </c>
      <c r="CA4" s="2">
        <f>SUMIF(inputs!$G:$G,Weekly!CA$3&amp;Weekly!$B$3,inputs!$D:$D)</f>
        <v>4656</v>
      </c>
      <c r="CB4" s="2">
        <f>SUMIF(inputs!$G:$G,Weekly!CB$3&amp;Weekly!$B$3,inputs!$D:$D)</f>
        <v>4359</v>
      </c>
      <c r="CC4" s="2">
        <f>SUMIF(inputs!$G:$G,Weekly!CC$3&amp;Weekly!$B$3,inputs!$D:$D)</f>
        <v>7004</v>
      </c>
      <c r="CD4" s="2">
        <f>SUMIF(inputs!$G:$G,Weekly!CD$3&amp;Weekly!$B$3,inputs!$D:$D)</f>
        <v>4482</v>
      </c>
      <c r="CE4" s="2">
        <f>SUMIF(inputs!$G:$G,Weekly!CE$3&amp;Weekly!$B$3,inputs!$D:$D)</f>
        <v>8231</v>
      </c>
      <c r="CF4" s="2">
        <f>SUMIF(inputs!$G:$G,Weekly!CF$3&amp;Weekly!$B$3,inputs!$D:$D)</f>
        <v>8815</v>
      </c>
      <c r="CG4" s="2">
        <f>SUMIF(inputs!$G:$G,Weekly!CG$3&amp;Weekly!$B$3,inputs!$D:$D)</f>
        <v>4381</v>
      </c>
      <c r="CH4" s="2">
        <f>SUMIF(inputs!$G:$G,Weekly!CH$3&amp;Weekly!$B$3,inputs!$D:$D)</f>
        <v>3375</v>
      </c>
      <c r="CI4" s="2">
        <f>SUMIF(inputs!$G:$G,Weekly!CI$3&amp;Weekly!$B$3,inputs!$D:$D)</f>
        <v>9308</v>
      </c>
      <c r="CJ4" s="2">
        <f>SUMIF(inputs!$G:$G,Weekly!CJ$3&amp;Weekly!$B$3,inputs!$D:$D)</f>
        <v>10954</v>
      </c>
      <c r="CK4" s="2">
        <f>SUMIF(inputs!$G:$G,Weekly!CK$3&amp;Weekly!$B$3,inputs!$D:$D)</f>
        <v>0</v>
      </c>
      <c r="CL4" s="2">
        <f>SUMIF(inputs!$G:$G,Weekly!CL$3&amp;Weekly!$B$3,inputs!$D:$D)</f>
        <v>0</v>
      </c>
      <c r="CM4" s="2">
        <f>SUMIF(inputs!$G:$G,Weekly!CM$3&amp;Weekly!$B$3,inputs!$D:$D)</f>
        <v>0</v>
      </c>
      <c r="CN4" s="2">
        <f>SUMIF(inputs!$G:$G,Weekly!CN$3&amp;Weekly!$B$3,inputs!$D:$D)</f>
        <v>0</v>
      </c>
      <c r="CO4" s="2">
        <f>SUMIF(inputs!$G:$G,Weekly!CO$3&amp;Weekly!$B$3,inputs!$D:$D)</f>
        <v>0</v>
      </c>
      <c r="CP4" s="2">
        <f>SUMIF(inputs!$G:$G,Weekly!CP$3&amp;Weekly!$B$3,inputs!$D:$D)</f>
        <v>0</v>
      </c>
      <c r="CQ4" s="2">
        <f>SUMIF(inputs!$G:$G,Weekly!CQ$3&amp;Weekly!$B$3,inputs!$D:$D)</f>
        <v>0</v>
      </c>
      <c r="CR4" s="2">
        <f>SUMIF(inputs!$G:$G,Weekly!CR$3&amp;Weekly!$B$3,inputs!$D:$D)</f>
        <v>0</v>
      </c>
      <c r="CS4" s="2">
        <f>SUMIF(inputs!$G:$G,Weekly!CS$3&amp;Weekly!$B$3,inputs!$D:$D)</f>
        <v>0</v>
      </c>
      <c r="CT4" s="2">
        <f>SUMIF(inputs!$G:$G,Weekly!CT$3&amp;Weekly!$B$3,inputs!$D:$D)</f>
        <v>0</v>
      </c>
      <c r="CU4" s="2">
        <f>SUMIF(inputs!$G:$G,Weekly!CU$3&amp;Weekly!$B$3,inputs!$D:$D)</f>
        <v>0</v>
      </c>
      <c r="CV4" s="2">
        <f>SUMIF(inputs!$G:$G,Weekly!CV$3&amp;Weekly!$B$3,inputs!$D:$D)</f>
        <v>0</v>
      </c>
      <c r="CW4" s="2">
        <f>SUMIF(inputs!$G:$G,Weekly!CW$3&amp;Weekly!$B$3,inputs!$D:$D)</f>
        <v>0</v>
      </c>
      <c r="CX4" s="2">
        <f>SUMIF(inputs!$G:$G,Weekly!CX$3&amp;Weekly!$B$3,inputs!$D:$D)</f>
        <v>0</v>
      </c>
      <c r="CY4" s="2">
        <f>SUMIF(inputs!$G:$G,Weekly!CY$3&amp;Weekly!$B$3,inputs!$D:$D)</f>
        <v>0</v>
      </c>
      <c r="CZ4" s="2">
        <f>SUMIF(inputs!$G:$G,Weekly!CZ$3&amp;Weekly!$B$3,inputs!$D:$D)</f>
        <v>0</v>
      </c>
      <c r="DA4" s="2">
        <f>SUMIF(inputs!$G:$G,Weekly!DA$3&amp;Weekly!$B$3,inputs!$D:$D)</f>
        <v>0</v>
      </c>
      <c r="DB4" s="2">
        <f>SUMIF(inputs!$G:$G,Weekly!DB$3&amp;Weekly!$B$3,inputs!$D:$D)</f>
        <v>0</v>
      </c>
      <c r="DC4" s="2">
        <f>SUMIF(inputs!$G:$G,Weekly!DC$3&amp;Weekly!$B$3,inputs!$D:$D)</f>
        <v>0</v>
      </c>
      <c r="DD4" s="2">
        <f>SUMIF(inputs!$G:$G,Weekly!DD$3&amp;Weekly!$B$3,inputs!$D:$D)</f>
        <v>0</v>
      </c>
      <c r="DE4" s="2">
        <f>SUMIF(inputs!$G:$G,Weekly!DE$3&amp;Weekly!$B$3,inputs!$D:$D)</f>
        <v>0</v>
      </c>
      <c r="DF4" s="2">
        <f>SUMIF(inputs!$G:$G,Weekly!DF$3&amp;Weekly!$B$3,inputs!$D:$D)</f>
        <v>0</v>
      </c>
      <c r="DG4" s="2">
        <f>SUMIF(inputs!$G:$G,Weekly!DG$3&amp;Weekly!$B$3,inputs!$D:$D)</f>
        <v>0</v>
      </c>
      <c r="DH4" s="2">
        <f>SUMIF(inputs!$G:$G,Weekly!DH$3&amp;Weekly!$B$3,inputs!$D:$D)</f>
        <v>0</v>
      </c>
      <c r="DI4" s="2">
        <f>SUMIF(inputs!$G:$G,Weekly!DI$3&amp;Weekly!$B$3,inputs!$D:$D)</f>
        <v>0</v>
      </c>
      <c r="DJ4" s="2">
        <f>SUMIF(inputs!$G:$G,Weekly!DJ$3&amp;Weekly!$B$3,inputs!$D:$D)</f>
        <v>0</v>
      </c>
      <c r="DK4" s="2">
        <f>SUMIF(inputs!$G:$G,Weekly!DK$3&amp;Weekly!$B$3,inputs!$D:$D)</f>
        <v>0</v>
      </c>
      <c r="DL4" s="2">
        <f>SUMIF(inputs!$G:$G,Weekly!DL$3&amp;Weekly!$B$3,inputs!$D:$D)</f>
        <v>0</v>
      </c>
      <c r="DM4" s="2">
        <f>SUMIF(inputs!$G:$G,Weekly!DM$3&amp;Weekly!$B$3,inputs!$D:$D)</f>
        <v>0</v>
      </c>
      <c r="DN4" s="2">
        <f>SUMIF(inputs!$G:$G,Weekly!DN$3&amp;Weekly!$B$3,inputs!$D:$D)</f>
        <v>0</v>
      </c>
      <c r="DO4" s="2">
        <f>SUMIF(inputs!$G:$G,Weekly!DO$3&amp;Weekly!$B$3,inputs!$D:$D)</f>
        <v>0</v>
      </c>
      <c r="DP4" s="2">
        <f>SUMIF(inputs!$G:$G,Weekly!DP$3&amp;Weekly!$B$3,inputs!$D:$D)</f>
        <v>0</v>
      </c>
      <c r="DQ4" s="2">
        <f>SUMIF(inputs!$G:$G,Weekly!DQ$3&amp;Weekly!$B$3,inputs!$D:$D)</f>
        <v>0</v>
      </c>
      <c r="DR4" s="2">
        <f>SUMIF(inputs!$G:$G,Weekly!DR$3&amp;Weekly!$B$3,inputs!$D:$D)</f>
        <v>0</v>
      </c>
      <c r="DS4" s="2">
        <f>SUMIF(inputs!$G:$G,Weekly!DS$3&amp;Weekly!$B$3,inputs!$D:$D)</f>
        <v>0</v>
      </c>
      <c r="DT4" s="2">
        <f>SUMIF(inputs!$G:$G,Weekly!DT$3&amp;Weekly!$B$3,inputs!$D:$D)</f>
        <v>0</v>
      </c>
      <c r="DU4" s="2">
        <f>SUMIF(inputs!$G:$G,Weekly!DU$3&amp;Weekly!$B$3,inputs!$D:$D)</f>
        <v>0</v>
      </c>
      <c r="DV4" s="2">
        <f>SUMIF(inputs!$G:$G,Weekly!DV$3&amp;Weekly!$B$3,inputs!$D:$D)</f>
        <v>0</v>
      </c>
      <c r="DW4" s="2">
        <f>SUMIF(inputs!$G:$G,Weekly!DW$3&amp;Weekly!$B$3,inputs!$D:$D)</f>
        <v>0</v>
      </c>
      <c r="DX4" s="2">
        <f>SUMIF(inputs!$G:$G,Weekly!DX$3&amp;Weekly!$B$3,inputs!$D:$D)</f>
        <v>0</v>
      </c>
      <c r="DY4" s="2">
        <f>SUMIF(inputs!$G:$G,Weekly!DY$3&amp;Weekly!$B$3,inputs!$D:$D)</f>
        <v>0</v>
      </c>
      <c r="DZ4" s="2">
        <f>SUMIF(inputs!$G:$G,Weekly!DZ$3&amp;Weekly!$B$3,inputs!$D:$D)</f>
        <v>0</v>
      </c>
      <c r="EA4" s="2">
        <f>SUMIF(inputs!$G:$G,Weekly!EA$3&amp;Weekly!$B$3,inputs!$D:$D)</f>
        <v>0</v>
      </c>
      <c r="EB4" s="2">
        <f>SUMIF(inputs!$G:$G,Weekly!EB$3&amp;Weekly!$B$3,inputs!$D:$D)</f>
        <v>0</v>
      </c>
      <c r="EC4" s="2">
        <f>SUMIF(inputs!$G:$G,Weekly!EC$3&amp;Weekly!$B$3,inputs!$D:$D)</f>
        <v>0</v>
      </c>
      <c r="ED4" s="2">
        <f>SUMIF(inputs!$G:$G,Weekly!ED$3&amp;Weekly!$B$3,inputs!$D:$D)</f>
        <v>0</v>
      </c>
      <c r="EE4" s="2">
        <f>SUMIF(inputs!$G:$G,Weekly!EE$3&amp;Weekly!$B$3,inputs!$D:$D)</f>
        <v>0</v>
      </c>
      <c r="EF4" s="2">
        <f>SUMIF(inputs!$G:$G,Weekly!EF$3&amp;Weekly!$B$3,inputs!$D:$D)</f>
        <v>0</v>
      </c>
      <c r="EG4" s="2">
        <f>SUMIF(inputs!$G:$G,Weekly!EG$3&amp;Weekly!$B$3,inputs!$D:$D)</f>
        <v>0</v>
      </c>
      <c r="EH4" s="2">
        <f>SUMIF(inputs!$G:$G,Weekly!EH$3&amp;Weekly!$B$3,inputs!$D:$D)</f>
        <v>0</v>
      </c>
      <c r="EI4" s="2">
        <f>SUMIF(inputs!$G:$G,Weekly!EI$3&amp;Weekly!$B$3,inputs!$D:$D)</f>
        <v>0</v>
      </c>
      <c r="EJ4" s="2">
        <f>SUMIF(inputs!$G:$G,Weekly!EJ$3&amp;Weekly!$B$3,inputs!$D:$D)</f>
        <v>0</v>
      </c>
      <c r="EK4" s="2">
        <f>SUMIF(inputs!$G:$G,Weekly!EK$3&amp;Weekly!$B$3,inputs!$D:$D)</f>
        <v>0</v>
      </c>
      <c r="EL4" s="2">
        <f>SUMIF(inputs!$G:$G,Weekly!EL$3&amp;Weekly!$B$3,inputs!$D:$D)</f>
        <v>0</v>
      </c>
      <c r="EM4" s="2">
        <f>SUMIF(inputs!$G:$G,Weekly!EM$3&amp;Weekly!$B$3,inputs!$D:$D)</f>
        <v>0</v>
      </c>
      <c r="EN4" s="2">
        <f>SUMIF(inputs!$G:$G,Weekly!EN$3&amp;Weekly!$B$3,inputs!$D:$D)</f>
        <v>0</v>
      </c>
      <c r="EO4" s="2">
        <f>SUMIF(inputs!$G:$G,Weekly!EO$3&amp;Weekly!$B$3,inputs!$D:$D)</f>
        <v>0</v>
      </c>
      <c r="EP4" s="2">
        <f>SUMIF(inputs!$G:$G,Weekly!EP$3&amp;Weekly!$B$3,inputs!$D:$D)</f>
        <v>0</v>
      </c>
      <c r="EQ4" s="2">
        <f>SUMIF(inputs!$G:$G,Weekly!EQ$3&amp;Weekly!$B$3,inputs!$D:$D)</f>
        <v>0</v>
      </c>
      <c r="ER4" s="2">
        <f>SUMIF(inputs!$G:$G,Weekly!ER$3&amp;Weekly!$B$3,inputs!$D:$D)</f>
        <v>0</v>
      </c>
      <c r="ES4" s="2">
        <f>SUMIF(inputs!$G:$G,Weekly!ES$3&amp;Weekly!$B$3,inputs!$D:$D)</f>
        <v>0</v>
      </c>
      <c r="ET4" s="2">
        <f>SUMIF(inputs!$G:$G,Weekly!ET$3&amp;Weekly!$B$3,inputs!$D:$D)</f>
        <v>0</v>
      </c>
      <c r="EU4" s="2">
        <f>SUMIF(inputs!$G:$G,Weekly!EU$3&amp;Weekly!$B$3,inputs!$D:$D)</f>
        <v>0</v>
      </c>
      <c r="EV4" s="2">
        <f>SUMIF(inputs!$G:$G,Weekly!EV$3&amp;Weekly!$B$3,inputs!$D:$D)</f>
        <v>0</v>
      </c>
      <c r="EW4" s="2">
        <f>SUMIF(inputs!$G:$G,Weekly!EW$3&amp;Weekly!$B$3,inputs!$D:$D)</f>
        <v>0</v>
      </c>
      <c r="EX4" s="2">
        <f>SUMIF(inputs!$G:$G,Weekly!EX$3&amp;Weekly!$B$3,inputs!$D:$D)</f>
        <v>0</v>
      </c>
      <c r="EY4" s="2">
        <f>SUMIF(inputs!$G:$G,Weekly!EY$3&amp;Weekly!$B$3,inputs!$D:$D)</f>
        <v>0</v>
      </c>
      <c r="EZ4" s="2">
        <f>SUMIF(inputs!$G:$G,Weekly!EZ$3&amp;Weekly!$B$3,inputs!$D:$D)</f>
        <v>0</v>
      </c>
      <c r="FA4" s="2">
        <f>SUMIF(inputs!$G:$G,Weekly!FA$3&amp;Weekly!$B$3,inputs!$D:$D)</f>
        <v>0</v>
      </c>
      <c r="FB4" s="2">
        <f>SUMIF(inputs!$G:$G,Weekly!FB$3&amp;Weekly!$B$3,inputs!$D:$D)</f>
        <v>0</v>
      </c>
      <c r="FC4" s="2">
        <f>SUMIF(inputs!$G:$G,Weekly!FC$3&amp;Weekly!$B$3,inputs!$D:$D)</f>
        <v>0</v>
      </c>
      <c r="FD4" s="2">
        <f>SUMIF(inputs!$G:$G,Weekly!FD$3&amp;Weekly!$B$3,inputs!$D:$D)</f>
        <v>0</v>
      </c>
      <c r="FE4" s="2">
        <f>SUMIF(inputs!$G:$G,Weekly!FE$3&amp;Weekly!$B$3,inputs!$D:$D)</f>
        <v>0</v>
      </c>
    </row>
    <row r="5" spans="2:161" x14ac:dyDescent="0.35">
      <c r="B5" s="2" t="s">
        <v>1377</v>
      </c>
      <c r="C5" s="2">
        <f>SUM(C7:C25)</f>
        <v>0</v>
      </c>
      <c r="D5" s="2">
        <f t="shared" ref="D5:BO5" si="0">SUM(D7:D25)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SUM(BP7:BP25)</f>
        <v>0</v>
      </c>
      <c r="BQ5" s="2">
        <f t="shared" si="1"/>
        <v>1</v>
      </c>
      <c r="BR5" s="2">
        <f t="shared" si="1"/>
        <v>4</v>
      </c>
      <c r="BS5" s="2">
        <f t="shared" si="1"/>
        <v>1</v>
      </c>
      <c r="BT5" s="2">
        <f t="shared" si="1"/>
        <v>3</v>
      </c>
      <c r="BU5" s="2">
        <f t="shared" si="1"/>
        <v>7</v>
      </c>
      <c r="BV5" s="2">
        <f t="shared" si="1"/>
        <v>0</v>
      </c>
      <c r="BW5" s="2">
        <f t="shared" si="1"/>
        <v>4</v>
      </c>
      <c r="BX5" s="2">
        <f t="shared" si="1"/>
        <v>8</v>
      </c>
      <c r="BY5" s="2">
        <f t="shared" si="1"/>
        <v>7</v>
      </c>
      <c r="BZ5" s="2">
        <f t="shared" si="1"/>
        <v>9</v>
      </c>
      <c r="CA5" s="2">
        <f t="shared" si="1"/>
        <v>4</v>
      </c>
      <c r="CB5" s="2">
        <f t="shared" si="1"/>
        <v>4</v>
      </c>
      <c r="CC5" s="2">
        <f t="shared" si="1"/>
        <v>12</v>
      </c>
      <c r="CD5" s="2">
        <f t="shared" si="1"/>
        <v>7</v>
      </c>
      <c r="CE5" s="2">
        <f t="shared" si="1"/>
        <v>7</v>
      </c>
      <c r="CF5" s="2">
        <f t="shared" si="1"/>
        <v>19</v>
      </c>
      <c r="CG5" s="2">
        <f t="shared" si="1"/>
        <v>12</v>
      </c>
      <c r="CH5" s="2">
        <f t="shared" si="1"/>
        <v>5</v>
      </c>
      <c r="CI5" s="2">
        <f t="shared" si="1"/>
        <v>12</v>
      </c>
      <c r="CJ5" s="2">
        <f t="shared" si="1"/>
        <v>17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SUM(EB7:EB25)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35">
      <c r="B6" s="2" t="s">
        <v>1378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</row>
    <row r="7" spans="2:161" x14ac:dyDescent="0.35">
      <c r="B7" s="2" t="s">
        <v>1379</v>
      </c>
      <c r="C7" s="2">
        <f>COUNTIF(defects!$V:$V,Weekly!C$3&amp;Weekly!$B7&amp;Weekly!$B$3&amp;$B$2)</f>
        <v>0</v>
      </c>
      <c r="D7" s="2">
        <f>COUNTIF(defects!$V:$V,Weekly!D$3&amp;Weekly!$B7&amp;Weekly!$B$3&amp;$B$2)</f>
        <v>0</v>
      </c>
      <c r="E7" s="2">
        <f>COUNTIF(defects!$V:$V,Weekly!E$3&amp;Weekly!$B7&amp;Weekly!$B$3&amp;$B$2)</f>
        <v>0</v>
      </c>
      <c r="F7" s="2">
        <f>COUNTIF(defects!$V:$V,Weekly!F$3&amp;Weekly!$B7&amp;Weekly!$B$3&amp;$B$2)</f>
        <v>0</v>
      </c>
      <c r="G7" s="2">
        <f>COUNTIF(defects!$V:$V,Weekly!G$3&amp;Weekly!$B7&amp;Weekly!$B$3&amp;$B$2)</f>
        <v>0</v>
      </c>
      <c r="H7" s="2">
        <f>COUNTIF(defects!$V:$V,Weekly!H$3&amp;Weekly!$B7&amp;Weekly!$B$3&amp;$B$2)</f>
        <v>0</v>
      </c>
      <c r="I7" s="2">
        <f>COUNTIF(defects!$V:$V,Weekly!I$3&amp;Weekly!$B7&amp;Weekly!$B$3&amp;$B$2)</f>
        <v>0</v>
      </c>
      <c r="J7" s="2">
        <f>COUNTIF(defects!$V:$V,Weekly!J$3&amp;Weekly!$B7&amp;Weekly!$B$3&amp;$B$2)</f>
        <v>0</v>
      </c>
      <c r="K7" s="2">
        <f>COUNTIF(defects!$V:$V,Weekly!K$3&amp;Weekly!$B7&amp;Weekly!$B$3&amp;$B$2)</f>
        <v>0</v>
      </c>
      <c r="L7" s="2">
        <f>COUNTIF(defects!$V:$V,Weekly!L$3&amp;Weekly!$B7&amp;Weekly!$B$3&amp;$B$2)</f>
        <v>0</v>
      </c>
      <c r="M7" s="2">
        <f>COUNTIF(defects!$V:$V,Weekly!M$3&amp;Weekly!$B7&amp;Weekly!$B$3&amp;$B$2)</f>
        <v>0</v>
      </c>
      <c r="N7" s="2">
        <f>COUNTIF(defects!$V:$V,Weekly!N$3&amp;Weekly!$B7&amp;Weekly!$B$3&amp;$B$2)</f>
        <v>0</v>
      </c>
      <c r="O7" s="2">
        <f>COUNTIF(defects!$V:$V,Weekly!O$3&amp;Weekly!$B7&amp;Weekly!$B$3&amp;$B$2)</f>
        <v>0</v>
      </c>
      <c r="P7" s="2">
        <f>COUNTIF(defects!$V:$V,Weekly!P$3&amp;Weekly!$B7&amp;Weekly!$B$3&amp;$B$2)</f>
        <v>0</v>
      </c>
      <c r="Q7" s="2">
        <f>COUNTIF(defects!$V:$V,Weekly!Q$3&amp;Weekly!$B7&amp;Weekly!$B$3&amp;$B$2)</f>
        <v>0</v>
      </c>
      <c r="R7" s="2">
        <f>COUNTIF(defects!$V:$V,Weekly!R$3&amp;Weekly!$B7&amp;Weekly!$B$3&amp;$B$2)</f>
        <v>0</v>
      </c>
      <c r="S7" s="2">
        <f>COUNTIF(defects!$V:$V,Weekly!S$3&amp;Weekly!$B7&amp;Weekly!$B$3&amp;$B$2)</f>
        <v>0</v>
      </c>
      <c r="T7" s="2">
        <f>COUNTIF(defects!$V:$V,Weekly!T$3&amp;Weekly!$B7&amp;Weekly!$B$3&amp;$B$2)</f>
        <v>0</v>
      </c>
      <c r="U7" s="2">
        <f>COUNTIF(defects!$V:$V,Weekly!U$3&amp;Weekly!$B7&amp;Weekly!$B$3&amp;$B$2)</f>
        <v>0</v>
      </c>
      <c r="V7" s="2">
        <f>COUNTIF(defects!$V:$V,Weekly!V$3&amp;Weekly!$B7&amp;Weekly!$B$3&amp;$B$2)</f>
        <v>0</v>
      </c>
      <c r="W7" s="2">
        <f>COUNTIF(defects!$V:$V,Weekly!W$3&amp;Weekly!$B7&amp;Weekly!$B$3&amp;$B$2)</f>
        <v>0</v>
      </c>
      <c r="X7" s="2">
        <f>COUNTIF(defects!$V:$V,Weekly!X$3&amp;Weekly!$B7&amp;Weekly!$B$3&amp;$B$2)</f>
        <v>0</v>
      </c>
      <c r="Y7" s="2">
        <f>COUNTIF(defects!$V:$V,Weekly!Y$3&amp;Weekly!$B7&amp;Weekly!$B$3&amp;$B$2)</f>
        <v>0</v>
      </c>
      <c r="Z7" s="2">
        <f>COUNTIF(defects!$V:$V,Weekly!Z$3&amp;Weekly!$B7&amp;Weekly!$B$3&amp;$B$2)</f>
        <v>0</v>
      </c>
      <c r="AA7" s="2">
        <f>COUNTIF(defects!$V:$V,Weekly!AA$3&amp;Weekly!$B7&amp;Weekly!$B$3&amp;$B$2)</f>
        <v>0</v>
      </c>
      <c r="AB7" s="2">
        <f>COUNTIF(defects!$V:$V,Weekly!AB$3&amp;Weekly!$B7&amp;Weekly!$B$3&amp;$B$2)</f>
        <v>0</v>
      </c>
      <c r="AC7" s="2">
        <f>COUNTIF(defects!$V:$V,Weekly!AC$3&amp;Weekly!$B7&amp;Weekly!$B$3&amp;$B$2)</f>
        <v>0</v>
      </c>
      <c r="AD7" s="2">
        <f>COUNTIF(defects!$V:$V,Weekly!AD$3&amp;Weekly!$B7&amp;Weekly!$B$3&amp;$B$2)</f>
        <v>0</v>
      </c>
      <c r="AE7" s="2">
        <f>COUNTIF(defects!$V:$V,Weekly!AE$3&amp;Weekly!$B7&amp;Weekly!$B$3&amp;$B$2)</f>
        <v>0</v>
      </c>
      <c r="AF7" s="2">
        <f>COUNTIF(defects!$V:$V,Weekly!AF$3&amp;Weekly!$B7&amp;Weekly!$B$3&amp;$B$2)</f>
        <v>0</v>
      </c>
      <c r="AG7" s="2">
        <f>COUNTIF(defects!$V:$V,Weekly!AG$3&amp;Weekly!$B7&amp;Weekly!$B$3&amp;$B$2)</f>
        <v>0</v>
      </c>
      <c r="AH7" s="2">
        <f>COUNTIF(defects!$V:$V,Weekly!AH$3&amp;Weekly!$B7&amp;Weekly!$B$3&amp;$B$2)</f>
        <v>0</v>
      </c>
      <c r="AI7" s="2">
        <f>COUNTIF(defects!$V:$V,Weekly!AI$3&amp;Weekly!$B7&amp;Weekly!$B$3&amp;$B$2)</f>
        <v>0</v>
      </c>
      <c r="AJ7" s="2">
        <f>COUNTIF(defects!$V:$V,Weekly!AJ$3&amp;Weekly!$B7&amp;Weekly!$B$3&amp;$B$2)</f>
        <v>0</v>
      </c>
      <c r="AK7" s="2">
        <f>COUNTIF(defects!$V:$V,Weekly!AK$3&amp;Weekly!$B7&amp;Weekly!$B$3&amp;$B$2)</f>
        <v>0</v>
      </c>
      <c r="AL7" s="2">
        <f>COUNTIF(defects!$V:$V,Weekly!AL$3&amp;Weekly!$B7&amp;Weekly!$B$3&amp;$B$2)</f>
        <v>0</v>
      </c>
      <c r="AM7" s="2">
        <f>COUNTIF(defects!$V:$V,Weekly!AM$3&amp;Weekly!$B7&amp;Weekly!$B$3&amp;$B$2)</f>
        <v>0</v>
      </c>
      <c r="AN7" s="2">
        <f>COUNTIF(defects!$V:$V,Weekly!AN$3&amp;Weekly!$B7&amp;Weekly!$B$3&amp;$B$2)</f>
        <v>0</v>
      </c>
      <c r="AO7" s="2">
        <f>COUNTIF(defects!$V:$V,Weekly!AO$3&amp;Weekly!$B7&amp;Weekly!$B$3&amp;$B$2)</f>
        <v>0</v>
      </c>
      <c r="AP7" s="2">
        <f>COUNTIF(defects!$V:$V,Weekly!AP$3&amp;Weekly!$B7&amp;Weekly!$B$3&amp;$B$2)</f>
        <v>0</v>
      </c>
      <c r="AQ7" s="2">
        <f>COUNTIF(defects!$V:$V,Weekly!AQ$3&amp;Weekly!$B7&amp;Weekly!$B$3&amp;$B$2)</f>
        <v>0</v>
      </c>
      <c r="AR7" s="2">
        <f>COUNTIF(defects!$V:$V,Weekly!AR$3&amp;Weekly!$B7&amp;Weekly!$B$3&amp;$B$2)</f>
        <v>0</v>
      </c>
      <c r="AS7" s="2">
        <f>COUNTIF(defects!$V:$V,Weekly!AS$3&amp;Weekly!$B7&amp;Weekly!$B$3&amp;$B$2)</f>
        <v>0</v>
      </c>
      <c r="AT7" s="2">
        <f>COUNTIF(defects!$V:$V,Weekly!AT$3&amp;Weekly!$B7&amp;Weekly!$B$3&amp;$B$2)</f>
        <v>0</v>
      </c>
      <c r="AU7" s="2">
        <f>COUNTIF(defects!$V:$V,Weekly!AU$3&amp;Weekly!$B7&amp;Weekly!$B$3&amp;$B$2)</f>
        <v>0</v>
      </c>
      <c r="AV7" s="2">
        <f>COUNTIF(defects!$V:$V,Weekly!AV$3&amp;Weekly!$B7&amp;Weekly!$B$3&amp;$B$2)</f>
        <v>0</v>
      </c>
      <c r="AW7" s="2">
        <f>COUNTIF(defects!$V:$V,Weekly!AW$3&amp;Weekly!$B7&amp;Weekly!$B$3&amp;$B$2)</f>
        <v>0</v>
      </c>
      <c r="AX7" s="2">
        <f>COUNTIF(defects!$V:$V,Weekly!AX$3&amp;Weekly!$B7&amp;Weekly!$B$3&amp;$B$2)</f>
        <v>0</v>
      </c>
      <c r="AY7" s="2">
        <f>COUNTIF(defects!$V:$V,Weekly!AY$3&amp;Weekly!$B7&amp;Weekly!$B$3&amp;$B$2)</f>
        <v>0</v>
      </c>
      <c r="AZ7" s="2">
        <f>COUNTIF(defects!$V:$V,Weekly!AZ$3&amp;Weekly!$B7&amp;Weekly!$B$3&amp;$B$2)</f>
        <v>0</v>
      </c>
      <c r="BA7" s="2">
        <f>COUNTIF(defects!$V:$V,Weekly!BA$3&amp;Weekly!$B7&amp;Weekly!$B$3&amp;$B$2)</f>
        <v>0</v>
      </c>
      <c r="BB7" s="2">
        <f>COUNTIF(defects!$V:$V,Weekly!BB$3&amp;Weekly!$B7&amp;Weekly!$B$3&amp;$B$2)</f>
        <v>0</v>
      </c>
      <c r="BC7" s="2">
        <f>COUNTIF(defects!$V:$V,Weekly!BC$3&amp;Weekly!$B7&amp;Weekly!$B$3&amp;$B$2)</f>
        <v>0</v>
      </c>
      <c r="BD7" s="2">
        <f>COUNTIF(defects!$V:$V,Weekly!BD$3&amp;Weekly!$B7&amp;Weekly!$B$3&amp;$B$2)</f>
        <v>0</v>
      </c>
      <c r="BE7" s="2">
        <f>COUNTIF(defects!$V:$V,Weekly!BE$3&amp;Weekly!$B7&amp;Weekly!$B$3&amp;$B$2)</f>
        <v>0</v>
      </c>
      <c r="BF7" s="2">
        <f>COUNTIF(defects!$V:$V,Weekly!BF$3&amp;Weekly!$B7&amp;Weekly!$B$3&amp;$B$2)</f>
        <v>0</v>
      </c>
      <c r="BG7" s="2">
        <f>COUNTIF(defects!$V:$V,Weekly!BG$3&amp;Weekly!$B7&amp;Weekly!$B$3&amp;$B$2)</f>
        <v>0</v>
      </c>
      <c r="BH7" s="2">
        <f>COUNTIF(defects!$V:$V,Weekly!BH$3&amp;Weekly!$B7&amp;Weekly!$B$3&amp;$B$2)</f>
        <v>0</v>
      </c>
      <c r="BI7" s="2">
        <f>COUNTIF(defects!$V:$V,Weekly!BI$3&amp;Weekly!$B7&amp;Weekly!$B$3&amp;$B$2)</f>
        <v>0</v>
      </c>
      <c r="BJ7" s="2">
        <f>COUNTIF(defects!$V:$V,Weekly!BJ$3&amp;Weekly!$B7&amp;Weekly!$B$3&amp;$B$2)</f>
        <v>0</v>
      </c>
      <c r="BK7" s="2">
        <f>COUNTIF(defects!$V:$V,Weekly!BK$3&amp;Weekly!$B7&amp;Weekly!$B$3&amp;$B$2)</f>
        <v>0</v>
      </c>
      <c r="BL7" s="2">
        <f>COUNTIF(defects!$V:$V,Weekly!BL$3&amp;Weekly!$B7&amp;Weekly!$B$3&amp;$B$2)</f>
        <v>0</v>
      </c>
      <c r="BM7" s="2">
        <f>COUNTIF(defects!$V:$V,Weekly!BM$3&amp;Weekly!$B7&amp;Weekly!$B$3&amp;$B$2)</f>
        <v>0</v>
      </c>
      <c r="BN7" s="2">
        <f>COUNTIF(defects!$V:$V,Weekly!BN$3&amp;Weekly!$B7&amp;Weekly!$B$3&amp;$B$2)</f>
        <v>0</v>
      </c>
      <c r="BO7" s="2">
        <f>COUNTIF(defects!$V:$V,Weekly!BO$3&amp;Weekly!$B7&amp;Weekly!$B$3&amp;$B$2)</f>
        <v>0</v>
      </c>
      <c r="BP7" s="2">
        <f>COUNTIF(defects!$V:$V,Weekly!BP$3&amp;Weekly!$B7&amp;Weekly!$B$3&amp;$B$2)</f>
        <v>0</v>
      </c>
      <c r="BQ7" s="2">
        <f>COUNTIF(defects!$V:$V,Weekly!BQ$3&amp;Weekly!$B7&amp;Weekly!$B$3&amp;$B$2)</f>
        <v>0</v>
      </c>
      <c r="BR7" s="2">
        <f>COUNTIF(defects!$V:$V,Weekly!BR$3&amp;Weekly!$B7&amp;Weekly!$B$3&amp;$B$2)</f>
        <v>0</v>
      </c>
      <c r="BS7" s="2">
        <f>COUNTIF(defects!$V:$V,Weekly!BS$3&amp;Weekly!$B7&amp;Weekly!$B$3&amp;$B$2)</f>
        <v>0</v>
      </c>
      <c r="BT7" s="2">
        <f>COUNTIF(defects!$V:$V,Weekly!BT$3&amp;Weekly!$B7&amp;Weekly!$B$3&amp;$B$2)</f>
        <v>0</v>
      </c>
      <c r="BU7" s="2">
        <f>COUNTIF(defects!$V:$V,Weekly!BU$3&amp;Weekly!$B7&amp;Weekly!$B$3&amp;$B$2)</f>
        <v>0</v>
      </c>
      <c r="BV7" s="2">
        <f>COUNTIF(defects!$V:$V,Weekly!BV$3&amp;Weekly!$B7&amp;Weekly!$B$3&amp;$B$2)</f>
        <v>0</v>
      </c>
      <c r="BW7" s="2">
        <f>COUNTIF(defects!$V:$V,Weekly!BW$3&amp;Weekly!$B7&amp;Weekly!$B$3&amp;$B$2)</f>
        <v>0</v>
      </c>
      <c r="BX7" s="2">
        <f>COUNTIF(defects!$V:$V,Weekly!BX$3&amp;Weekly!$B7&amp;Weekly!$B$3&amp;$B$2)</f>
        <v>0</v>
      </c>
      <c r="BY7" s="2">
        <f>COUNTIF(defects!$V:$V,Weekly!BY$3&amp;Weekly!$B7&amp;Weekly!$B$3&amp;$B$2)</f>
        <v>0</v>
      </c>
      <c r="BZ7" s="2">
        <f>COUNTIF(defects!$V:$V,Weekly!BZ$3&amp;Weekly!$B7&amp;Weekly!$B$3&amp;$B$2)</f>
        <v>0</v>
      </c>
      <c r="CA7" s="2">
        <f>COUNTIF(defects!$V:$V,Weekly!CA$3&amp;Weekly!$B7&amp;Weekly!$B$3&amp;$B$2)</f>
        <v>0</v>
      </c>
      <c r="CB7" s="2">
        <f>COUNTIF(defects!$V:$V,Weekly!CB$3&amp;Weekly!$B7&amp;Weekly!$B$3&amp;$B$2)</f>
        <v>0</v>
      </c>
      <c r="CC7" s="2">
        <f>COUNTIF(defects!$V:$V,Weekly!CC$3&amp;Weekly!$B7&amp;Weekly!$B$3&amp;$B$2)</f>
        <v>0</v>
      </c>
      <c r="CD7" s="2">
        <f>COUNTIF(defects!$V:$V,Weekly!CD$3&amp;Weekly!$B7&amp;Weekly!$B$3&amp;$B$2)</f>
        <v>0</v>
      </c>
      <c r="CE7" s="2">
        <f>COUNTIF(defects!$V:$V,Weekly!CE$3&amp;Weekly!$B7&amp;Weekly!$B$3&amp;$B$2)</f>
        <v>0</v>
      </c>
      <c r="CF7" s="2">
        <f>COUNTIF(defects!$V:$V,Weekly!CF$3&amp;Weekly!$B7&amp;Weekly!$B$3&amp;$B$2)</f>
        <v>0</v>
      </c>
      <c r="CG7" s="2">
        <f>COUNTIF(defects!$V:$V,Weekly!CG$3&amp;Weekly!$B7&amp;Weekly!$B$3&amp;$B$2)</f>
        <v>0</v>
      </c>
      <c r="CH7" s="2">
        <f>COUNTIF(defects!$V:$V,Weekly!CH$3&amp;Weekly!$B7&amp;Weekly!$B$3&amp;$B$2)</f>
        <v>0</v>
      </c>
      <c r="CI7" s="2">
        <f>COUNTIF(defects!$V:$V,Weekly!CI$3&amp;Weekly!$B7&amp;Weekly!$B$3&amp;$B$2)</f>
        <v>0</v>
      </c>
      <c r="CJ7" s="2">
        <f>COUNTIF(defects!$V:$V,Weekly!CJ$3&amp;Weekly!$B7&amp;Weekly!$B$3&amp;$B$2)</f>
        <v>0</v>
      </c>
      <c r="CK7" s="2">
        <f>COUNTIF(defects!$V:$V,Weekly!CK$3&amp;Weekly!$B7&amp;Weekly!$B$3&amp;$B$2)</f>
        <v>0</v>
      </c>
      <c r="CL7" s="2">
        <f>COUNTIF(defects!$V:$V,Weekly!CL$3&amp;Weekly!$B7&amp;Weekly!$B$3&amp;$B$2)</f>
        <v>0</v>
      </c>
      <c r="CM7" s="2">
        <f>COUNTIF(defects!$V:$V,Weekly!CM$3&amp;Weekly!$B7&amp;Weekly!$B$3&amp;$B$2)</f>
        <v>0</v>
      </c>
      <c r="CN7" s="2">
        <f>COUNTIF(defects!$V:$V,Weekly!CN$3&amp;Weekly!$B7&amp;Weekly!$B$3&amp;$B$2)</f>
        <v>0</v>
      </c>
      <c r="CO7" s="2">
        <f>COUNTIF(defects!$V:$V,Weekly!CO$3&amp;Weekly!$B7&amp;Weekly!$B$3&amp;$B$2)</f>
        <v>0</v>
      </c>
      <c r="CP7" s="2">
        <f>COUNTIF(defects!$V:$V,Weekly!CP$3&amp;Weekly!$B7&amp;Weekly!$B$3&amp;$B$2)</f>
        <v>0</v>
      </c>
      <c r="CQ7" s="2">
        <f>COUNTIF(defects!$V:$V,Weekly!CQ$3&amp;Weekly!$B7&amp;Weekly!$B$3&amp;$B$2)</f>
        <v>0</v>
      </c>
      <c r="CR7" s="2">
        <f>COUNTIF(defects!$V:$V,Weekly!CR$3&amp;Weekly!$B7&amp;Weekly!$B$3&amp;$B$2)</f>
        <v>0</v>
      </c>
      <c r="CS7" s="2">
        <f>COUNTIF(defects!$V:$V,Weekly!CS$3&amp;Weekly!$B7&amp;Weekly!$B$3&amp;$B$2)</f>
        <v>0</v>
      </c>
      <c r="CT7" s="2">
        <f>COUNTIF(defects!$V:$V,Weekly!CT$3&amp;Weekly!$B7&amp;Weekly!$B$3&amp;$B$2)</f>
        <v>0</v>
      </c>
      <c r="CU7" s="2">
        <f>COUNTIF(defects!$V:$V,Weekly!CU$3&amp;Weekly!$B7&amp;Weekly!$B$3&amp;$B$2)</f>
        <v>0</v>
      </c>
      <c r="CV7" s="2">
        <f>COUNTIF(defects!$V:$V,Weekly!CV$3&amp;Weekly!$B7&amp;Weekly!$B$3&amp;$B$2)</f>
        <v>0</v>
      </c>
      <c r="CW7" s="2">
        <f>COUNTIF(defects!$V:$V,Weekly!CW$3&amp;Weekly!$B7&amp;Weekly!$B$3&amp;$B$2)</f>
        <v>0</v>
      </c>
      <c r="CX7" s="2">
        <f>COUNTIF(defects!$V:$V,Weekly!CX$3&amp;Weekly!$B7&amp;Weekly!$B$3&amp;$B$2)</f>
        <v>0</v>
      </c>
      <c r="CY7" s="2">
        <f>COUNTIF(defects!$V:$V,Weekly!CY$3&amp;Weekly!$B7&amp;Weekly!$B$3&amp;$B$2)</f>
        <v>0</v>
      </c>
      <c r="CZ7" s="2">
        <f>COUNTIF(defects!$V:$V,Weekly!CZ$3&amp;Weekly!$B7&amp;Weekly!$B$3&amp;$B$2)</f>
        <v>0</v>
      </c>
      <c r="DA7" s="2">
        <f>COUNTIF(defects!$V:$V,Weekly!DA$3&amp;Weekly!$B7&amp;Weekly!$B$3&amp;$B$2)</f>
        <v>0</v>
      </c>
      <c r="DB7" s="2">
        <f>COUNTIF(defects!$V:$V,Weekly!DB$3&amp;Weekly!$B7&amp;Weekly!$B$3&amp;$B$2)</f>
        <v>0</v>
      </c>
      <c r="DC7" s="2">
        <f>COUNTIF(defects!$V:$V,Weekly!DC$3&amp;Weekly!$B7&amp;Weekly!$B$3&amp;$B$2)</f>
        <v>0</v>
      </c>
      <c r="DD7" s="2">
        <f>COUNTIF(defects!$V:$V,Weekly!DD$3&amp;Weekly!$B7&amp;Weekly!$B$3&amp;$B$2)</f>
        <v>0</v>
      </c>
      <c r="DE7" s="2">
        <f>COUNTIF(defects!$V:$V,Weekly!DE$3&amp;Weekly!$B7&amp;Weekly!$B$3&amp;$B$2)</f>
        <v>0</v>
      </c>
      <c r="DF7" s="2">
        <f>COUNTIF(defects!$V:$V,Weekly!DF$3&amp;Weekly!$B7&amp;Weekly!$B$3&amp;$B$2)</f>
        <v>0</v>
      </c>
      <c r="DG7" s="2">
        <f>COUNTIF(defects!$V:$V,Weekly!DG$3&amp;Weekly!$B7&amp;Weekly!$B$3&amp;$B$2)</f>
        <v>0</v>
      </c>
      <c r="DH7" s="2">
        <f>COUNTIF(defects!$V:$V,Weekly!DH$3&amp;Weekly!$B7&amp;Weekly!$B$3&amp;$B$2)</f>
        <v>0</v>
      </c>
      <c r="DI7" s="2">
        <f>COUNTIF(defects!$V:$V,Weekly!DI$3&amp;Weekly!$B7&amp;Weekly!$B$3&amp;$B$2)</f>
        <v>0</v>
      </c>
      <c r="DJ7" s="2">
        <f>COUNTIF(defects!$V:$V,Weekly!DJ$3&amp;Weekly!$B7&amp;Weekly!$B$3&amp;$B$2)</f>
        <v>0</v>
      </c>
      <c r="DK7" s="2">
        <f>COUNTIF(defects!$V:$V,Weekly!DK$3&amp;Weekly!$B7&amp;Weekly!$B$3&amp;$B$2)</f>
        <v>0</v>
      </c>
      <c r="DL7" s="2">
        <f>COUNTIF(defects!$V:$V,Weekly!DL$3&amp;Weekly!$B7&amp;Weekly!$B$3&amp;$B$2)</f>
        <v>0</v>
      </c>
      <c r="DM7" s="2">
        <f>COUNTIF(defects!$V:$V,Weekly!DM$3&amp;Weekly!$B7&amp;Weekly!$B$3&amp;$B$2)</f>
        <v>0</v>
      </c>
      <c r="DN7" s="2">
        <f>COUNTIF(defects!$V:$V,Weekly!DN$3&amp;Weekly!$B7&amp;Weekly!$B$3&amp;$B$2)</f>
        <v>0</v>
      </c>
      <c r="DO7" s="2">
        <f>COUNTIF(defects!$V:$V,Weekly!DO$3&amp;Weekly!$B7&amp;Weekly!$B$3&amp;$B$2)</f>
        <v>0</v>
      </c>
      <c r="DP7" s="2">
        <f>COUNTIF(defects!$V:$V,Weekly!DP$3&amp;Weekly!$B7&amp;Weekly!$B$3&amp;$B$2)</f>
        <v>0</v>
      </c>
      <c r="DQ7" s="2">
        <f>COUNTIF(defects!$V:$V,Weekly!DQ$3&amp;Weekly!$B7&amp;Weekly!$B$3&amp;$B$2)</f>
        <v>0</v>
      </c>
      <c r="DR7" s="2">
        <f>COUNTIF(defects!$V:$V,Weekly!DR$3&amp;Weekly!$B7&amp;Weekly!$B$3&amp;$B$2)</f>
        <v>0</v>
      </c>
      <c r="DS7" s="2">
        <f>COUNTIF(defects!$V:$V,Weekly!DS$3&amp;Weekly!$B7&amp;Weekly!$B$3&amp;$B$2)</f>
        <v>0</v>
      </c>
      <c r="DT7" s="2">
        <f>COUNTIF(defects!$V:$V,Weekly!DT$3&amp;Weekly!$B7&amp;Weekly!$B$3&amp;$B$2)</f>
        <v>0</v>
      </c>
      <c r="DU7" s="2">
        <f>COUNTIF(defects!$V:$V,Weekly!DU$3&amp;Weekly!$B7&amp;Weekly!$B$3&amp;$B$2)</f>
        <v>0</v>
      </c>
      <c r="DV7" s="2">
        <f>COUNTIF(defects!$V:$V,Weekly!DV$3&amp;Weekly!$B7&amp;Weekly!$B$3&amp;$B$2)</f>
        <v>0</v>
      </c>
      <c r="DW7" s="2">
        <f>COUNTIF(defects!$V:$V,Weekly!DW$3&amp;Weekly!$B7&amp;Weekly!$B$3&amp;$B$2)</f>
        <v>0</v>
      </c>
      <c r="DX7" s="2">
        <f>COUNTIF(defects!$V:$V,Weekly!DX$3&amp;Weekly!$B7&amp;Weekly!$B$3&amp;$B$2)</f>
        <v>0</v>
      </c>
      <c r="DY7" s="2">
        <f>COUNTIF(defects!$V:$V,Weekly!DY$3&amp;Weekly!$B7&amp;Weekly!$B$3&amp;$B$2)</f>
        <v>0</v>
      </c>
      <c r="DZ7" s="2">
        <f>COUNTIF(defects!$V:$V,Weekly!DZ$3&amp;Weekly!$B7&amp;Weekly!$B$3&amp;$B$2)</f>
        <v>0</v>
      </c>
      <c r="EA7" s="2">
        <f>COUNTIF(defects!$V:$V,Weekly!EA$3&amp;Weekly!$B7&amp;Weekly!$B$3&amp;$B$2)</f>
        <v>0</v>
      </c>
      <c r="EB7" s="2">
        <f>COUNTIF(defects!$V:$V,Weekly!EB$3&amp;Weekly!$B7&amp;Weekly!$B$3&amp;$B$2)</f>
        <v>0</v>
      </c>
      <c r="EC7" s="2">
        <f>COUNTIF(defects!$V:$V,Weekly!EC$3&amp;Weekly!$B7&amp;Weekly!$B$3&amp;$B$2)</f>
        <v>0</v>
      </c>
      <c r="ED7" s="2">
        <f>COUNTIF(defects!$V:$V,Weekly!ED$3&amp;Weekly!$B7&amp;Weekly!$B$3&amp;$B$2)</f>
        <v>0</v>
      </c>
      <c r="EE7" s="2">
        <f>COUNTIF(defects!$V:$V,Weekly!EE$3&amp;Weekly!$B7&amp;Weekly!$B$3&amp;$B$2)</f>
        <v>0</v>
      </c>
      <c r="EF7" s="2">
        <f>COUNTIF(defects!$V:$V,Weekly!EF$3&amp;Weekly!$B7&amp;Weekly!$B$3&amp;$B$2)</f>
        <v>0</v>
      </c>
      <c r="EG7" s="2">
        <f>COUNTIF(defects!$V:$V,Weekly!EG$3&amp;Weekly!$B7&amp;Weekly!$B$3&amp;$B$2)</f>
        <v>0</v>
      </c>
      <c r="EH7" s="2">
        <f>COUNTIF(defects!$V:$V,Weekly!EH$3&amp;Weekly!$B7&amp;Weekly!$B$3&amp;$B$2)</f>
        <v>0</v>
      </c>
      <c r="EI7" s="2">
        <f>COUNTIF(defects!$V:$V,Weekly!EI$3&amp;Weekly!$B7&amp;Weekly!$B$3&amp;$B$2)</f>
        <v>0</v>
      </c>
      <c r="EJ7" s="2">
        <f>COUNTIF(defects!$V:$V,Weekly!EJ$3&amp;Weekly!$B7&amp;Weekly!$B$3&amp;$B$2)</f>
        <v>0</v>
      </c>
      <c r="EK7" s="2">
        <f>COUNTIF(defects!$V:$V,Weekly!EK$3&amp;Weekly!$B7&amp;Weekly!$B$3&amp;$B$2)</f>
        <v>0</v>
      </c>
      <c r="EL7" s="2">
        <f>COUNTIF(defects!$V:$V,Weekly!EL$3&amp;Weekly!$B7&amp;Weekly!$B$3&amp;$B$2)</f>
        <v>0</v>
      </c>
      <c r="EM7" s="2">
        <f>COUNTIF(defects!$V:$V,Weekly!EM$3&amp;Weekly!$B7&amp;Weekly!$B$3&amp;$B$2)</f>
        <v>0</v>
      </c>
      <c r="EN7" s="2">
        <f>COUNTIF(defects!$V:$V,Weekly!EN$3&amp;Weekly!$B7&amp;Weekly!$B$3&amp;$B$2)</f>
        <v>0</v>
      </c>
      <c r="EO7" s="2">
        <f>COUNTIF(defects!$V:$V,Weekly!EO$3&amp;Weekly!$B7&amp;Weekly!$B$3&amp;$B$2)</f>
        <v>0</v>
      </c>
      <c r="EP7" s="2">
        <f>COUNTIF(defects!$V:$V,Weekly!EP$3&amp;Weekly!$B7&amp;Weekly!$B$3&amp;$B$2)</f>
        <v>0</v>
      </c>
      <c r="EQ7" s="2">
        <f>COUNTIF(defects!$V:$V,Weekly!EQ$3&amp;Weekly!$B7&amp;Weekly!$B$3&amp;$B$2)</f>
        <v>0</v>
      </c>
      <c r="ER7" s="2">
        <f>COUNTIF(defects!$V:$V,Weekly!ER$3&amp;Weekly!$B7&amp;Weekly!$B$3&amp;$B$2)</f>
        <v>0</v>
      </c>
      <c r="ES7" s="2">
        <f>COUNTIF(defects!$V:$V,Weekly!ES$3&amp;Weekly!$B7&amp;Weekly!$B$3&amp;$B$2)</f>
        <v>0</v>
      </c>
      <c r="ET7" s="2">
        <f>COUNTIF(defects!$V:$V,Weekly!ET$3&amp;Weekly!$B7&amp;Weekly!$B$3&amp;$B$2)</f>
        <v>0</v>
      </c>
      <c r="EU7" s="2">
        <f>COUNTIF(defects!$V:$V,Weekly!EU$3&amp;Weekly!$B7&amp;Weekly!$B$3&amp;$B$2)</f>
        <v>0</v>
      </c>
      <c r="EV7" s="2">
        <f>COUNTIF(defects!$V:$V,Weekly!EV$3&amp;Weekly!$B7&amp;Weekly!$B$3&amp;$B$2)</f>
        <v>0</v>
      </c>
      <c r="EW7" s="2">
        <f>COUNTIF(defects!$V:$V,Weekly!EW$3&amp;Weekly!$B7&amp;Weekly!$B$3&amp;$B$2)</f>
        <v>0</v>
      </c>
      <c r="EX7" s="2">
        <f>COUNTIF(defects!$V:$V,Weekly!EX$3&amp;Weekly!$B7&amp;Weekly!$B$3&amp;$B$2)</f>
        <v>0</v>
      </c>
      <c r="EY7" s="2">
        <f>COUNTIF(defects!$V:$V,Weekly!EY$3&amp;Weekly!$B7&amp;Weekly!$B$3&amp;$B$2)</f>
        <v>0</v>
      </c>
      <c r="EZ7" s="2">
        <f>COUNTIF(defects!$V:$V,Weekly!EZ$3&amp;Weekly!$B7&amp;Weekly!$B$3&amp;$B$2)</f>
        <v>0</v>
      </c>
      <c r="FA7" s="2">
        <f>COUNTIF(defects!$V:$V,Weekly!FA$3&amp;Weekly!$B7&amp;Weekly!$B$3&amp;$B$2)</f>
        <v>0</v>
      </c>
      <c r="FB7" s="2">
        <f>COUNTIF(defects!$V:$V,Weekly!FB$3&amp;Weekly!$B7&amp;Weekly!$B$3&amp;$B$2)</f>
        <v>0</v>
      </c>
      <c r="FC7" s="2">
        <f>COUNTIF(defects!$V:$V,Weekly!FC$3&amp;Weekly!$B7&amp;Weekly!$B$3&amp;$B$2)</f>
        <v>0</v>
      </c>
      <c r="FD7" s="2">
        <f>COUNTIF(defects!$V:$V,Weekly!FD$3&amp;Weekly!$B7&amp;Weekly!$B$3&amp;$B$2)</f>
        <v>0</v>
      </c>
      <c r="FE7" s="2">
        <f>COUNTIF(defects!$V:$V,Weekly!FE$3&amp;Weekly!$B7&amp;Weekly!$B$3&amp;$B$2)</f>
        <v>0</v>
      </c>
    </row>
    <row r="8" spans="2:161" x14ac:dyDescent="0.35">
      <c r="B8" s="2" t="s">
        <v>1344</v>
      </c>
      <c r="C8" s="2">
        <f>COUNTIF(defects!$V:$V,Weekly!C$3&amp;Weekly!$B8&amp;Weekly!$B$3&amp;$B$2)</f>
        <v>0</v>
      </c>
      <c r="D8" s="2">
        <f>COUNTIF(defects!$V:$V,Weekly!D$3&amp;Weekly!$B8&amp;Weekly!$B$3&amp;$B$2)</f>
        <v>0</v>
      </c>
      <c r="E8" s="2">
        <f>COUNTIF(defects!$V:$V,Weekly!E$3&amp;Weekly!$B8&amp;Weekly!$B$3&amp;$B$2)</f>
        <v>0</v>
      </c>
      <c r="F8" s="2">
        <f>COUNTIF(defects!$V:$V,Weekly!F$3&amp;Weekly!$B8&amp;Weekly!$B$3&amp;$B$2)</f>
        <v>0</v>
      </c>
      <c r="G8" s="2">
        <f>COUNTIF(defects!$V:$V,Weekly!G$3&amp;Weekly!$B8&amp;Weekly!$B$3&amp;$B$2)</f>
        <v>0</v>
      </c>
      <c r="H8" s="2">
        <f>COUNTIF(defects!$V:$V,Weekly!H$3&amp;Weekly!$B8&amp;Weekly!$B$3&amp;$B$2)</f>
        <v>0</v>
      </c>
      <c r="I8" s="2">
        <f>COUNTIF(defects!$V:$V,Weekly!I$3&amp;Weekly!$B8&amp;Weekly!$B$3&amp;$B$2)</f>
        <v>0</v>
      </c>
      <c r="J8" s="2">
        <f>COUNTIF(defects!$V:$V,Weekly!J$3&amp;Weekly!$B8&amp;Weekly!$B$3&amp;$B$2)</f>
        <v>0</v>
      </c>
      <c r="K8" s="2">
        <f>COUNTIF(defects!$V:$V,Weekly!K$3&amp;Weekly!$B8&amp;Weekly!$B$3&amp;$B$2)</f>
        <v>0</v>
      </c>
      <c r="L8" s="2">
        <f>COUNTIF(defects!$V:$V,Weekly!L$3&amp;Weekly!$B8&amp;Weekly!$B$3&amp;$B$2)</f>
        <v>0</v>
      </c>
      <c r="M8" s="2">
        <f>COUNTIF(defects!$V:$V,Weekly!M$3&amp;Weekly!$B8&amp;Weekly!$B$3&amp;$B$2)</f>
        <v>0</v>
      </c>
      <c r="N8" s="2">
        <f>COUNTIF(defects!$V:$V,Weekly!N$3&amp;Weekly!$B8&amp;Weekly!$B$3&amp;$B$2)</f>
        <v>0</v>
      </c>
      <c r="O8" s="2">
        <f>COUNTIF(defects!$V:$V,Weekly!O$3&amp;Weekly!$B8&amp;Weekly!$B$3&amp;$B$2)</f>
        <v>0</v>
      </c>
      <c r="P8" s="2">
        <f>COUNTIF(defects!$V:$V,Weekly!P$3&amp;Weekly!$B8&amp;Weekly!$B$3&amp;$B$2)</f>
        <v>0</v>
      </c>
      <c r="Q8" s="2">
        <f>COUNTIF(defects!$V:$V,Weekly!Q$3&amp;Weekly!$B8&amp;Weekly!$B$3&amp;$B$2)</f>
        <v>0</v>
      </c>
      <c r="R8" s="2">
        <f>COUNTIF(defects!$V:$V,Weekly!R$3&amp;Weekly!$B8&amp;Weekly!$B$3&amp;$B$2)</f>
        <v>0</v>
      </c>
      <c r="S8" s="2">
        <f>COUNTIF(defects!$V:$V,Weekly!S$3&amp;Weekly!$B8&amp;Weekly!$B$3&amp;$B$2)</f>
        <v>0</v>
      </c>
      <c r="T8" s="2">
        <f>COUNTIF(defects!$V:$V,Weekly!T$3&amp;Weekly!$B8&amp;Weekly!$B$3&amp;$B$2)</f>
        <v>0</v>
      </c>
      <c r="U8" s="2">
        <f>COUNTIF(defects!$V:$V,Weekly!U$3&amp;Weekly!$B8&amp;Weekly!$B$3&amp;$B$2)</f>
        <v>0</v>
      </c>
      <c r="V8" s="2">
        <f>COUNTIF(defects!$V:$V,Weekly!V$3&amp;Weekly!$B8&amp;Weekly!$B$3&amp;$B$2)</f>
        <v>0</v>
      </c>
      <c r="W8" s="2">
        <f>COUNTIF(defects!$V:$V,Weekly!W$3&amp;Weekly!$B8&amp;Weekly!$B$3&amp;$B$2)</f>
        <v>0</v>
      </c>
      <c r="X8" s="2">
        <f>COUNTIF(defects!$V:$V,Weekly!X$3&amp;Weekly!$B8&amp;Weekly!$B$3&amp;$B$2)</f>
        <v>0</v>
      </c>
      <c r="Y8" s="2">
        <f>COUNTIF(defects!$V:$V,Weekly!Y$3&amp;Weekly!$B8&amp;Weekly!$B$3&amp;$B$2)</f>
        <v>0</v>
      </c>
      <c r="Z8" s="2">
        <f>COUNTIF(defects!$V:$V,Weekly!Z$3&amp;Weekly!$B8&amp;Weekly!$B$3&amp;$B$2)</f>
        <v>0</v>
      </c>
      <c r="AA8" s="2">
        <f>COUNTIF(defects!$V:$V,Weekly!AA$3&amp;Weekly!$B8&amp;Weekly!$B$3&amp;$B$2)</f>
        <v>0</v>
      </c>
      <c r="AB8" s="2">
        <f>COUNTIF(defects!$V:$V,Weekly!AB$3&amp;Weekly!$B8&amp;Weekly!$B$3&amp;$B$2)</f>
        <v>0</v>
      </c>
      <c r="AC8" s="2">
        <f>COUNTIF(defects!$V:$V,Weekly!AC$3&amp;Weekly!$B8&amp;Weekly!$B$3&amp;$B$2)</f>
        <v>0</v>
      </c>
      <c r="AD8" s="2">
        <f>COUNTIF(defects!$V:$V,Weekly!AD$3&amp;Weekly!$B8&amp;Weekly!$B$3&amp;$B$2)</f>
        <v>0</v>
      </c>
      <c r="AE8" s="2">
        <f>COUNTIF(defects!$V:$V,Weekly!AE$3&amp;Weekly!$B8&amp;Weekly!$B$3&amp;$B$2)</f>
        <v>0</v>
      </c>
      <c r="AF8" s="2">
        <f>COUNTIF(defects!$V:$V,Weekly!AF$3&amp;Weekly!$B8&amp;Weekly!$B$3&amp;$B$2)</f>
        <v>0</v>
      </c>
      <c r="AG8" s="2">
        <f>COUNTIF(defects!$V:$V,Weekly!AG$3&amp;Weekly!$B8&amp;Weekly!$B$3&amp;$B$2)</f>
        <v>0</v>
      </c>
      <c r="AH8" s="2">
        <f>COUNTIF(defects!$V:$V,Weekly!AH$3&amp;Weekly!$B8&amp;Weekly!$B$3&amp;$B$2)</f>
        <v>0</v>
      </c>
      <c r="AI8" s="2">
        <f>COUNTIF(defects!$V:$V,Weekly!AI$3&amp;Weekly!$B8&amp;Weekly!$B$3&amp;$B$2)</f>
        <v>0</v>
      </c>
      <c r="AJ8" s="2">
        <f>COUNTIF(defects!$V:$V,Weekly!AJ$3&amp;Weekly!$B8&amp;Weekly!$B$3&amp;$B$2)</f>
        <v>0</v>
      </c>
      <c r="AK8" s="2">
        <f>COUNTIF(defects!$V:$V,Weekly!AK$3&amp;Weekly!$B8&amp;Weekly!$B$3&amp;$B$2)</f>
        <v>0</v>
      </c>
      <c r="AL8" s="2">
        <f>COUNTIF(defects!$V:$V,Weekly!AL$3&amp;Weekly!$B8&amp;Weekly!$B$3&amp;$B$2)</f>
        <v>0</v>
      </c>
      <c r="AM8" s="2">
        <f>COUNTIF(defects!$V:$V,Weekly!AM$3&amp;Weekly!$B8&amp;Weekly!$B$3&amp;$B$2)</f>
        <v>0</v>
      </c>
      <c r="AN8" s="2">
        <f>COUNTIF(defects!$V:$V,Weekly!AN$3&amp;Weekly!$B8&amp;Weekly!$B$3&amp;$B$2)</f>
        <v>0</v>
      </c>
      <c r="AO8" s="2">
        <f>COUNTIF(defects!$V:$V,Weekly!AO$3&amp;Weekly!$B8&amp;Weekly!$B$3&amp;$B$2)</f>
        <v>0</v>
      </c>
      <c r="AP8" s="2">
        <f>COUNTIF(defects!$V:$V,Weekly!AP$3&amp;Weekly!$B8&amp;Weekly!$B$3&amp;$B$2)</f>
        <v>0</v>
      </c>
      <c r="AQ8" s="2">
        <f>COUNTIF(defects!$V:$V,Weekly!AQ$3&amp;Weekly!$B8&amp;Weekly!$B$3&amp;$B$2)</f>
        <v>0</v>
      </c>
      <c r="AR8" s="2">
        <f>COUNTIF(defects!$V:$V,Weekly!AR$3&amp;Weekly!$B8&amp;Weekly!$B$3&amp;$B$2)</f>
        <v>0</v>
      </c>
      <c r="AS8" s="2">
        <f>COUNTIF(defects!$V:$V,Weekly!AS$3&amp;Weekly!$B8&amp;Weekly!$B$3&amp;$B$2)</f>
        <v>0</v>
      </c>
      <c r="AT8" s="2">
        <f>COUNTIF(defects!$V:$V,Weekly!AT$3&amp;Weekly!$B8&amp;Weekly!$B$3&amp;$B$2)</f>
        <v>0</v>
      </c>
      <c r="AU8" s="2">
        <f>COUNTIF(defects!$V:$V,Weekly!AU$3&amp;Weekly!$B8&amp;Weekly!$B$3&amp;$B$2)</f>
        <v>0</v>
      </c>
      <c r="AV8" s="2">
        <f>COUNTIF(defects!$V:$V,Weekly!AV$3&amp;Weekly!$B8&amp;Weekly!$B$3&amp;$B$2)</f>
        <v>0</v>
      </c>
      <c r="AW8" s="2">
        <f>COUNTIF(defects!$V:$V,Weekly!AW$3&amp;Weekly!$B8&amp;Weekly!$B$3&amp;$B$2)</f>
        <v>0</v>
      </c>
      <c r="AX8" s="2">
        <f>COUNTIF(defects!$V:$V,Weekly!AX$3&amp;Weekly!$B8&amp;Weekly!$B$3&amp;$B$2)</f>
        <v>0</v>
      </c>
      <c r="AY8" s="2">
        <f>COUNTIF(defects!$V:$V,Weekly!AY$3&amp;Weekly!$B8&amp;Weekly!$B$3&amp;$B$2)</f>
        <v>0</v>
      </c>
      <c r="AZ8" s="2">
        <f>COUNTIF(defects!$V:$V,Weekly!AZ$3&amp;Weekly!$B8&amp;Weekly!$B$3&amp;$B$2)</f>
        <v>0</v>
      </c>
      <c r="BA8" s="2">
        <f>COUNTIF(defects!$V:$V,Weekly!BA$3&amp;Weekly!$B8&amp;Weekly!$B$3&amp;$B$2)</f>
        <v>0</v>
      </c>
      <c r="BB8" s="2">
        <f>COUNTIF(defects!$V:$V,Weekly!BB$3&amp;Weekly!$B8&amp;Weekly!$B$3&amp;$B$2)</f>
        <v>0</v>
      </c>
      <c r="BC8" s="2">
        <f>COUNTIF(defects!$V:$V,Weekly!BC$3&amp;Weekly!$B8&amp;Weekly!$B$3&amp;$B$2)</f>
        <v>0</v>
      </c>
      <c r="BD8" s="2">
        <f>COUNTIF(defects!$V:$V,Weekly!BD$3&amp;Weekly!$B8&amp;Weekly!$B$3&amp;$B$2)</f>
        <v>0</v>
      </c>
      <c r="BE8" s="2">
        <f>COUNTIF(defects!$V:$V,Weekly!BE$3&amp;Weekly!$B8&amp;Weekly!$B$3&amp;$B$2)</f>
        <v>0</v>
      </c>
      <c r="BF8" s="2">
        <f>COUNTIF(defects!$V:$V,Weekly!BF$3&amp;Weekly!$B8&amp;Weekly!$B$3&amp;$B$2)</f>
        <v>0</v>
      </c>
      <c r="BG8" s="2">
        <f>COUNTIF(defects!$V:$V,Weekly!BG$3&amp;Weekly!$B8&amp;Weekly!$B$3&amp;$B$2)</f>
        <v>0</v>
      </c>
      <c r="BH8" s="2">
        <f>COUNTIF(defects!$V:$V,Weekly!BH$3&amp;Weekly!$B8&amp;Weekly!$B$3&amp;$B$2)</f>
        <v>0</v>
      </c>
      <c r="BI8" s="2">
        <f>COUNTIF(defects!$V:$V,Weekly!BI$3&amp;Weekly!$B8&amp;Weekly!$B$3&amp;$B$2)</f>
        <v>0</v>
      </c>
      <c r="BJ8" s="2">
        <f>COUNTIF(defects!$V:$V,Weekly!BJ$3&amp;Weekly!$B8&amp;Weekly!$B$3&amp;$B$2)</f>
        <v>0</v>
      </c>
      <c r="BK8" s="2">
        <f>COUNTIF(defects!$V:$V,Weekly!BK$3&amp;Weekly!$B8&amp;Weekly!$B$3&amp;$B$2)</f>
        <v>0</v>
      </c>
      <c r="BL8" s="2">
        <f>COUNTIF(defects!$V:$V,Weekly!BL$3&amp;Weekly!$B8&amp;Weekly!$B$3&amp;$B$2)</f>
        <v>0</v>
      </c>
      <c r="BM8" s="2">
        <f>COUNTIF(defects!$V:$V,Weekly!BM$3&amp;Weekly!$B8&amp;Weekly!$B$3&amp;$B$2)</f>
        <v>0</v>
      </c>
      <c r="BN8" s="2">
        <f>COUNTIF(defects!$V:$V,Weekly!BN$3&amp;Weekly!$B8&amp;Weekly!$B$3&amp;$B$2)</f>
        <v>0</v>
      </c>
      <c r="BO8" s="2">
        <f>COUNTIF(defects!$V:$V,Weekly!BO$3&amp;Weekly!$B8&amp;Weekly!$B$3&amp;$B$2)</f>
        <v>0</v>
      </c>
      <c r="BP8" s="2">
        <f>COUNTIF(defects!$V:$V,Weekly!BP$3&amp;Weekly!$B8&amp;Weekly!$B$3&amp;$B$2)</f>
        <v>0</v>
      </c>
      <c r="BQ8" s="2">
        <f>COUNTIF(defects!$V:$V,Weekly!BQ$3&amp;Weekly!$B8&amp;Weekly!$B$3&amp;$B$2)</f>
        <v>0</v>
      </c>
      <c r="BR8" s="2">
        <f>COUNTIF(defects!$V:$V,Weekly!BR$3&amp;Weekly!$B8&amp;Weekly!$B$3&amp;$B$2)</f>
        <v>0</v>
      </c>
      <c r="BS8" s="2">
        <f>COUNTIF(defects!$V:$V,Weekly!BS$3&amp;Weekly!$B8&amp;Weekly!$B$3&amp;$B$2)</f>
        <v>0</v>
      </c>
      <c r="BT8" s="2">
        <f>COUNTIF(defects!$V:$V,Weekly!BT$3&amp;Weekly!$B8&amp;Weekly!$B$3&amp;$B$2)</f>
        <v>0</v>
      </c>
      <c r="BU8" s="2">
        <f>COUNTIF(defects!$V:$V,Weekly!BU$3&amp;Weekly!$B8&amp;Weekly!$B$3&amp;$B$2)</f>
        <v>0</v>
      </c>
      <c r="BV8" s="2">
        <f>COUNTIF(defects!$V:$V,Weekly!BV$3&amp;Weekly!$B8&amp;Weekly!$B$3&amp;$B$2)</f>
        <v>0</v>
      </c>
      <c r="BW8" s="2">
        <f>COUNTIF(defects!$V:$V,Weekly!BW$3&amp;Weekly!$B8&amp;Weekly!$B$3&amp;$B$2)</f>
        <v>0</v>
      </c>
      <c r="BX8" s="2">
        <f>COUNTIF(defects!$V:$V,Weekly!BX$3&amp;Weekly!$B8&amp;Weekly!$B$3&amp;$B$2)</f>
        <v>0</v>
      </c>
      <c r="BY8" s="2">
        <f>COUNTIF(defects!$V:$V,Weekly!BY$3&amp;Weekly!$B8&amp;Weekly!$B$3&amp;$B$2)</f>
        <v>0</v>
      </c>
      <c r="BZ8" s="2">
        <f>COUNTIF(defects!$V:$V,Weekly!BZ$3&amp;Weekly!$B8&amp;Weekly!$B$3&amp;$B$2)</f>
        <v>0</v>
      </c>
      <c r="CA8" s="2">
        <f>COUNTIF(defects!$V:$V,Weekly!CA$3&amp;Weekly!$B8&amp;Weekly!$B$3&amp;$B$2)</f>
        <v>0</v>
      </c>
      <c r="CB8" s="2">
        <f>COUNTIF(defects!$V:$V,Weekly!CB$3&amp;Weekly!$B8&amp;Weekly!$B$3&amp;$B$2)</f>
        <v>0</v>
      </c>
      <c r="CC8" s="2">
        <f>COUNTIF(defects!$V:$V,Weekly!CC$3&amp;Weekly!$B8&amp;Weekly!$B$3&amp;$B$2)</f>
        <v>1</v>
      </c>
      <c r="CD8" s="2">
        <f>COUNTIF(defects!$V:$V,Weekly!CD$3&amp;Weekly!$B8&amp;Weekly!$B$3&amp;$B$2)</f>
        <v>0</v>
      </c>
      <c r="CE8" s="2">
        <f>COUNTIF(defects!$V:$V,Weekly!CE$3&amp;Weekly!$B8&amp;Weekly!$B$3&amp;$B$2)</f>
        <v>0</v>
      </c>
      <c r="CF8" s="2">
        <f>COUNTIF(defects!$V:$V,Weekly!CF$3&amp;Weekly!$B8&amp;Weekly!$B$3&amp;$B$2)</f>
        <v>1</v>
      </c>
      <c r="CG8" s="2">
        <f>COUNTIF(defects!$V:$V,Weekly!CG$3&amp;Weekly!$B8&amp;Weekly!$B$3&amp;$B$2)</f>
        <v>0</v>
      </c>
      <c r="CH8" s="2">
        <f>COUNTIF(defects!$V:$V,Weekly!CH$3&amp;Weekly!$B8&amp;Weekly!$B$3&amp;$B$2)</f>
        <v>0</v>
      </c>
      <c r="CI8" s="2">
        <f>COUNTIF(defects!$V:$V,Weekly!CI$3&amp;Weekly!$B8&amp;Weekly!$B$3&amp;$B$2)</f>
        <v>0</v>
      </c>
      <c r="CJ8" s="2">
        <f>COUNTIF(defects!$V:$V,Weekly!CJ$3&amp;Weekly!$B8&amp;Weekly!$B$3&amp;$B$2)</f>
        <v>0</v>
      </c>
      <c r="CK8" s="2">
        <f>COUNTIF(defects!$V:$V,Weekly!CK$3&amp;Weekly!$B8&amp;Weekly!$B$3&amp;$B$2)</f>
        <v>0</v>
      </c>
      <c r="CL8" s="2">
        <f>COUNTIF(defects!$V:$V,Weekly!CL$3&amp;Weekly!$B8&amp;Weekly!$B$3&amp;$B$2)</f>
        <v>0</v>
      </c>
      <c r="CM8" s="2">
        <f>COUNTIF(defects!$V:$V,Weekly!CM$3&amp;Weekly!$B8&amp;Weekly!$B$3&amp;$B$2)</f>
        <v>0</v>
      </c>
      <c r="CN8" s="2">
        <f>COUNTIF(defects!$V:$V,Weekly!CN$3&amp;Weekly!$B8&amp;Weekly!$B$3&amp;$B$2)</f>
        <v>0</v>
      </c>
      <c r="CO8" s="2">
        <f>COUNTIF(defects!$V:$V,Weekly!CO$3&amp;Weekly!$B8&amp;Weekly!$B$3&amp;$B$2)</f>
        <v>0</v>
      </c>
      <c r="CP8" s="2">
        <f>COUNTIF(defects!$V:$V,Weekly!CP$3&amp;Weekly!$B8&amp;Weekly!$B$3&amp;$B$2)</f>
        <v>0</v>
      </c>
      <c r="CQ8" s="2">
        <f>COUNTIF(defects!$V:$V,Weekly!CQ$3&amp;Weekly!$B8&amp;Weekly!$B$3&amp;$B$2)</f>
        <v>0</v>
      </c>
      <c r="CR8" s="2">
        <f>COUNTIF(defects!$V:$V,Weekly!CR$3&amp;Weekly!$B8&amp;Weekly!$B$3&amp;$B$2)</f>
        <v>0</v>
      </c>
      <c r="CS8" s="2">
        <f>COUNTIF(defects!$V:$V,Weekly!CS$3&amp;Weekly!$B8&amp;Weekly!$B$3&amp;$B$2)</f>
        <v>0</v>
      </c>
      <c r="CT8" s="2">
        <f>COUNTIF(defects!$V:$V,Weekly!CT$3&amp;Weekly!$B8&amp;Weekly!$B$3&amp;$B$2)</f>
        <v>0</v>
      </c>
      <c r="CU8" s="2">
        <f>COUNTIF(defects!$V:$V,Weekly!CU$3&amp;Weekly!$B8&amp;Weekly!$B$3&amp;$B$2)</f>
        <v>0</v>
      </c>
      <c r="CV8" s="2">
        <f>COUNTIF(defects!$V:$V,Weekly!CV$3&amp;Weekly!$B8&amp;Weekly!$B$3&amp;$B$2)</f>
        <v>0</v>
      </c>
      <c r="CW8" s="2">
        <f>COUNTIF(defects!$V:$V,Weekly!CW$3&amp;Weekly!$B8&amp;Weekly!$B$3&amp;$B$2)</f>
        <v>0</v>
      </c>
      <c r="CX8" s="2">
        <f>COUNTIF(defects!$V:$V,Weekly!CX$3&amp;Weekly!$B8&amp;Weekly!$B$3&amp;$B$2)</f>
        <v>0</v>
      </c>
      <c r="CY8" s="2">
        <f>COUNTIF(defects!$V:$V,Weekly!CY$3&amp;Weekly!$B8&amp;Weekly!$B$3&amp;$B$2)</f>
        <v>0</v>
      </c>
      <c r="CZ8" s="2">
        <f>COUNTIF(defects!$V:$V,Weekly!CZ$3&amp;Weekly!$B8&amp;Weekly!$B$3&amp;$B$2)</f>
        <v>0</v>
      </c>
      <c r="DA8" s="2">
        <f>COUNTIF(defects!$V:$V,Weekly!DA$3&amp;Weekly!$B8&amp;Weekly!$B$3&amp;$B$2)</f>
        <v>0</v>
      </c>
      <c r="DB8" s="2">
        <f>COUNTIF(defects!$V:$V,Weekly!DB$3&amp;Weekly!$B8&amp;Weekly!$B$3&amp;$B$2)</f>
        <v>0</v>
      </c>
      <c r="DC8" s="2">
        <f>COUNTIF(defects!$V:$V,Weekly!DC$3&amp;Weekly!$B8&amp;Weekly!$B$3&amp;$B$2)</f>
        <v>0</v>
      </c>
      <c r="DD8" s="2">
        <f>COUNTIF(defects!$V:$V,Weekly!DD$3&amp;Weekly!$B8&amp;Weekly!$B$3&amp;$B$2)</f>
        <v>0</v>
      </c>
      <c r="DE8" s="2">
        <f>COUNTIF(defects!$V:$V,Weekly!DE$3&amp;Weekly!$B8&amp;Weekly!$B$3&amp;$B$2)</f>
        <v>0</v>
      </c>
      <c r="DF8" s="2">
        <f>COUNTIF(defects!$V:$V,Weekly!DF$3&amp;Weekly!$B8&amp;Weekly!$B$3&amp;$B$2)</f>
        <v>0</v>
      </c>
      <c r="DG8" s="2">
        <f>COUNTIF(defects!$V:$V,Weekly!DG$3&amp;Weekly!$B8&amp;Weekly!$B$3&amp;$B$2)</f>
        <v>0</v>
      </c>
      <c r="DH8" s="2">
        <f>COUNTIF(defects!$V:$V,Weekly!DH$3&amp;Weekly!$B8&amp;Weekly!$B$3&amp;$B$2)</f>
        <v>0</v>
      </c>
      <c r="DI8" s="2">
        <f>COUNTIF(defects!$V:$V,Weekly!DI$3&amp;Weekly!$B8&amp;Weekly!$B$3&amp;$B$2)</f>
        <v>0</v>
      </c>
      <c r="DJ8" s="2">
        <f>COUNTIF(defects!$V:$V,Weekly!DJ$3&amp;Weekly!$B8&amp;Weekly!$B$3&amp;$B$2)</f>
        <v>0</v>
      </c>
      <c r="DK8" s="2">
        <f>COUNTIF(defects!$V:$V,Weekly!DK$3&amp;Weekly!$B8&amp;Weekly!$B$3&amp;$B$2)</f>
        <v>0</v>
      </c>
      <c r="DL8" s="2">
        <f>COUNTIF(defects!$V:$V,Weekly!DL$3&amp;Weekly!$B8&amp;Weekly!$B$3&amp;$B$2)</f>
        <v>0</v>
      </c>
      <c r="DM8" s="2">
        <f>COUNTIF(defects!$V:$V,Weekly!DM$3&amp;Weekly!$B8&amp;Weekly!$B$3&amp;$B$2)</f>
        <v>0</v>
      </c>
      <c r="DN8" s="2">
        <f>COUNTIF(defects!$V:$V,Weekly!DN$3&amp;Weekly!$B8&amp;Weekly!$B$3&amp;$B$2)</f>
        <v>0</v>
      </c>
      <c r="DO8" s="2">
        <f>COUNTIF(defects!$V:$V,Weekly!DO$3&amp;Weekly!$B8&amp;Weekly!$B$3&amp;$B$2)</f>
        <v>0</v>
      </c>
      <c r="DP8" s="2">
        <f>COUNTIF(defects!$V:$V,Weekly!DP$3&amp;Weekly!$B8&amp;Weekly!$B$3&amp;$B$2)</f>
        <v>0</v>
      </c>
      <c r="DQ8" s="2">
        <f>COUNTIF(defects!$V:$V,Weekly!DQ$3&amp;Weekly!$B8&amp;Weekly!$B$3&amp;$B$2)</f>
        <v>0</v>
      </c>
      <c r="DR8" s="2">
        <f>COUNTIF(defects!$V:$V,Weekly!DR$3&amp;Weekly!$B8&amp;Weekly!$B$3&amp;$B$2)</f>
        <v>0</v>
      </c>
      <c r="DS8" s="2">
        <f>COUNTIF(defects!$V:$V,Weekly!DS$3&amp;Weekly!$B8&amp;Weekly!$B$3&amp;$B$2)</f>
        <v>0</v>
      </c>
      <c r="DT8" s="2">
        <f>COUNTIF(defects!$V:$V,Weekly!DT$3&amp;Weekly!$B8&amp;Weekly!$B$3&amp;$B$2)</f>
        <v>0</v>
      </c>
      <c r="DU8" s="2">
        <f>COUNTIF(defects!$V:$V,Weekly!DU$3&amp;Weekly!$B8&amp;Weekly!$B$3&amp;$B$2)</f>
        <v>0</v>
      </c>
      <c r="DV8" s="2">
        <f>COUNTIF(defects!$V:$V,Weekly!DV$3&amp;Weekly!$B8&amp;Weekly!$B$3&amp;$B$2)</f>
        <v>0</v>
      </c>
      <c r="DW8" s="2">
        <f>COUNTIF(defects!$V:$V,Weekly!DW$3&amp;Weekly!$B8&amp;Weekly!$B$3&amp;$B$2)</f>
        <v>0</v>
      </c>
      <c r="DX8" s="2">
        <f>COUNTIF(defects!$V:$V,Weekly!DX$3&amp;Weekly!$B8&amp;Weekly!$B$3&amp;$B$2)</f>
        <v>0</v>
      </c>
      <c r="DY8" s="2">
        <f>COUNTIF(defects!$V:$V,Weekly!DY$3&amp;Weekly!$B8&amp;Weekly!$B$3&amp;$B$2)</f>
        <v>0</v>
      </c>
      <c r="DZ8" s="2">
        <f>COUNTIF(defects!$V:$V,Weekly!DZ$3&amp;Weekly!$B8&amp;Weekly!$B$3&amp;$B$2)</f>
        <v>0</v>
      </c>
      <c r="EA8" s="2">
        <f>COUNTIF(defects!$V:$V,Weekly!EA$3&amp;Weekly!$B8&amp;Weekly!$B$3&amp;$B$2)</f>
        <v>0</v>
      </c>
      <c r="EB8" s="2">
        <f>COUNTIF(defects!$V:$V,Weekly!EB$3&amp;Weekly!$B8&amp;Weekly!$B$3&amp;$B$2)</f>
        <v>0</v>
      </c>
      <c r="EC8" s="2">
        <f>COUNTIF(defects!$V:$V,Weekly!EC$3&amp;Weekly!$B8&amp;Weekly!$B$3&amp;$B$2)</f>
        <v>0</v>
      </c>
      <c r="ED8" s="2">
        <f>COUNTIF(defects!$V:$V,Weekly!ED$3&amp;Weekly!$B8&amp;Weekly!$B$3&amp;$B$2)</f>
        <v>0</v>
      </c>
      <c r="EE8" s="2">
        <f>COUNTIF(defects!$V:$V,Weekly!EE$3&amp;Weekly!$B8&amp;Weekly!$B$3&amp;$B$2)</f>
        <v>0</v>
      </c>
      <c r="EF8" s="2">
        <f>COUNTIF(defects!$V:$V,Weekly!EF$3&amp;Weekly!$B8&amp;Weekly!$B$3&amp;$B$2)</f>
        <v>0</v>
      </c>
      <c r="EG8" s="2">
        <f>COUNTIF(defects!$V:$V,Weekly!EG$3&amp;Weekly!$B8&amp;Weekly!$B$3&amp;$B$2)</f>
        <v>0</v>
      </c>
      <c r="EH8" s="2">
        <f>COUNTIF(defects!$V:$V,Weekly!EH$3&amp;Weekly!$B8&amp;Weekly!$B$3&amp;$B$2)</f>
        <v>0</v>
      </c>
      <c r="EI8" s="2">
        <f>COUNTIF(defects!$V:$V,Weekly!EI$3&amp;Weekly!$B8&amp;Weekly!$B$3&amp;$B$2)</f>
        <v>0</v>
      </c>
      <c r="EJ8" s="2">
        <f>COUNTIF(defects!$V:$V,Weekly!EJ$3&amp;Weekly!$B8&amp;Weekly!$B$3&amp;$B$2)</f>
        <v>0</v>
      </c>
      <c r="EK8" s="2">
        <f>COUNTIF(defects!$V:$V,Weekly!EK$3&amp;Weekly!$B8&amp;Weekly!$B$3&amp;$B$2)</f>
        <v>0</v>
      </c>
      <c r="EL8" s="2">
        <f>COUNTIF(defects!$V:$V,Weekly!EL$3&amp;Weekly!$B8&amp;Weekly!$B$3&amp;$B$2)</f>
        <v>0</v>
      </c>
      <c r="EM8" s="2">
        <f>COUNTIF(defects!$V:$V,Weekly!EM$3&amp;Weekly!$B8&amp;Weekly!$B$3&amp;$B$2)</f>
        <v>0</v>
      </c>
      <c r="EN8" s="2">
        <f>COUNTIF(defects!$V:$V,Weekly!EN$3&amp;Weekly!$B8&amp;Weekly!$B$3&amp;$B$2)</f>
        <v>0</v>
      </c>
      <c r="EO8" s="2">
        <f>COUNTIF(defects!$V:$V,Weekly!EO$3&amp;Weekly!$B8&amp;Weekly!$B$3&amp;$B$2)</f>
        <v>0</v>
      </c>
      <c r="EP8" s="2">
        <f>COUNTIF(defects!$V:$V,Weekly!EP$3&amp;Weekly!$B8&amp;Weekly!$B$3&amp;$B$2)</f>
        <v>0</v>
      </c>
      <c r="EQ8" s="2">
        <f>COUNTIF(defects!$V:$V,Weekly!EQ$3&amp;Weekly!$B8&amp;Weekly!$B$3&amp;$B$2)</f>
        <v>0</v>
      </c>
      <c r="ER8" s="2">
        <f>COUNTIF(defects!$V:$V,Weekly!ER$3&amp;Weekly!$B8&amp;Weekly!$B$3&amp;$B$2)</f>
        <v>0</v>
      </c>
      <c r="ES8" s="2">
        <f>COUNTIF(defects!$V:$V,Weekly!ES$3&amp;Weekly!$B8&amp;Weekly!$B$3&amp;$B$2)</f>
        <v>0</v>
      </c>
      <c r="ET8" s="2">
        <f>COUNTIF(defects!$V:$V,Weekly!ET$3&amp;Weekly!$B8&amp;Weekly!$B$3&amp;$B$2)</f>
        <v>0</v>
      </c>
      <c r="EU8" s="2">
        <f>COUNTIF(defects!$V:$V,Weekly!EU$3&amp;Weekly!$B8&amp;Weekly!$B$3&amp;$B$2)</f>
        <v>0</v>
      </c>
      <c r="EV8" s="2">
        <f>COUNTIF(defects!$V:$V,Weekly!EV$3&amp;Weekly!$B8&amp;Weekly!$B$3&amp;$B$2)</f>
        <v>0</v>
      </c>
      <c r="EW8" s="2">
        <f>COUNTIF(defects!$V:$V,Weekly!EW$3&amp;Weekly!$B8&amp;Weekly!$B$3&amp;$B$2)</f>
        <v>0</v>
      </c>
      <c r="EX8" s="2">
        <f>COUNTIF(defects!$V:$V,Weekly!EX$3&amp;Weekly!$B8&amp;Weekly!$B$3&amp;$B$2)</f>
        <v>0</v>
      </c>
      <c r="EY8" s="2">
        <f>COUNTIF(defects!$V:$V,Weekly!EY$3&amp;Weekly!$B8&amp;Weekly!$B$3&amp;$B$2)</f>
        <v>0</v>
      </c>
      <c r="EZ8" s="2">
        <f>COUNTIF(defects!$V:$V,Weekly!EZ$3&amp;Weekly!$B8&amp;Weekly!$B$3&amp;$B$2)</f>
        <v>0</v>
      </c>
      <c r="FA8" s="2">
        <f>COUNTIF(defects!$V:$V,Weekly!FA$3&amp;Weekly!$B8&amp;Weekly!$B$3&amp;$B$2)</f>
        <v>0</v>
      </c>
      <c r="FB8" s="2">
        <f>COUNTIF(defects!$V:$V,Weekly!FB$3&amp;Weekly!$B8&amp;Weekly!$B$3&amp;$B$2)</f>
        <v>0</v>
      </c>
      <c r="FC8" s="2">
        <f>COUNTIF(defects!$V:$V,Weekly!FC$3&amp;Weekly!$B8&amp;Weekly!$B$3&amp;$B$2)</f>
        <v>0</v>
      </c>
      <c r="FD8" s="2">
        <f>COUNTIF(defects!$V:$V,Weekly!FD$3&amp;Weekly!$B8&amp;Weekly!$B$3&amp;$B$2)</f>
        <v>0</v>
      </c>
      <c r="FE8" s="2">
        <f>COUNTIF(defects!$V:$V,Weekly!FE$3&amp;Weekly!$B8&amp;Weekly!$B$3&amp;$B$2)</f>
        <v>0</v>
      </c>
    </row>
    <row r="9" spans="2:161" x14ac:dyDescent="0.35">
      <c r="B9" s="2" t="s">
        <v>1342</v>
      </c>
      <c r="C9" s="2">
        <f>COUNTIF(defects!$V:$V,Weekly!C$3&amp;Weekly!$B9&amp;Weekly!$B$3&amp;$B$2)</f>
        <v>0</v>
      </c>
      <c r="D9" s="2">
        <f>COUNTIF(defects!$V:$V,Weekly!D$3&amp;Weekly!$B9&amp;Weekly!$B$3&amp;$B$2)</f>
        <v>0</v>
      </c>
      <c r="E9" s="2">
        <f>COUNTIF(defects!$V:$V,Weekly!E$3&amp;Weekly!$B9&amp;Weekly!$B$3&amp;$B$2)</f>
        <v>0</v>
      </c>
      <c r="F9" s="2">
        <f>COUNTIF(defects!$V:$V,Weekly!F$3&amp;Weekly!$B9&amp;Weekly!$B$3&amp;$B$2)</f>
        <v>0</v>
      </c>
      <c r="G9" s="2">
        <f>COUNTIF(defects!$V:$V,Weekly!G$3&amp;Weekly!$B9&amp;Weekly!$B$3&amp;$B$2)</f>
        <v>0</v>
      </c>
      <c r="H9" s="2">
        <f>COUNTIF(defects!$V:$V,Weekly!H$3&amp;Weekly!$B9&amp;Weekly!$B$3&amp;$B$2)</f>
        <v>0</v>
      </c>
      <c r="I9" s="2">
        <f>COUNTIF(defects!$V:$V,Weekly!I$3&amp;Weekly!$B9&amp;Weekly!$B$3&amp;$B$2)</f>
        <v>0</v>
      </c>
      <c r="J9" s="2">
        <f>COUNTIF(defects!$V:$V,Weekly!J$3&amp;Weekly!$B9&amp;Weekly!$B$3&amp;$B$2)</f>
        <v>0</v>
      </c>
      <c r="K9" s="2">
        <f>COUNTIF(defects!$V:$V,Weekly!K$3&amp;Weekly!$B9&amp;Weekly!$B$3&amp;$B$2)</f>
        <v>0</v>
      </c>
      <c r="L9" s="2">
        <f>COUNTIF(defects!$V:$V,Weekly!L$3&amp;Weekly!$B9&amp;Weekly!$B$3&amp;$B$2)</f>
        <v>0</v>
      </c>
      <c r="M9" s="2">
        <f>COUNTIF(defects!$V:$V,Weekly!M$3&amp;Weekly!$B9&amp;Weekly!$B$3&amp;$B$2)</f>
        <v>0</v>
      </c>
      <c r="N9" s="2">
        <f>COUNTIF(defects!$V:$V,Weekly!N$3&amp;Weekly!$B9&amp;Weekly!$B$3&amp;$B$2)</f>
        <v>0</v>
      </c>
      <c r="O9" s="2">
        <f>COUNTIF(defects!$V:$V,Weekly!O$3&amp;Weekly!$B9&amp;Weekly!$B$3&amp;$B$2)</f>
        <v>0</v>
      </c>
      <c r="P9" s="2">
        <f>COUNTIF(defects!$V:$V,Weekly!P$3&amp;Weekly!$B9&amp;Weekly!$B$3&amp;$B$2)</f>
        <v>0</v>
      </c>
      <c r="Q9" s="2">
        <f>COUNTIF(defects!$V:$V,Weekly!Q$3&amp;Weekly!$B9&amp;Weekly!$B$3&amp;$B$2)</f>
        <v>0</v>
      </c>
      <c r="R9" s="2">
        <f>COUNTIF(defects!$V:$V,Weekly!R$3&amp;Weekly!$B9&amp;Weekly!$B$3&amp;$B$2)</f>
        <v>0</v>
      </c>
      <c r="S9" s="2">
        <f>COUNTIF(defects!$V:$V,Weekly!S$3&amp;Weekly!$B9&amp;Weekly!$B$3&amp;$B$2)</f>
        <v>0</v>
      </c>
      <c r="T9" s="2">
        <f>COUNTIF(defects!$V:$V,Weekly!T$3&amp;Weekly!$B9&amp;Weekly!$B$3&amp;$B$2)</f>
        <v>0</v>
      </c>
      <c r="U9" s="2">
        <f>COUNTIF(defects!$V:$V,Weekly!U$3&amp;Weekly!$B9&amp;Weekly!$B$3&amp;$B$2)</f>
        <v>0</v>
      </c>
      <c r="V9" s="2">
        <f>COUNTIF(defects!$V:$V,Weekly!V$3&amp;Weekly!$B9&amp;Weekly!$B$3&amp;$B$2)</f>
        <v>0</v>
      </c>
      <c r="W9" s="2">
        <f>COUNTIF(defects!$V:$V,Weekly!W$3&amp;Weekly!$B9&amp;Weekly!$B$3&amp;$B$2)</f>
        <v>0</v>
      </c>
      <c r="X9" s="2">
        <f>COUNTIF(defects!$V:$V,Weekly!X$3&amp;Weekly!$B9&amp;Weekly!$B$3&amp;$B$2)</f>
        <v>0</v>
      </c>
      <c r="Y9" s="2">
        <f>COUNTIF(defects!$V:$V,Weekly!Y$3&amp;Weekly!$B9&amp;Weekly!$B$3&amp;$B$2)</f>
        <v>0</v>
      </c>
      <c r="Z9" s="2">
        <f>COUNTIF(defects!$V:$V,Weekly!Z$3&amp;Weekly!$B9&amp;Weekly!$B$3&amp;$B$2)</f>
        <v>0</v>
      </c>
      <c r="AA9" s="2">
        <f>COUNTIF(defects!$V:$V,Weekly!AA$3&amp;Weekly!$B9&amp;Weekly!$B$3&amp;$B$2)</f>
        <v>0</v>
      </c>
      <c r="AB9" s="2">
        <f>COUNTIF(defects!$V:$V,Weekly!AB$3&amp;Weekly!$B9&amp;Weekly!$B$3&amp;$B$2)</f>
        <v>0</v>
      </c>
      <c r="AC9" s="2">
        <f>COUNTIF(defects!$V:$V,Weekly!AC$3&amp;Weekly!$B9&amp;Weekly!$B$3&amp;$B$2)</f>
        <v>0</v>
      </c>
      <c r="AD9" s="2">
        <f>COUNTIF(defects!$V:$V,Weekly!AD$3&amp;Weekly!$B9&amp;Weekly!$B$3&amp;$B$2)</f>
        <v>0</v>
      </c>
      <c r="AE9" s="2">
        <f>COUNTIF(defects!$V:$V,Weekly!AE$3&amp;Weekly!$B9&amp;Weekly!$B$3&amp;$B$2)</f>
        <v>0</v>
      </c>
      <c r="AF9" s="2">
        <f>COUNTIF(defects!$V:$V,Weekly!AF$3&amp;Weekly!$B9&amp;Weekly!$B$3&amp;$B$2)</f>
        <v>0</v>
      </c>
      <c r="AG9" s="2">
        <f>COUNTIF(defects!$V:$V,Weekly!AG$3&amp;Weekly!$B9&amp;Weekly!$B$3&amp;$B$2)</f>
        <v>0</v>
      </c>
      <c r="AH9" s="2">
        <f>COUNTIF(defects!$V:$V,Weekly!AH$3&amp;Weekly!$B9&amp;Weekly!$B$3&amp;$B$2)</f>
        <v>0</v>
      </c>
      <c r="AI9" s="2">
        <f>COUNTIF(defects!$V:$V,Weekly!AI$3&amp;Weekly!$B9&amp;Weekly!$B$3&amp;$B$2)</f>
        <v>0</v>
      </c>
      <c r="AJ9" s="2">
        <f>COUNTIF(defects!$V:$V,Weekly!AJ$3&amp;Weekly!$B9&amp;Weekly!$B$3&amp;$B$2)</f>
        <v>0</v>
      </c>
      <c r="AK9" s="2">
        <f>COUNTIF(defects!$V:$V,Weekly!AK$3&amp;Weekly!$B9&amp;Weekly!$B$3&amp;$B$2)</f>
        <v>0</v>
      </c>
      <c r="AL9" s="2">
        <f>COUNTIF(defects!$V:$V,Weekly!AL$3&amp;Weekly!$B9&amp;Weekly!$B$3&amp;$B$2)</f>
        <v>0</v>
      </c>
      <c r="AM9" s="2">
        <f>COUNTIF(defects!$V:$V,Weekly!AM$3&amp;Weekly!$B9&amp;Weekly!$B$3&amp;$B$2)</f>
        <v>0</v>
      </c>
      <c r="AN9" s="2">
        <f>COUNTIF(defects!$V:$V,Weekly!AN$3&amp;Weekly!$B9&amp;Weekly!$B$3&amp;$B$2)</f>
        <v>0</v>
      </c>
      <c r="AO9" s="2">
        <f>COUNTIF(defects!$V:$V,Weekly!AO$3&amp;Weekly!$B9&amp;Weekly!$B$3&amp;$B$2)</f>
        <v>0</v>
      </c>
      <c r="AP9" s="2">
        <f>COUNTIF(defects!$V:$V,Weekly!AP$3&amp;Weekly!$B9&amp;Weekly!$B$3&amp;$B$2)</f>
        <v>0</v>
      </c>
      <c r="AQ9" s="2">
        <f>COUNTIF(defects!$V:$V,Weekly!AQ$3&amp;Weekly!$B9&amp;Weekly!$B$3&amp;$B$2)</f>
        <v>0</v>
      </c>
      <c r="AR9" s="2">
        <f>COUNTIF(defects!$V:$V,Weekly!AR$3&amp;Weekly!$B9&amp;Weekly!$B$3&amp;$B$2)</f>
        <v>0</v>
      </c>
      <c r="AS9" s="2">
        <f>COUNTIF(defects!$V:$V,Weekly!AS$3&amp;Weekly!$B9&amp;Weekly!$B$3&amp;$B$2)</f>
        <v>0</v>
      </c>
      <c r="AT9" s="2">
        <f>COUNTIF(defects!$V:$V,Weekly!AT$3&amp;Weekly!$B9&amp;Weekly!$B$3&amp;$B$2)</f>
        <v>0</v>
      </c>
      <c r="AU9" s="2">
        <f>COUNTIF(defects!$V:$V,Weekly!AU$3&amp;Weekly!$B9&amp;Weekly!$B$3&amp;$B$2)</f>
        <v>0</v>
      </c>
      <c r="AV9" s="2">
        <f>COUNTIF(defects!$V:$V,Weekly!AV$3&amp;Weekly!$B9&amp;Weekly!$B$3&amp;$B$2)</f>
        <v>0</v>
      </c>
      <c r="AW9" s="2">
        <f>COUNTIF(defects!$V:$V,Weekly!AW$3&amp;Weekly!$B9&amp;Weekly!$B$3&amp;$B$2)</f>
        <v>0</v>
      </c>
      <c r="AX9" s="2">
        <f>COUNTIF(defects!$V:$V,Weekly!AX$3&amp;Weekly!$B9&amp;Weekly!$B$3&amp;$B$2)</f>
        <v>0</v>
      </c>
      <c r="AY9" s="2">
        <f>COUNTIF(defects!$V:$V,Weekly!AY$3&amp;Weekly!$B9&amp;Weekly!$B$3&amp;$B$2)</f>
        <v>0</v>
      </c>
      <c r="AZ9" s="2">
        <f>COUNTIF(defects!$V:$V,Weekly!AZ$3&amp;Weekly!$B9&amp;Weekly!$B$3&amp;$B$2)</f>
        <v>0</v>
      </c>
      <c r="BA9" s="2">
        <f>COUNTIF(defects!$V:$V,Weekly!BA$3&amp;Weekly!$B9&amp;Weekly!$B$3&amp;$B$2)</f>
        <v>0</v>
      </c>
      <c r="BB9" s="2">
        <f>COUNTIF(defects!$V:$V,Weekly!BB$3&amp;Weekly!$B9&amp;Weekly!$B$3&amp;$B$2)</f>
        <v>0</v>
      </c>
      <c r="BC9" s="2">
        <f>COUNTIF(defects!$V:$V,Weekly!BC$3&amp;Weekly!$B9&amp;Weekly!$B$3&amp;$B$2)</f>
        <v>0</v>
      </c>
      <c r="BD9" s="2">
        <f>COUNTIF(defects!$V:$V,Weekly!BD$3&amp;Weekly!$B9&amp;Weekly!$B$3&amp;$B$2)</f>
        <v>0</v>
      </c>
      <c r="BE9" s="2">
        <f>COUNTIF(defects!$V:$V,Weekly!BE$3&amp;Weekly!$B9&amp;Weekly!$B$3&amp;$B$2)</f>
        <v>0</v>
      </c>
      <c r="BF9" s="2">
        <f>COUNTIF(defects!$V:$V,Weekly!BF$3&amp;Weekly!$B9&amp;Weekly!$B$3&amp;$B$2)</f>
        <v>0</v>
      </c>
      <c r="BG9" s="2">
        <f>COUNTIF(defects!$V:$V,Weekly!BG$3&amp;Weekly!$B9&amp;Weekly!$B$3&amp;$B$2)</f>
        <v>0</v>
      </c>
      <c r="BH9" s="2">
        <f>COUNTIF(defects!$V:$V,Weekly!BH$3&amp;Weekly!$B9&amp;Weekly!$B$3&amp;$B$2)</f>
        <v>0</v>
      </c>
      <c r="BI9" s="2">
        <f>COUNTIF(defects!$V:$V,Weekly!BI$3&amp;Weekly!$B9&amp;Weekly!$B$3&amp;$B$2)</f>
        <v>0</v>
      </c>
      <c r="BJ9" s="2">
        <f>COUNTIF(defects!$V:$V,Weekly!BJ$3&amp;Weekly!$B9&amp;Weekly!$B$3&amp;$B$2)</f>
        <v>0</v>
      </c>
      <c r="BK9" s="2">
        <f>COUNTIF(defects!$V:$V,Weekly!BK$3&amp;Weekly!$B9&amp;Weekly!$B$3&amp;$B$2)</f>
        <v>0</v>
      </c>
      <c r="BL9" s="2">
        <f>COUNTIF(defects!$V:$V,Weekly!BL$3&amp;Weekly!$B9&amp;Weekly!$B$3&amp;$B$2)</f>
        <v>0</v>
      </c>
      <c r="BM9" s="2">
        <f>COUNTIF(defects!$V:$V,Weekly!BM$3&amp;Weekly!$B9&amp;Weekly!$B$3&amp;$B$2)</f>
        <v>0</v>
      </c>
      <c r="BN9" s="2">
        <f>COUNTIF(defects!$V:$V,Weekly!BN$3&amp;Weekly!$B9&amp;Weekly!$B$3&amp;$B$2)</f>
        <v>0</v>
      </c>
      <c r="BO9" s="2">
        <f>COUNTIF(defects!$V:$V,Weekly!BO$3&amp;Weekly!$B9&amp;Weekly!$B$3&amp;$B$2)</f>
        <v>1</v>
      </c>
      <c r="BP9" s="2">
        <f>COUNTIF(defects!$V:$V,Weekly!BP$3&amp;Weekly!$B9&amp;Weekly!$B$3&amp;$B$2)</f>
        <v>0</v>
      </c>
      <c r="BQ9" s="2">
        <f>COUNTIF(defects!$V:$V,Weekly!BQ$3&amp;Weekly!$B9&amp;Weekly!$B$3&amp;$B$2)</f>
        <v>0</v>
      </c>
      <c r="BR9" s="2">
        <f>COUNTIF(defects!$V:$V,Weekly!BR$3&amp;Weekly!$B9&amp;Weekly!$B$3&amp;$B$2)</f>
        <v>1</v>
      </c>
      <c r="BS9" s="2">
        <f>COUNTIF(defects!$V:$V,Weekly!BS$3&amp;Weekly!$B9&amp;Weekly!$B$3&amp;$B$2)</f>
        <v>0</v>
      </c>
      <c r="BT9" s="2">
        <f>COUNTIF(defects!$V:$V,Weekly!BT$3&amp;Weekly!$B9&amp;Weekly!$B$3&amp;$B$2)</f>
        <v>0</v>
      </c>
      <c r="BU9" s="2">
        <f>COUNTIF(defects!$V:$V,Weekly!BU$3&amp;Weekly!$B9&amp;Weekly!$B$3&amp;$B$2)</f>
        <v>1</v>
      </c>
      <c r="BV9" s="2">
        <f>COUNTIF(defects!$V:$V,Weekly!BV$3&amp;Weekly!$B9&amp;Weekly!$B$3&amp;$B$2)</f>
        <v>0</v>
      </c>
      <c r="BW9" s="2">
        <f>COUNTIF(defects!$V:$V,Weekly!BW$3&amp;Weekly!$B9&amp;Weekly!$B$3&amp;$B$2)</f>
        <v>0</v>
      </c>
      <c r="BX9" s="2">
        <f>COUNTIF(defects!$V:$V,Weekly!BX$3&amp;Weekly!$B9&amp;Weekly!$B$3&amp;$B$2)</f>
        <v>1</v>
      </c>
      <c r="BY9" s="2">
        <f>COUNTIF(defects!$V:$V,Weekly!BY$3&amp;Weekly!$B9&amp;Weekly!$B$3&amp;$B$2)</f>
        <v>0</v>
      </c>
      <c r="BZ9" s="2">
        <f>COUNTIF(defects!$V:$V,Weekly!BZ$3&amp;Weekly!$B9&amp;Weekly!$B$3&amp;$B$2)</f>
        <v>3</v>
      </c>
      <c r="CA9" s="2">
        <f>COUNTIF(defects!$V:$V,Weekly!CA$3&amp;Weekly!$B9&amp;Weekly!$B$3&amp;$B$2)</f>
        <v>0</v>
      </c>
      <c r="CB9" s="2">
        <f>COUNTIF(defects!$V:$V,Weekly!CB$3&amp;Weekly!$B9&amp;Weekly!$B$3&amp;$B$2)</f>
        <v>0</v>
      </c>
      <c r="CC9" s="2">
        <f>COUNTIF(defects!$V:$V,Weekly!CC$3&amp;Weekly!$B9&amp;Weekly!$B$3&amp;$B$2)</f>
        <v>0</v>
      </c>
      <c r="CD9" s="2">
        <f>COUNTIF(defects!$V:$V,Weekly!CD$3&amp;Weekly!$B9&amp;Weekly!$B$3&amp;$B$2)</f>
        <v>0</v>
      </c>
      <c r="CE9" s="2">
        <f>COUNTIF(defects!$V:$V,Weekly!CE$3&amp;Weekly!$B9&amp;Weekly!$B$3&amp;$B$2)</f>
        <v>0</v>
      </c>
      <c r="CF9" s="2">
        <f>COUNTIF(defects!$V:$V,Weekly!CF$3&amp;Weekly!$B9&amp;Weekly!$B$3&amp;$B$2)</f>
        <v>3</v>
      </c>
      <c r="CG9" s="2">
        <f>COUNTIF(defects!$V:$V,Weekly!CG$3&amp;Weekly!$B9&amp;Weekly!$B$3&amp;$B$2)</f>
        <v>0</v>
      </c>
      <c r="CH9" s="2">
        <f>COUNTIF(defects!$V:$V,Weekly!CH$3&amp;Weekly!$B9&amp;Weekly!$B$3&amp;$B$2)</f>
        <v>1</v>
      </c>
      <c r="CI9" s="2">
        <f>COUNTIF(defects!$V:$V,Weekly!CI$3&amp;Weekly!$B9&amp;Weekly!$B$3&amp;$B$2)</f>
        <v>1</v>
      </c>
      <c r="CJ9" s="2">
        <f>COUNTIF(defects!$V:$V,Weekly!CJ$3&amp;Weekly!$B9&amp;Weekly!$B$3&amp;$B$2)</f>
        <v>1</v>
      </c>
      <c r="CK9" s="2">
        <f>COUNTIF(defects!$V:$V,Weekly!CK$3&amp;Weekly!$B9&amp;Weekly!$B$3&amp;$B$2)</f>
        <v>0</v>
      </c>
      <c r="CL9" s="2">
        <f>COUNTIF(defects!$V:$V,Weekly!CL$3&amp;Weekly!$B9&amp;Weekly!$B$3&amp;$B$2)</f>
        <v>0</v>
      </c>
      <c r="CM9" s="2">
        <f>COUNTIF(defects!$V:$V,Weekly!CM$3&amp;Weekly!$B9&amp;Weekly!$B$3&amp;$B$2)</f>
        <v>0</v>
      </c>
      <c r="CN9" s="2">
        <f>COUNTIF(defects!$V:$V,Weekly!CN$3&amp;Weekly!$B9&amp;Weekly!$B$3&amp;$B$2)</f>
        <v>0</v>
      </c>
      <c r="CO9" s="2">
        <f>COUNTIF(defects!$V:$V,Weekly!CO$3&amp;Weekly!$B9&amp;Weekly!$B$3&amp;$B$2)</f>
        <v>0</v>
      </c>
      <c r="CP9" s="2">
        <f>COUNTIF(defects!$V:$V,Weekly!CP$3&amp;Weekly!$B9&amp;Weekly!$B$3&amp;$B$2)</f>
        <v>0</v>
      </c>
      <c r="CQ9" s="2">
        <f>COUNTIF(defects!$V:$V,Weekly!CQ$3&amp;Weekly!$B9&amp;Weekly!$B$3&amp;$B$2)</f>
        <v>0</v>
      </c>
      <c r="CR9" s="2">
        <f>COUNTIF(defects!$V:$V,Weekly!CR$3&amp;Weekly!$B9&amp;Weekly!$B$3&amp;$B$2)</f>
        <v>0</v>
      </c>
      <c r="CS9" s="2">
        <f>COUNTIF(defects!$V:$V,Weekly!CS$3&amp;Weekly!$B9&amp;Weekly!$B$3&amp;$B$2)</f>
        <v>0</v>
      </c>
      <c r="CT9" s="2">
        <f>COUNTIF(defects!$V:$V,Weekly!CT$3&amp;Weekly!$B9&amp;Weekly!$B$3&amp;$B$2)</f>
        <v>0</v>
      </c>
      <c r="CU9" s="2">
        <f>COUNTIF(defects!$V:$V,Weekly!CU$3&amp;Weekly!$B9&amp;Weekly!$B$3&amp;$B$2)</f>
        <v>0</v>
      </c>
      <c r="CV9" s="2">
        <f>COUNTIF(defects!$V:$V,Weekly!CV$3&amp;Weekly!$B9&amp;Weekly!$B$3&amp;$B$2)</f>
        <v>0</v>
      </c>
      <c r="CW9" s="2">
        <f>COUNTIF(defects!$V:$V,Weekly!CW$3&amp;Weekly!$B9&amp;Weekly!$B$3&amp;$B$2)</f>
        <v>0</v>
      </c>
      <c r="CX9" s="2">
        <f>COUNTIF(defects!$V:$V,Weekly!CX$3&amp;Weekly!$B9&amp;Weekly!$B$3&amp;$B$2)</f>
        <v>0</v>
      </c>
      <c r="CY9" s="2">
        <f>COUNTIF(defects!$V:$V,Weekly!CY$3&amp;Weekly!$B9&amp;Weekly!$B$3&amp;$B$2)</f>
        <v>0</v>
      </c>
      <c r="CZ9" s="2">
        <f>COUNTIF(defects!$V:$V,Weekly!CZ$3&amp;Weekly!$B9&amp;Weekly!$B$3&amp;$B$2)</f>
        <v>0</v>
      </c>
      <c r="DA9" s="2">
        <f>COUNTIF(defects!$V:$V,Weekly!DA$3&amp;Weekly!$B9&amp;Weekly!$B$3&amp;$B$2)</f>
        <v>0</v>
      </c>
      <c r="DB9" s="2">
        <f>COUNTIF(defects!$V:$V,Weekly!DB$3&amp;Weekly!$B9&amp;Weekly!$B$3&amp;$B$2)</f>
        <v>0</v>
      </c>
      <c r="DC9" s="2">
        <f>COUNTIF(defects!$V:$V,Weekly!DC$3&amp;Weekly!$B9&amp;Weekly!$B$3&amp;$B$2)</f>
        <v>0</v>
      </c>
      <c r="DD9" s="2">
        <f>COUNTIF(defects!$V:$V,Weekly!DD$3&amp;Weekly!$B9&amp;Weekly!$B$3&amp;$B$2)</f>
        <v>0</v>
      </c>
      <c r="DE9" s="2">
        <f>COUNTIF(defects!$V:$V,Weekly!DE$3&amp;Weekly!$B9&amp;Weekly!$B$3&amp;$B$2)</f>
        <v>0</v>
      </c>
      <c r="DF9" s="2">
        <f>COUNTIF(defects!$V:$V,Weekly!DF$3&amp;Weekly!$B9&amp;Weekly!$B$3&amp;$B$2)</f>
        <v>0</v>
      </c>
      <c r="DG9" s="2">
        <f>COUNTIF(defects!$V:$V,Weekly!DG$3&amp;Weekly!$B9&amp;Weekly!$B$3&amp;$B$2)</f>
        <v>0</v>
      </c>
      <c r="DH9" s="2">
        <f>COUNTIF(defects!$V:$V,Weekly!DH$3&amp;Weekly!$B9&amp;Weekly!$B$3&amp;$B$2)</f>
        <v>0</v>
      </c>
      <c r="DI9" s="2">
        <f>COUNTIF(defects!$V:$V,Weekly!DI$3&amp;Weekly!$B9&amp;Weekly!$B$3&amp;$B$2)</f>
        <v>0</v>
      </c>
      <c r="DJ9" s="2">
        <f>COUNTIF(defects!$V:$V,Weekly!DJ$3&amp;Weekly!$B9&amp;Weekly!$B$3&amp;$B$2)</f>
        <v>0</v>
      </c>
      <c r="DK9" s="2">
        <f>COUNTIF(defects!$V:$V,Weekly!DK$3&amp;Weekly!$B9&amp;Weekly!$B$3&amp;$B$2)</f>
        <v>0</v>
      </c>
      <c r="DL9" s="2">
        <f>COUNTIF(defects!$V:$V,Weekly!DL$3&amp;Weekly!$B9&amp;Weekly!$B$3&amp;$B$2)</f>
        <v>0</v>
      </c>
      <c r="DM9" s="2">
        <f>COUNTIF(defects!$V:$V,Weekly!DM$3&amp;Weekly!$B9&amp;Weekly!$B$3&amp;$B$2)</f>
        <v>0</v>
      </c>
      <c r="DN9" s="2">
        <f>COUNTIF(defects!$V:$V,Weekly!DN$3&amp;Weekly!$B9&amp;Weekly!$B$3&amp;$B$2)</f>
        <v>0</v>
      </c>
      <c r="DO9" s="2">
        <f>COUNTIF(defects!$V:$V,Weekly!DO$3&amp;Weekly!$B9&amp;Weekly!$B$3&amp;$B$2)</f>
        <v>0</v>
      </c>
      <c r="DP9" s="2">
        <f>COUNTIF(defects!$V:$V,Weekly!DP$3&amp;Weekly!$B9&amp;Weekly!$B$3&amp;$B$2)</f>
        <v>0</v>
      </c>
      <c r="DQ9" s="2">
        <f>COUNTIF(defects!$V:$V,Weekly!DQ$3&amp;Weekly!$B9&amp;Weekly!$B$3&amp;$B$2)</f>
        <v>0</v>
      </c>
      <c r="DR9" s="2">
        <f>COUNTIF(defects!$V:$V,Weekly!DR$3&amp;Weekly!$B9&amp;Weekly!$B$3&amp;$B$2)</f>
        <v>0</v>
      </c>
      <c r="DS9" s="2">
        <f>COUNTIF(defects!$V:$V,Weekly!DS$3&amp;Weekly!$B9&amp;Weekly!$B$3&amp;$B$2)</f>
        <v>0</v>
      </c>
      <c r="DT9" s="2">
        <f>COUNTIF(defects!$V:$V,Weekly!DT$3&amp;Weekly!$B9&amp;Weekly!$B$3&amp;$B$2)</f>
        <v>0</v>
      </c>
      <c r="DU9" s="2">
        <f>COUNTIF(defects!$V:$V,Weekly!DU$3&amp;Weekly!$B9&amp;Weekly!$B$3&amp;$B$2)</f>
        <v>0</v>
      </c>
      <c r="DV9" s="2">
        <f>COUNTIF(defects!$V:$V,Weekly!DV$3&amp;Weekly!$B9&amp;Weekly!$B$3&amp;$B$2)</f>
        <v>0</v>
      </c>
      <c r="DW9" s="2">
        <f>COUNTIF(defects!$V:$V,Weekly!DW$3&amp;Weekly!$B9&amp;Weekly!$B$3&amp;$B$2)</f>
        <v>0</v>
      </c>
      <c r="DX9" s="2">
        <f>COUNTIF(defects!$V:$V,Weekly!DX$3&amp;Weekly!$B9&amp;Weekly!$B$3&amp;$B$2)</f>
        <v>0</v>
      </c>
      <c r="DY9" s="2">
        <f>COUNTIF(defects!$V:$V,Weekly!DY$3&amp;Weekly!$B9&amp;Weekly!$B$3&amp;$B$2)</f>
        <v>0</v>
      </c>
      <c r="DZ9" s="2">
        <f>COUNTIF(defects!$V:$V,Weekly!DZ$3&amp;Weekly!$B9&amp;Weekly!$B$3&amp;$B$2)</f>
        <v>0</v>
      </c>
      <c r="EA9" s="2">
        <f>COUNTIF(defects!$V:$V,Weekly!EA$3&amp;Weekly!$B9&amp;Weekly!$B$3&amp;$B$2)</f>
        <v>0</v>
      </c>
      <c r="EB9" s="2">
        <f>COUNTIF(defects!$V:$V,Weekly!EB$3&amp;Weekly!$B9&amp;Weekly!$B$3&amp;$B$2)</f>
        <v>0</v>
      </c>
      <c r="EC9" s="2">
        <f>COUNTIF(defects!$V:$V,Weekly!EC$3&amp;Weekly!$B9&amp;Weekly!$B$3&amp;$B$2)</f>
        <v>0</v>
      </c>
      <c r="ED9" s="2">
        <f>COUNTIF(defects!$V:$V,Weekly!ED$3&amp;Weekly!$B9&amp;Weekly!$B$3&amp;$B$2)</f>
        <v>0</v>
      </c>
      <c r="EE9" s="2">
        <f>COUNTIF(defects!$V:$V,Weekly!EE$3&amp;Weekly!$B9&amp;Weekly!$B$3&amp;$B$2)</f>
        <v>0</v>
      </c>
      <c r="EF9" s="2">
        <f>COUNTIF(defects!$V:$V,Weekly!EF$3&amp;Weekly!$B9&amp;Weekly!$B$3&amp;$B$2)</f>
        <v>0</v>
      </c>
      <c r="EG9" s="2">
        <f>COUNTIF(defects!$V:$V,Weekly!EG$3&amp;Weekly!$B9&amp;Weekly!$B$3&amp;$B$2)</f>
        <v>0</v>
      </c>
      <c r="EH9" s="2">
        <f>COUNTIF(defects!$V:$V,Weekly!EH$3&amp;Weekly!$B9&amp;Weekly!$B$3&amp;$B$2)</f>
        <v>0</v>
      </c>
      <c r="EI9" s="2">
        <f>COUNTIF(defects!$V:$V,Weekly!EI$3&amp;Weekly!$B9&amp;Weekly!$B$3&amp;$B$2)</f>
        <v>0</v>
      </c>
      <c r="EJ9" s="2">
        <f>COUNTIF(defects!$V:$V,Weekly!EJ$3&amp;Weekly!$B9&amp;Weekly!$B$3&amp;$B$2)</f>
        <v>0</v>
      </c>
      <c r="EK9" s="2">
        <f>COUNTIF(defects!$V:$V,Weekly!EK$3&amp;Weekly!$B9&amp;Weekly!$B$3&amp;$B$2)</f>
        <v>0</v>
      </c>
      <c r="EL9" s="2">
        <f>COUNTIF(defects!$V:$V,Weekly!EL$3&amp;Weekly!$B9&amp;Weekly!$B$3&amp;$B$2)</f>
        <v>0</v>
      </c>
      <c r="EM9" s="2">
        <f>COUNTIF(defects!$V:$V,Weekly!EM$3&amp;Weekly!$B9&amp;Weekly!$B$3&amp;$B$2)</f>
        <v>0</v>
      </c>
      <c r="EN9" s="2">
        <f>COUNTIF(defects!$V:$V,Weekly!EN$3&amp;Weekly!$B9&amp;Weekly!$B$3&amp;$B$2)</f>
        <v>0</v>
      </c>
      <c r="EO9" s="2">
        <f>COUNTIF(defects!$V:$V,Weekly!EO$3&amp;Weekly!$B9&amp;Weekly!$B$3&amp;$B$2)</f>
        <v>0</v>
      </c>
      <c r="EP9" s="2">
        <f>COUNTIF(defects!$V:$V,Weekly!EP$3&amp;Weekly!$B9&amp;Weekly!$B$3&amp;$B$2)</f>
        <v>0</v>
      </c>
      <c r="EQ9" s="2">
        <f>COUNTIF(defects!$V:$V,Weekly!EQ$3&amp;Weekly!$B9&amp;Weekly!$B$3&amp;$B$2)</f>
        <v>0</v>
      </c>
      <c r="ER9" s="2">
        <f>COUNTIF(defects!$V:$V,Weekly!ER$3&amp;Weekly!$B9&amp;Weekly!$B$3&amp;$B$2)</f>
        <v>0</v>
      </c>
      <c r="ES9" s="2">
        <f>COUNTIF(defects!$V:$V,Weekly!ES$3&amp;Weekly!$B9&amp;Weekly!$B$3&amp;$B$2)</f>
        <v>0</v>
      </c>
      <c r="ET9" s="2">
        <f>COUNTIF(defects!$V:$V,Weekly!ET$3&amp;Weekly!$B9&amp;Weekly!$B$3&amp;$B$2)</f>
        <v>0</v>
      </c>
      <c r="EU9" s="2">
        <f>COUNTIF(defects!$V:$V,Weekly!EU$3&amp;Weekly!$B9&amp;Weekly!$B$3&amp;$B$2)</f>
        <v>0</v>
      </c>
      <c r="EV9" s="2">
        <f>COUNTIF(defects!$V:$V,Weekly!EV$3&amp;Weekly!$B9&amp;Weekly!$B$3&amp;$B$2)</f>
        <v>0</v>
      </c>
      <c r="EW9" s="2">
        <f>COUNTIF(defects!$V:$V,Weekly!EW$3&amp;Weekly!$B9&amp;Weekly!$B$3&amp;$B$2)</f>
        <v>0</v>
      </c>
      <c r="EX9" s="2">
        <f>COUNTIF(defects!$V:$V,Weekly!EX$3&amp;Weekly!$B9&amp;Weekly!$B$3&amp;$B$2)</f>
        <v>0</v>
      </c>
      <c r="EY9" s="2">
        <f>COUNTIF(defects!$V:$V,Weekly!EY$3&amp;Weekly!$B9&amp;Weekly!$B$3&amp;$B$2)</f>
        <v>0</v>
      </c>
      <c r="EZ9" s="2">
        <f>COUNTIF(defects!$V:$V,Weekly!EZ$3&amp;Weekly!$B9&amp;Weekly!$B$3&amp;$B$2)</f>
        <v>0</v>
      </c>
      <c r="FA9" s="2">
        <f>COUNTIF(defects!$V:$V,Weekly!FA$3&amp;Weekly!$B9&amp;Weekly!$B$3&amp;$B$2)</f>
        <v>0</v>
      </c>
      <c r="FB9" s="2">
        <f>COUNTIF(defects!$V:$V,Weekly!FB$3&amp;Weekly!$B9&amp;Weekly!$B$3&amp;$B$2)</f>
        <v>0</v>
      </c>
      <c r="FC9" s="2">
        <f>COUNTIF(defects!$V:$V,Weekly!FC$3&amp;Weekly!$B9&amp;Weekly!$B$3&amp;$B$2)</f>
        <v>0</v>
      </c>
      <c r="FD9" s="2">
        <f>COUNTIF(defects!$V:$V,Weekly!FD$3&amp;Weekly!$B9&amp;Weekly!$B$3&amp;$B$2)</f>
        <v>0</v>
      </c>
      <c r="FE9" s="2">
        <f>COUNTIF(defects!$V:$V,Weekly!FE$3&amp;Weekly!$B9&amp;Weekly!$B$3&amp;$B$2)</f>
        <v>0</v>
      </c>
    </row>
    <row r="10" spans="2:161" x14ac:dyDescent="0.35">
      <c r="B10" s="2" t="s">
        <v>1340</v>
      </c>
      <c r="C10" s="2">
        <f>COUNTIF(defects!$V:$V,Weekly!C$3&amp;Weekly!$B10&amp;Weekly!$B$3&amp;$B$2)</f>
        <v>0</v>
      </c>
      <c r="D10" s="2">
        <f>COUNTIF(defects!$V:$V,Weekly!D$3&amp;Weekly!$B10&amp;Weekly!$B$3&amp;$B$2)</f>
        <v>0</v>
      </c>
      <c r="E10" s="2">
        <f>COUNTIF(defects!$V:$V,Weekly!E$3&amp;Weekly!$B10&amp;Weekly!$B$3&amp;$B$2)</f>
        <v>0</v>
      </c>
      <c r="F10" s="2">
        <f>COUNTIF(defects!$V:$V,Weekly!F$3&amp;Weekly!$B10&amp;Weekly!$B$3&amp;$B$2)</f>
        <v>0</v>
      </c>
      <c r="G10" s="2">
        <f>COUNTIF(defects!$V:$V,Weekly!G$3&amp;Weekly!$B10&amp;Weekly!$B$3&amp;$B$2)</f>
        <v>0</v>
      </c>
      <c r="H10" s="2">
        <f>COUNTIF(defects!$V:$V,Weekly!H$3&amp;Weekly!$B10&amp;Weekly!$B$3&amp;$B$2)</f>
        <v>0</v>
      </c>
      <c r="I10" s="2">
        <f>COUNTIF(defects!$V:$V,Weekly!I$3&amp;Weekly!$B10&amp;Weekly!$B$3&amp;$B$2)</f>
        <v>0</v>
      </c>
      <c r="J10" s="2">
        <f>COUNTIF(defects!$V:$V,Weekly!J$3&amp;Weekly!$B10&amp;Weekly!$B$3&amp;$B$2)</f>
        <v>0</v>
      </c>
      <c r="K10" s="2">
        <f>COUNTIF(defects!$V:$V,Weekly!K$3&amp;Weekly!$B10&amp;Weekly!$B$3&amp;$B$2)</f>
        <v>0</v>
      </c>
      <c r="L10" s="2">
        <f>COUNTIF(defects!$V:$V,Weekly!L$3&amp;Weekly!$B10&amp;Weekly!$B$3&amp;$B$2)</f>
        <v>0</v>
      </c>
      <c r="M10" s="2">
        <f>COUNTIF(defects!$V:$V,Weekly!M$3&amp;Weekly!$B10&amp;Weekly!$B$3&amp;$B$2)</f>
        <v>0</v>
      </c>
      <c r="N10" s="2">
        <f>COUNTIF(defects!$V:$V,Weekly!N$3&amp;Weekly!$B10&amp;Weekly!$B$3&amp;$B$2)</f>
        <v>0</v>
      </c>
      <c r="O10" s="2">
        <f>COUNTIF(defects!$V:$V,Weekly!O$3&amp;Weekly!$B10&amp;Weekly!$B$3&amp;$B$2)</f>
        <v>0</v>
      </c>
      <c r="P10" s="2">
        <f>COUNTIF(defects!$V:$V,Weekly!P$3&amp;Weekly!$B10&amp;Weekly!$B$3&amp;$B$2)</f>
        <v>0</v>
      </c>
      <c r="Q10" s="2">
        <f>COUNTIF(defects!$V:$V,Weekly!Q$3&amp;Weekly!$B10&amp;Weekly!$B$3&amp;$B$2)</f>
        <v>0</v>
      </c>
      <c r="R10" s="2">
        <f>COUNTIF(defects!$V:$V,Weekly!R$3&amp;Weekly!$B10&amp;Weekly!$B$3&amp;$B$2)</f>
        <v>0</v>
      </c>
      <c r="S10" s="2">
        <f>COUNTIF(defects!$V:$V,Weekly!S$3&amp;Weekly!$B10&amp;Weekly!$B$3&amp;$B$2)</f>
        <v>0</v>
      </c>
      <c r="T10" s="2">
        <f>COUNTIF(defects!$V:$V,Weekly!T$3&amp;Weekly!$B10&amp;Weekly!$B$3&amp;$B$2)</f>
        <v>0</v>
      </c>
      <c r="U10" s="2">
        <f>COUNTIF(defects!$V:$V,Weekly!U$3&amp;Weekly!$B10&amp;Weekly!$B$3&amp;$B$2)</f>
        <v>0</v>
      </c>
      <c r="V10" s="2">
        <f>COUNTIF(defects!$V:$V,Weekly!V$3&amp;Weekly!$B10&amp;Weekly!$B$3&amp;$B$2)</f>
        <v>0</v>
      </c>
      <c r="W10" s="2">
        <f>COUNTIF(defects!$V:$V,Weekly!W$3&amp;Weekly!$B10&amp;Weekly!$B$3&amp;$B$2)</f>
        <v>0</v>
      </c>
      <c r="X10" s="2">
        <f>COUNTIF(defects!$V:$V,Weekly!X$3&amp;Weekly!$B10&amp;Weekly!$B$3&amp;$B$2)</f>
        <v>0</v>
      </c>
      <c r="Y10" s="2">
        <f>COUNTIF(defects!$V:$V,Weekly!Y$3&amp;Weekly!$B10&amp;Weekly!$B$3&amp;$B$2)</f>
        <v>0</v>
      </c>
      <c r="Z10" s="2">
        <f>COUNTIF(defects!$V:$V,Weekly!Z$3&amp;Weekly!$B10&amp;Weekly!$B$3&amp;$B$2)</f>
        <v>0</v>
      </c>
      <c r="AA10" s="2">
        <f>COUNTIF(defects!$V:$V,Weekly!AA$3&amp;Weekly!$B10&amp;Weekly!$B$3&amp;$B$2)</f>
        <v>0</v>
      </c>
      <c r="AB10" s="2">
        <f>COUNTIF(defects!$V:$V,Weekly!AB$3&amp;Weekly!$B10&amp;Weekly!$B$3&amp;$B$2)</f>
        <v>0</v>
      </c>
      <c r="AC10" s="2">
        <f>COUNTIF(defects!$V:$V,Weekly!AC$3&amp;Weekly!$B10&amp;Weekly!$B$3&amp;$B$2)</f>
        <v>0</v>
      </c>
      <c r="AD10" s="2">
        <f>COUNTIF(defects!$V:$V,Weekly!AD$3&amp;Weekly!$B10&amp;Weekly!$B$3&amp;$B$2)</f>
        <v>0</v>
      </c>
      <c r="AE10" s="2">
        <f>COUNTIF(defects!$V:$V,Weekly!AE$3&amp;Weekly!$B10&amp;Weekly!$B$3&amp;$B$2)</f>
        <v>0</v>
      </c>
      <c r="AF10" s="2">
        <f>COUNTIF(defects!$V:$V,Weekly!AF$3&amp;Weekly!$B10&amp;Weekly!$B$3&amp;$B$2)</f>
        <v>0</v>
      </c>
      <c r="AG10" s="2">
        <f>COUNTIF(defects!$V:$V,Weekly!AG$3&amp;Weekly!$B10&amp;Weekly!$B$3&amp;$B$2)</f>
        <v>0</v>
      </c>
      <c r="AH10" s="2">
        <f>COUNTIF(defects!$V:$V,Weekly!AH$3&amp;Weekly!$B10&amp;Weekly!$B$3&amp;$B$2)</f>
        <v>0</v>
      </c>
      <c r="AI10" s="2">
        <f>COUNTIF(defects!$V:$V,Weekly!AI$3&amp;Weekly!$B10&amp;Weekly!$B$3&amp;$B$2)</f>
        <v>0</v>
      </c>
      <c r="AJ10" s="2">
        <f>COUNTIF(defects!$V:$V,Weekly!AJ$3&amp;Weekly!$B10&amp;Weekly!$B$3&amp;$B$2)</f>
        <v>0</v>
      </c>
      <c r="AK10" s="2">
        <f>COUNTIF(defects!$V:$V,Weekly!AK$3&amp;Weekly!$B10&amp;Weekly!$B$3&amp;$B$2)</f>
        <v>0</v>
      </c>
      <c r="AL10" s="2">
        <f>COUNTIF(defects!$V:$V,Weekly!AL$3&amp;Weekly!$B10&amp;Weekly!$B$3&amp;$B$2)</f>
        <v>0</v>
      </c>
      <c r="AM10" s="2">
        <f>COUNTIF(defects!$V:$V,Weekly!AM$3&amp;Weekly!$B10&amp;Weekly!$B$3&amp;$B$2)</f>
        <v>0</v>
      </c>
      <c r="AN10" s="2">
        <f>COUNTIF(defects!$V:$V,Weekly!AN$3&amp;Weekly!$B10&amp;Weekly!$B$3&amp;$B$2)</f>
        <v>0</v>
      </c>
      <c r="AO10" s="2">
        <f>COUNTIF(defects!$V:$V,Weekly!AO$3&amp;Weekly!$B10&amp;Weekly!$B$3&amp;$B$2)</f>
        <v>0</v>
      </c>
      <c r="AP10" s="2">
        <f>COUNTIF(defects!$V:$V,Weekly!AP$3&amp;Weekly!$B10&amp;Weekly!$B$3&amp;$B$2)</f>
        <v>0</v>
      </c>
      <c r="AQ10" s="2">
        <f>COUNTIF(defects!$V:$V,Weekly!AQ$3&amp;Weekly!$B10&amp;Weekly!$B$3&amp;$B$2)</f>
        <v>0</v>
      </c>
      <c r="AR10" s="2">
        <f>COUNTIF(defects!$V:$V,Weekly!AR$3&amp;Weekly!$B10&amp;Weekly!$B$3&amp;$B$2)</f>
        <v>0</v>
      </c>
      <c r="AS10" s="2">
        <f>COUNTIF(defects!$V:$V,Weekly!AS$3&amp;Weekly!$B10&amp;Weekly!$B$3&amp;$B$2)</f>
        <v>0</v>
      </c>
      <c r="AT10" s="2">
        <f>COUNTIF(defects!$V:$V,Weekly!AT$3&amp;Weekly!$B10&amp;Weekly!$B$3&amp;$B$2)</f>
        <v>0</v>
      </c>
      <c r="AU10" s="2">
        <f>COUNTIF(defects!$V:$V,Weekly!AU$3&amp;Weekly!$B10&amp;Weekly!$B$3&amp;$B$2)</f>
        <v>0</v>
      </c>
      <c r="AV10" s="2">
        <f>COUNTIF(defects!$V:$V,Weekly!AV$3&amp;Weekly!$B10&amp;Weekly!$B$3&amp;$B$2)</f>
        <v>0</v>
      </c>
      <c r="AW10" s="2">
        <f>COUNTIF(defects!$V:$V,Weekly!AW$3&amp;Weekly!$B10&amp;Weekly!$B$3&amp;$B$2)</f>
        <v>0</v>
      </c>
      <c r="AX10" s="2">
        <f>COUNTIF(defects!$V:$V,Weekly!AX$3&amp;Weekly!$B10&amp;Weekly!$B$3&amp;$B$2)</f>
        <v>0</v>
      </c>
      <c r="AY10" s="2">
        <f>COUNTIF(defects!$V:$V,Weekly!AY$3&amp;Weekly!$B10&amp;Weekly!$B$3&amp;$B$2)</f>
        <v>0</v>
      </c>
      <c r="AZ10" s="2">
        <f>COUNTIF(defects!$V:$V,Weekly!AZ$3&amp;Weekly!$B10&amp;Weekly!$B$3&amp;$B$2)</f>
        <v>0</v>
      </c>
      <c r="BA10" s="2">
        <f>COUNTIF(defects!$V:$V,Weekly!BA$3&amp;Weekly!$B10&amp;Weekly!$B$3&amp;$B$2)</f>
        <v>0</v>
      </c>
      <c r="BB10" s="2">
        <f>COUNTIF(defects!$V:$V,Weekly!BB$3&amp;Weekly!$B10&amp;Weekly!$B$3&amp;$B$2)</f>
        <v>0</v>
      </c>
      <c r="BC10" s="2">
        <f>COUNTIF(defects!$V:$V,Weekly!BC$3&amp;Weekly!$B10&amp;Weekly!$B$3&amp;$B$2)</f>
        <v>0</v>
      </c>
      <c r="BD10" s="2">
        <f>COUNTIF(defects!$V:$V,Weekly!BD$3&amp;Weekly!$B10&amp;Weekly!$B$3&amp;$B$2)</f>
        <v>0</v>
      </c>
      <c r="BE10" s="2">
        <f>COUNTIF(defects!$V:$V,Weekly!BE$3&amp;Weekly!$B10&amp;Weekly!$B$3&amp;$B$2)</f>
        <v>0</v>
      </c>
      <c r="BF10" s="2">
        <f>COUNTIF(defects!$V:$V,Weekly!BF$3&amp;Weekly!$B10&amp;Weekly!$B$3&amp;$B$2)</f>
        <v>0</v>
      </c>
      <c r="BG10" s="2">
        <f>COUNTIF(defects!$V:$V,Weekly!BG$3&amp;Weekly!$B10&amp;Weekly!$B$3&amp;$B$2)</f>
        <v>0</v>
      </c>
      <c r="BH10" s="2">
        <f>COUNTIF(defects!$V:$V,Weekly!BH$3&amp;Weekly!$B10&amp;Weekly!$B$3&amp;$B$2)</f>
        <v>0</v>
      </c>
      <c r="BI10" s="2">
        <f>COUNTIF(defects!$V:$V,Weekly!BI$3&amp;Weekly!$B10&amp;Weekly!$B$3&amp;$B$2)</f>
        <v>0</v>
      </c>
      <c r="BJ10" s="2">
        <f>COUNTIF(defects!$V:$V,Weekly!BJ$3&amp;Weekly!$B10&amp;Weekly!$B$3&amp;$B$2)</f>
        <v>0</v>
      </c>
      <c r="BK10" s="2">
        <f>COUNTIF(defects!$V:$V,Weekly!BK$3&amp;Weekly!$B10&amp;Weekly!$B$3&amp;$B$2)</f>
        <v>0</v>
      </c>
      <c r="BL10" s="2">
        <f>COUNTIF(defects!$V:$V,Weekly!BL$3&amp;Weekly!$B10&amp;Weekly!$B$3&amp;$B$2)</f>
        <v>0</v>
      </c>
      <c r="BM10" s="2">
        <f>COUNTIF(defects!$V:$V,Weekly!BM$3&amp;Weekly!$B10&amp;Weekly!$B$3&amp;$B$2)</f>
        <v>0</v>
      </c>
      <c r="BN10" s="2">
        <f>COUNTIF(defects!$V:$V,Weekly!BN$3&amp;Weekly!$B10&amp;Weekly!$B$3&amp;$B$2)</f>
        <v>0</v>
      </c>
      <c r="BO10" s="2">
        <f>COUNTIF(defects!$V:$V,Weekly!BO$3&amp;Weekly!$B10&amp;Weekly!$B$3&amp;$B$2)</f>
        <v>0</v>
      </c>
      <c r="BP10" s="2">
        <f>COUNTIF(defects!$V:$V,Weekly!BP$3&amp;Weekly!$B10&amp;Weekly!$B$3&amp;$B$2)</f>
        <v>0</v>
      </c>
      <c r="BQ10" s="2">
        <f>COUNTIF(defects!$V:$V,Weekly!BQ$3&amp;Weekly!$B10&amp;Weekly!$B$3&amp;$B$2)</f>
        <v>0</v>
      </c>
      <c r="BR10" s="2">
        <f>COUNTIF(defects!$V:$V,Weekly!BR$3&amp;Weekly!$B10&amp;Weekly!$B$3&amp;$B$2)</f>
        <v>1</v>
      </c>
      <c r="BS10" s="2">
        <f>COUNTIF(defects!$V:$V,Weekly!BS$3&amp;Weekly!$B10&amp;Weekly!$B$3&amp;$B$2)</f>
        <v>0</v>
      </c>
      <c r="BT10" s="2">
        <f>COUNTIF(defects!$V:$V,Weekly!BT$3&amp;Weekly!$B10&amp;Weekly!$B$3&amp;$B$2)</f>
        <v>0</v>
      </c>
      <c r="BU10" s="2">
        <f>COUNTIF(defects!$V:$V,Weekly!BU$3&amp;Weekly!$B10&amp;Weekly!$B$3&amp;$B$2)</f>
        <v>0</v>
      </c>
      <c r="BV10" s="2">
        <f>COUNTIF(defects!$V:$V,Weekly!BV$3&amp;Weekly!$B10&amp;Weekly!$B$3&amp;$B$2)</f>
        <v>0</v>
      </c>
      <c r="BW10" s="2">
        <f>COUNTIF(defects!$V:$V,Weekly!BW$3&amp;Weekly!$B10&amp;Weekly!$B$3&amp;$B$2)</f>
        <v>0</v>
      </c>
      <c r="BX10" s="2">
        <f>COUNTIF(defects!$V:$V,Weekly!BX$3&amp;Weekly!$B10&amp;Weekly!$B$3&amp;$B$2)</f>
        <v>0</v>
      </c>
      <c r="BY10" s="2">
        <f>COUNTIF(defects!$V:$V,Weekly!BY$3&amp;Weekly!$B10&amp;Weekly!$B$3&amp;$B$2)</f>
        <v>0</v>
      </c>
      <c r="BZ10" s="2">
        <f>COUNTIF(defects!$V:$V,Weekly!BZ$3&amp;Weekly!$B10&amp;Weekly!$B$3&amp;$B$2)</f>
        <v>0</v>
      </c>
      <c r="CA10" s="2">
        <f>COUNTIF(defects!$V:$V,Weekly!CA$3&amp;Weekly!$B10&amp;Weekly!$B$3&amp;$B$2)</f>
        <v>0</v>
      </c>
      <c r="CB10" s="2">
        <f>COUNTIF(defects!$V:$V,Weekly!CB$3&amp;Weekly!$B10&amp;Weekly!$B$3&amp;$B$2)</f>
        <v>0</v>
      </c>
      <c r="CC10" s="2">
        <f>COUNTIF(defects!$V:$V,Weekly!CC$3&amp;Weekly!$B10&amp;Weekly!$B$3&amp;$B$2)</f>
        <v>0</v>
      </c>
      <c r="CD10" s="2">
        <f>COUNTIF(defects!$V:$V,Weekly!CD$3&amp;Weekly!$B10&amp;Weekly!$B$3&amp;$B$2)</f>
        <v>0</v>
      </c>
      <c r="CE10" s="2">
        <f>COUNTIF(defects!$V:$V,Weekly!CE$3&amp;Weekly!$B10&amp;Weekly!$B$3&amp;$B$2)</f>
        <v>0</v>
      </c>
      <c r="CF10" s="2">
        <f>COUNTIF(defects!$V:$V,Weekly!CF$3&amp;Weekly!$B10&amp;Weekly!$B$3&amp;$B$2)</f>
        <v>0</v>
      </c>
      <c r="CG10" s="2">
        <f>COUNTIF(defects!$V:$V,Weekly!CG$3&amp;Weekly!$B10&amp;Weekly!$B$3&amp;$B$2)</f>
        <v>1</v>
      </c>
      <c r="CH10" s="2">
        <f>COUNTIF(defects!$V:$V,Weekly!CH$3&amp;Weekly!$B10&amp;Weekly!$B$3&amp;$B$2)</f>
        <v>0</v>
      </c>
      <c r="CI10" s="2">
        <f>COUNTIF(defects!$V:$V,Weekly!CI$3&amp;Weekly!$B10&amp;Weekly!$B$3&amp;$B$2)</f>
        <v>0</v>
      </c>
      <c r="CJ10" s="2">
        <f>COUNTIF(defects!$V:$V,Weekly!CJ$3&amp;Weekly!$B10&amp;Weekly!$B$3&amp;$B$2)</f>
        <v>0</v>
      </c>
      <c r="CK10" s="2">
        <f>COUNTIF(defects!$V:$V,Weekly!CK$3&amp;Weekly!$B10&amp;Weekly!$B$3&amp;$B$2)</f>
        <v>0</v>
      </c>
      <c r="CL10" s="2">
        <f>COUNTIF(defects!$V:$V,Weekly!CL$3&amp;Weekly!$B10&amp;Weekly!$B$3&amp;$B$2)</f>
        <v>0</v>
      </c>
      <c r="CM10" s="2">
        <f>COUNTIF(defects!$V:$V,Weekly!CM$3&amp;Weekly!$B10&amp;Weekly!$B$3&amp;$B$2)</f>
        <v>0</v>
      </c>
      <c r="CN10" s="2">
        <f>COUNTIF(defects!$V:$V,Weekly!CN$3&amp;Weekly!$B10&amp;Weekly!$B$3&amp;$B$2)</f>
        <v>0</v>
      </c>
      <c r="CO10" s="2">
        <f>COUNTIF(defects!$V:$V,Weekly!CO$3&amp;Weekly!$B10&amp;Weekly!$B$3&amp;$B$2)</f>
        <v>0</v>
      </c>
      <c r="CP10" s="2">
        <f>COUNTIF(defects!$V:$V,Weekly!CP$3&amp;Weekly!$B10&amp;Weekly!$B$3&amp;$B$2)</f>
        <v>0</v>
      </c>
      <c r="CQ10" s="2">
        <f>COUNTIF(defects!$V:$V,Weekly!CQ$3&amp;Weekly!$B10&amp;Weekly!$B$3&amp;$B$2)</f>
        <v>0</v>
      </c>
      <c r="CR10" s="2">
        <f>COUNTIF(defects!$V:$V,Weekly!CR$3&amp;Weekly!$B10&amp;Weekly!$B$3&amp;$B$2)</f>
        <v>0</v>
      </c>
      <c r="CS10" s="2">
        <f>COUNTIF(defects!$V:$V,Weekly!CS$3&amp;Weekly!$B10&amp;Weekly!$B$3&amp;$B$2)</f>
        <v>0</v>
      </c>
      <c r="CT10" s="2">
        <f>COUNTIF(defects!$V:$V,Weekly!CT$3&amp;Weekly!$B10&amp;Weekly!$B$3&amp;$B$2)</f>
        <v>0</v>
      </c>
      <c r="CU10" s="2">
        <f>COUNTIF(defects!$V:$V,Weekly!CU$3&amp;Weekly!$B10&amp;Weekly!$B$3&amp;$B$2)</f>
        <v>0</v>
      </c>
      <c r="CV10" s="2">
        <f>COUNTIF(defects!$V:$V,Weekly!CV$3&amp;Weekly!$B10&amp;Weekly!$B$3&amp;$B$2)</f>
        <v>0</v>
      </c>
      <c r="CW10" s="2">
        <f>COUNTIF(defects!$V:$V,Weekly!CW$3&amp;Weekly!$B10&amp;Weekly!$B$3&amp;$B$2)</f>
        <v>0</v>
      </c>
      <c r="CX10" s="2">
        <f>COUNTIF(defects!$V:$V,Weekly!CX$3&amp;Weekly!$B10&amp;Weekly!$B$3&amp;$B$2)</f>
        <v>0</v>
      </c>
      <c r="CY10" s="2">
        <f>COUNTIF(defects!$V:$V,Weekly!CY$3&amp;Weekly!$B10&amp;Weekly!$B$3&amp;$B$2)</f>
        <v>0</v>
      </c>
      <c r="CZ10" s="2">
        <f>COUNTIF(defects!$V:$V,Weekly!CZ$3&amp;Weekly!$B10&amp;Weekly!$B$3&amp;$B$2)</f>
        <v>0</v>
      </c>
      <c r="DA10" s="2">
        <f>COUNTIF(defects!$V:$V,Weekly!DA$3&amp;Weekly!$B10&amp;Weekly!$B$3&amp;$B$2)</f>
        <v>0</v>
      </c>
      <c r="DB10" s="2">
        <f>COUNTIF(defects!$V:$V,Weekly!DB$3&amp;Weekly!$B10&amp;Weekly!$B$3&amp;$B$2)</f>
        <v>0</v>
      </c>
      <c r="DC10" s="2">
        <f>COUNTIF(defects!$V:$V,Weekly!DC$3&amp;Weekly!$B10&amp;Weekly!$B$3&amp;$B$2)</f>
        <v>0</v>
      </c>
      <c r="DD10" s="2">
        <f>COUNTIF(defects!$V:$V,Weekly!DD$3&amp;Weekly!$B10&amp;Weekly!$B$3&amp;$B$2)</f>
        <v>0</v>
      </c>
      <c r="DE10" s="2">
        <f>COUNTIF(defects!$V:$V,Weekly!DE$3&amp;Weekly!$B10&amp;Weekly!$B$3&amp;$B$2)</f>
        <v>0</v>
      </c>
      <c r="DF10" s="2">
        <f>COUNTIF(defects!$V:$V,Weekly!DF$3&amp;Weekly!$B10&amp;Weekly!$B$3&amp;$B$2)</f>
        <v>0</v>
      </c>
      <c r="DG10" s="2">
        <f>COUNTIF(defects!$V:$V,Weekly!DG$3&amp;Weekly!$B10&amp;Weekly!$B$3&amp;$B$2)</f>
        <v>0</v>
      </c>
      <c r="DH10" s="2">
        <f>COUNTIF(defects!$V:$V,Weekly!DH$3&amp;Weekly!$B10&amp;Weekly!$B$3&amp;$B$2)</f>
        <v>0</v>
      </c>
      <c r="DI10" s="2">
        <f>COUNTIF(defects!$V:$V,Weekly!DI$3&amp;Weekly!$B10&amp;Weekly!$B$3&amp;$B$2)</f>
        <v>0</v>
      </c>
      <c r="DJ10" s="2">
        <f>COUNTIF(defects!$V:$V,Weekly!DJ$3&amp;Weekly!$B10&amp;Weekly!$B$3&amp;$B$2)</f>
        <v>0</v>
      </c>
      <c r="DK10" s="2">
        <f>COUNTIF(defects!$V:$V,Weekly!DK$3&amp;Weekly!$B10&amp;Weekly!$B$3&amp;$B$2)</f>
        <v>0</v>
      </c>
      <c r="DL10" s="2">
        <f>COUNTIF(defects!$V:$V,Weekly!DL$3&amp;Weekly!$B10&amp;Weekly!$B$3&amp;$B$2)</f>
        <v>0</v>
      </c>
      <c r="DM10" s="2">
        <f>COUNTIF(defects!$V:$V,Weekly!DM$3&amp;Weekly!$B10&amp;Weekly!$B$3&amp;$B$2)</f>
        <v>0</v>
      </c>
      <c r="DN10" s="2">
        <f>COUNTIF(defects!$V:$V,Weekly!DN$3&amp;Weekly!$B10&amp;Weekly!$B$3&amp;$B$2)</f>
        <v>0</v>
      </c>
      <c r="DO10" s="2">
        <f>COUNTIF(defects!$V:$V,Weekly!DO$3&amp;Weekly!$B10&amp;Weekly!$B$3&amp;$B$2)</f>
        <v>0</v>
      </c>
      <c r="DP10" s="2">
        <f>COUNTIF(defects!$V:$V,Weekly!DP$3&amp;Weekly!$B10&amp;Weekly!$B$3&amp;$B$2)</f>
        <v>0</v>
      </c>
      <c r="DQ10" s="2">
        <f>COUNTIF(defects!$V:$V,Weekly!DQ$3&amp;Weekly!$B10&amp;Weekly!$B$3&amp;$B$2)</f>
        <v>0</v>
      </c>
      <c r="DR10" s="2">
        <f>COUNTIF(defects!$V:$V,Weekly!DR$3&amp;Weekly!$B10&amp;Weekly!$B$3&amp;$B$2)</f>
        <v>0</v>
      </c>
      <c r="DS10" s="2">
        <f>COUNTIF(defects!$V:$V,Weekly!DS$3&amp;Weekly!$B10&amp;Weekly!$B$3&amp;$B$2)</f>
        <v>0</v>
      </c>
      <c r="DT10" s="2">
        <f>COUNTIF(defects!$V:$V,Weekly!DT$3&amp;Weekly!$B10&amp;Weekly!$B$3&amp;$B$2)</f>
        <v>0</v>
      </c>
      <c r="DU10" s="2">
        <f>COUNTIF(defects!$V:$V,Weekly!DU$3&amp;Weekly!$B10&amp;Weekly!$B$3&amp;$B$2)</f>
        <v>0</v>
      </c>
      <c r="DV10" s="2">
        <f>COUNTIF(defects!$V:$V,Weekly!DV$3&amp;Weekly!$B10&amp;Weekly!$B$3&amp;$B$2)</f>
        <v>0</v>
      </c>
      <c r="DW10" s="2">
        <f>COUNTIF(defects!$V:$V,Weekly!DW$3&amp;Weekly!$B10&amp;Weekly!$B$3&amp;$B$2)</f>
        <v>0</v>
      </c>
      <c r="DX10" s="2">
        <f>COUNTIF(defects!$V:$V,Weekly!DX$3&amp;Weekly!$B10&amp;Weekly!$B$3&amp;$B$2)</f>
        <v>0</v>
      </c>
      <c r="DY10" s="2">
        <f>COUNTIF(defects!$V:$V,Weekly!DY$3&amp;Weekly!$B10&amp;Weekly!$B$3&amp;$B$2)</f>
        <v>0</v>
      </c>
      <c r="DZ10" s="2">
        <f>COUNTIF(defects!$V:$V,Weekly!DZ$3&amp;Weekly!$B10&amp;Weekly!$B$3&amp;$B$2)</f>
        <v>0</v>
      </c>
      <c r="EA10" s="2">
        <f>COUNTIF(defects!$V:$V,Weekly!EA$3&amp;Weekly!$B10&amp;Weekly!$B$3&amp;$B$2)</f>
        <v>0</v>
      </c>
      <c r="EB10" s="2">
        <f>COUNTIF(defects!$V:$V,Weekly!EB$3&amp;Weekly!$B10&amp;Weekly!$B$3&amp;$B$2)</f>
        <v>0</v>
      </c>
      <c r="EC10" s="2">
        <f>COUNTIF(defects!$V:$V,Weekly!EC$3&amp;Weekly!$B10&amp;Weekly!$B$3&amp;$B$2)</f>
        <v>0</v>
      </c>
      <c r="ED10" s="2">
        <f>COUNTIF(defects!$V:$V,Weekly!ED$3&amp;Weekly!$B10&amp;Weekly!$B$3&amp;$B$2)</f>
        <v>0</v>
      </c>
      <c r="EE10" s="2">
        <f>COUNTIF(defects!$V:$V,Weekly!EE$3&amp;Weekly!$B10&amp;Weekly!$B$3&amp;$B$2)</f>
        <v>0</v>
      </c>
      <c r="EF10" s="2">
        <f>COUNTIF(defects!$V:$V,Weekly!EF$3&amp;Weekly!$B10&amp;Weekly!$B$3&amp;$B$2)</f>
        <v>0</v>
      </c>
      <c r="EG10" s="2">
        <f>COUNTIF(defects!$V:$V,Weekly!EG$3&amp;Weekly!$B10&amp;Weekly!$B$3&amp;$B$2)</f>
        <v>0</v>
      </c>
      <c r="EH10" s="2">
        <f>COUNTIF(defects!$V:$V,Weekly!EH$3&amp;Weekly!$B10&amp;Weekly!$B$3&amp;$B$2)</f>
        <v>0</v>
      </c>
      <c r="EI10" s="2">
        <f>COUNTIF(defects!$V:$V,Weekly!EI$3&amp;Weekly!$B10&amp;Weekly!$B$3&amp;$B$2)</f>
        <v>0</v>
      </c>
      <c r="EJ10" s="2">
        <f>COUNTIF(defects!$V:$V,Weekly!EJ$3&amp;Weekly!$B10&amp;Weekly!$B$3&amp;$B$2)</f>
        <v>0</v>
      </c>
      <c r="EK10" s="2">
        <f>COUNTIF(defects!$V:$V,Weekly!EK$3&amp;Weekly!$B10&amp;Weekly!$B$3&amp;$B$2)</f>
        <v>0</v>
      </c>
      <c r="EL10" s="2">
        <f>COUNTIF(defects!$V:$V,Weekly!EL$3&amp;Weekly!$B10&amp;Weekly!$B$3&amp;$B$2)</f>
        <v>0</v>
      </c>
      <c r="EM10" s="2">
        <f>COUNTIF(defects!$V:$V,Weekly!EM$3&amp;Weekly!$B10&amp;Weekly!$B$3&amp;$B$2)</f>
        <v>0</v>
      </c>
      <c r="EN10" s="2">
        <f>COUNTIF(defects!$V:$V,Weekly!EN$3&amp;Weekly!$B10&amp;Weekly!$B$3&amp;$B$2)</f>
        <v>0</v>
      </c>
      <c r="EO10" s="2">
        <f>COUNTIF(defects!$V:$V,Weekly!EO$3&amp;Weekly!$B10&amp;Weekly!$B$3&amp;$B$2)</f>
        <v>0</v>
      </c>
      <c r="EP10" s="2">
        <f>COUNTIF(defects!$V:$V,Weekly!EP$3&amp;Weekly!$B10&amp;Weekly!$B$3&amp;$B$2)</f>
        <v>0</v>
      </c>
      <c r="EQ10" s="2">
        <f>COUNTIF(defects!$V:$V,Weekly!EQ$3&amp;Weekly!$B10&amp;Weekly!$B$3&amp;$B$2)</f>
        <v>0</v>
      </c>
      <c r="ER10" s="2">
        <f>COUNTIF(defects!$V:$V,Weekly!ER$3&amp;Weekly!$B10&amp;Weekly!$B$3&amp;$B$2)</f>
        <v>0</v>
      </c>
      <c r="ES10" s="2">
        <f>COUNTIF(defects!$V:$V,Weekly!ES$3&amp;Weekly!$B10&amp;Weekly!$B$3&amp;$B$2)</f>
        <v>0</v>
      </c>
      <c r="ET10" s="2">
        <f>COUNTIF(defects!$V:$V,Weekly!ET$3&amp;Weekly!$B10&amp;Weekly!$B$3&amp;$B$2)</f>
        <v>0</v>
      </c>
      <c r="EU10" s="2">
        <f>COUNTIF(defects!$V:$V,Weekly!EU$3&amp;Weekly!$B10&amp;Weekly!$B$3&amp;$B$2)</f>
        <v>0</v>
      </c>
      <c r="EV10" s="2">
        <f>COUNTIF(defects!$V:$V,Weekly!EV$3&amp;Weekly!$B10&amp;Weekly!$B$3&amp;$B$2)</f>
        <v>0</v>
      </c>
      <c r="EW10" s="2">
        <f>COUNTIF(defects!$V:$V,Weekly!EW$3&amp;Weekly!$B10&amp;Weekly!$B$3&amp;$B$2)</f>
        <v>0</v>
      </c>
      <c r="EX10" s="2">
        <f>COUNTIF(defects!$V:$V,Weekly!EX$3&amp;Weekly!$B10&amp;Weekly!$B$3&amp;$B$2)</f>
        <v>0</v>
      </c>
      <c r="EY10" s="2">
        <f>COUNTIF(defects!$V:$V,Weekly!EY$3&amp;Weekly!$B10&amp;Weekly!$B$3&amp;$B$2)</f>
        <v>0</v>
      </c>
      <c r="EZ10" s="2">
        <f>COUNTIF(defects!$V:$V,Weekly!EZ$3&amp;Weekly!$B10&amp;Weekly!$B$3&amp;$B$2)</f>
        <v>0</v>
      </c>
      <c r="FA10" s="2">
        <f>COUNTIF(defects!$V:$V,Weekly!FA$3&amp;Weekly!$B10&amp;Weekly!$B$3&amp;$B$2)</f>
        <v>0</v>
      </c>
      <c r="FB10" s="2">
        <f>COUNTIF(defects!$V:$V,Weekly!FB$3&amp;Weekly!$B10&amp;Weekly!$B$3&amp;$B$2)</f>
        <v>0</v>
      </c>
      <c r="FC10" s="2">
        <f>COUNTIF(defects!$V:$V,Weekly!FC$3&amp;Weekly!$B10&amp;Weekly!$B$3&amp;$B$2)</f>
        <v>0</v>
      </c>
      <c r="FD10" s="2">
        <f>COUNTIF(defects!$V:$V,Weekly!FD$3&amp;Weekly!$B10&amp;Weekly!$B$3&amp;$B$2)</f>
        <v>0</v>
      </c>
      <c r="FE10" s="2">
        <f>COUNTIF(defects!$V:$V,Weekly!FE$3&amp;Weekly!$B10&amp;Weekly!$B$3&amp;$B$2)</f>
        <v>0</v>
      </c>
    </row>
    <row r="11" spans="2:161" x14ac:dyDescent="0.35">
      <c r="B11" s="2" t="s">
        <v>1341</v>
      </c>
      <c r="C11" s="2">
        <f>COUNTIF(defects!$V:$V,Weekly!C$3&amp;Weekly!$B11&amp;Weekly!$B$3&amp;$B$2)</f>
        <v>0</v>
      </c>
      <c r="D11" s="2">
        <f>COUNTIF(defects!$V:$V,Weekly!D$3&amp;Weekly!$B11&amp;Weekly!$B$3&amp;$B$2)</f>
        <v>0</v>
      </c>
      <c r="E11" s="2">
        <f>COUNTIF(defects!$V:$V,Weekly!E$3&amp;Weekly!$B11&amp;Weekly!$B$3&amp;$B$2)</f>
        <v>0</v>
      </c>
      <c r="F11" s="2">
        <f>COUNTIF(defects!$V:$V,Weekly!F$3&amp;Weekly!$B11&amp;Weekly!$B$3&amp;$B$2)</f>
        <v>0</v>
      </c>
      <c r="G11" s="2">
        <f>COUNTIF(defects!$V:$V,Weekly!G$3&amp;Weekly!$B11&amp;Weekly!$B$3&amp;$B$2)</f>
        <v>0</v>
      </c>
      <c r="H11" s="2">
        <f>COUNTIF(defects!$V:$V,Weekly!H$3&amp;Weekly!$B11&amp;Weekly!$B$3&amp;$B$2)</f>
        <v>0</v>
      </c>
      <c r="I11" s="2">
        <f>COUNTIF(defects!$V:$V,Weekly!I$3&amp;Weekly!$B11&amp;Weekly!$B$3&amp;$B$2)</f>
        <v>0</v>
      </c>
      <c r="J11" s="2">
        <f>COUNTIF(defects!$V:$V,Weekly!J$3&amp;Weekly!$B11&amp;Weekly!$B$3&amp;$B$2)</f>
        <v>0</v>
      </c>
      <c r="K11" s="2">
        <f>COUNTIF(defects!$V:$V,Weekly!K$3&amp;Weekly!$B11&amp;Weekly!$B$3&amp;$B$2)</f>
        <v>0</v>
      </c>
      <c r="L11" s="2">
        <f>COUNTIF(defects!$V:$V,Weekly!L$3&amp;Weekly!$B11&amp;Weekly!$B$3&amp;$B$2)</f>
        <v>0</v>
      </c>
      <c r="M11" s="2">
        <f>COUNTIF(defects!$V:$V,Weekly!M$3&amp;Weekly!$B11&amp;Weekly!$B$3&amp;$B$2)</f>
        <v>0</v>
      </c>
      <c r="N11" s="2">
        <f>COUNTIF(defects!$V:$V,Weekly!N$3&amp;Weekly!$B11&amp;Weekly!$B$3&amp;$B$2)</f>
        <v>0</v>
      </c>
      <c r="O11" s="2">
        <f>COUNTIF(defects!$V:$V,Weekly!O$3&amp;Weekly!$B11&amp;Weekly!$B$3&amp;$B$2)</f>
        <v>0</v>
      </c>
      <c r="P11" s="2">
        <f>COUNTIF(defects!$V:$V,Weekly!P$3&amp;Weekly!$B11&amp;Weekly!$B$3&amp;$B$2)</f>
        <v>0</v>
      </c>
      <c r="Q11" s="2">
        <f>COUNTIF(defects!$V:$V,Weekly!Q$3&amp;Weekly!$B11&amp;Weekly!$B$3&amp;$B$2)</f>
        <v>0</v>
      </c>
      <c r="R11" s="2">
        <f>COUNTIF(defects!$V:$V,Weekly!R$3&amp;Weekly!$B11&amp;Weekly!$B$3&amp;$B$2)</f>
        <v>0</v>
      </c>
      <c r="S11" s="2">
        <f>COUNTIF(defects!$V:$V,Weekly!S$3&amp;Weekly!$B11&amp;Weekly!$B$3&amp;$B$2)</f>
        <v>0</v>
      </c>
      <c r="T11" s="2">
        <f>COUNTIF(defects!$V:$V,Weekly!T$3&amp;Weekly!$B11&amp;Weekly!$B$3&amp;$B$2)</f>
        <v>0</v>
      </c>
      <c r="U11" s="2">
        <f>COUNTIF(defects!$V:$V,Weekly!U$3&amp;Weekly!$B11&amp;Weekly!$B$3&amp;$B$2)</f>
        <v>0</v>
      </c>
      <c r="V11" s="2">
        <f>COUNTIF(defects!$V:$V,Weekly!V$3&amp;Weekly!$B11&amp;Weekly!$B$3&amp;$B$2)</f>
        <v>0</v>
      </c>
      <c r="W11" s="2">
        <f>COUNTIF(defects!$V:$V,Weekly!W$3&amp;Weekly!$B11&amp;Weekly!$B$3&amp;$B$2)</f>
        <v>0</v>
      </c>
      <c r="X11" s="2">
        <f>COUNTIF(defects!$V:$V,Weekly!X$3&amp;Weekly!$B11&amp;Weekly!$B$3&amp;$B$2)</f>
        <v>0</v>
      </c>
      <c r="Y11" s="2">
        <f>COUNTIF(defects!$V:$V,Weekly!Y$3&amp;Weekly!$B11&amp;Weekly!$B$3&amp;$B$2)</f>
        <v>0</v>
      </c>
      <c r="Z11" s="2">
        <f>COUNTIF(defects!$V:$V,Weekly!Z$3&amp;Weekly!$B11&amp;Weekly!$B$3&amp;$B$2)</f>
        <v>0</v>
      </c>
      <c r="AA11" s="2">
        <f>COUNTIF(defects!$V:$V,Weekly!AA$3&amp;Weekly!$B11&amp;Weekly!$B$3&amp;$B$2)</f>
        <v>0</v>
      </c>
      <c r="AB11" s="2">
        <f>COUNTIF(defects!$V:$V,Weekly!AB$3&amp;Weekly!$B11&amp;Weekly!$B$3&amp;$B$2)</f>
        <v>0</v>
      </c>
      <c r="AC11" s="2">
        <f>COUNTIF(defects!$V:$V,Weekly!AC$3&amp;Weekly!$B11&amp;Weekly!$B$3&amp;$B$2)</f>
        <v>0</v>
      </c>
      <c r="AD11" s="2">
        <f>COUNTIF(defects!$V:$V,Weekly!AD$3&amp;Weekly!$B11&amp;Weekly!$B$3&amp;$B$2)</f>
        <v>0</v>
      </c>
      <c r="AE11" s="2">
        <f>COUNTIF(defects!$V:$V,Weekly!AE$3&amp;Weekly!$B11&amp;Weekly!$B$3&amp;$B$2)</f>
        <v>0</v>
      </c>
      <c r="AF11" s="2">
        <f>COUNTIF(defects!$V:$V,Weekly!AF$3&amp;Weekly!$B11&amp;Weekly!$B$3&amp;$B$2)</f>
        <v>0</v>
      </c>
      <c r="AG11" s="2">
        <f>COUNTIF(defects!$V:$V,Weekly!AG$3&amp;Weekly!$B11&amp;Weekly!$B$3&amp;$B$2)</f>
        <v>0</v>
      </c>
      <c r="AH11" s="2">
        <f>COUNTIF(defects!$V:$V,Weekly!AH$3&amp;Weekly!$B11&amp;Weekly!$B$3&amp;$B$2)</f>
        <v>0</v>
      </c>
      <c r="AI11" s="2">
        <f>COUNTIF(defects!$V:$V,Weekly!AI$3&amp;Weekly!$B11&amp;Weekly!$B$3&amp;$B$2)</f>
        <v>0</v>
      </c>
      <c r="AJ11" s="2">
        <f>COUNTIF(defects!$V:$V,Weekly!AJ$3&amp;Weekly!$B11&amp;Weekly!$B$3&amp;$B$2)</f>
        <v>0</v>
      </c>
      <c r="AK11" s="2">
        <f>COUNTIF(defects!$V:$V,Weekly!AK$3&amp;Weekly!$B11&amp;Weekly!$B$3&amp;$B$2)</f>
        <v>0</v>
      </c>
      <c r="AL11" s="2">
        <f>COUNTIF(defects!$V:$V,Weekly!AL$3&amp;Weekly!$B11&amp;Weekly!$B$3&amp;$B$2)</f>
        <v>0</v>
      </c>
      <c r="AM11" s="2">
        <f>COUNTIF(defects!$V:$V,Weekly!AM$3&amp;Weekly!$B11&amp;Weekly!$B$3&amp;$B$2)</f>
        <v>0</v>
      </c>
      <c r="AN11" s="2">
        <f>COUNTIF(defects!$V:$V,Weekly!AN$3&amp;Weekly!$B11&amp;Weekly!$B$3&amp;$B$2)</f>
        <v>0</v>
      </c>
      <c r="AO11" s="2">
        <f>COUNTIF(defects!$V:$V,Weekly!AO$3&amp;Weekly!$B11&amp;Weekly!$B$3&amp;$B$2)</f>
        <v>0</v>
      </c>
      <c r="AP11" s="2">
        <f>COUNTIF(defects!$V:$V,Weekly!AP$3&amp;Weekly!$B11&amp;Weekly!$B$3&amp;$B$2)</f>
        <v>0</v>
      </c>
      <c r="AQ11" s="2">
        <f>COUNTIF(defects!$V:$V,Weekly!AQ$3&amp;Weekly!$B11&amp;Weekly!$B$3&amp;$B$2)</f>
        <v>0</v>
      </c>
      <c r="AR11" s="2">
        <f>COUNTIF(defects!$V:$V,Weekly!AR$3&amp;Weekly!$B11&amp;Weekly!$B$3&amp;$B$2)</f>
        <v>0</v>
      </c>
      <c r="AS11" s="2">
        <f>COUNTIF(defects!$V:$V,Weekly!AS$3&amp;Weekly!$B11&amp;Weekly!$B$3&amp;$B$2)</f>
        <v>0</v>
      </c>
      <c r="AT11" s="2">
        <f>COUNTIF(defects!$V:$V,Weekly!AT$3&amp;Weekly!$B11&amp;Weekly!$B$3&amp;$B$2)</f>
        <v>0</v>
      </c>
      <c r="AU11" s="2">
        <f>COUNTIF(defects!$V:$V,Weekly!AU$3&amp;Weekly!$B11&amp;Weekly!$B$3&amp;$B$2)</f>
        <v>0</v>
      </c>
      <c r="AV11" s="2">
        <f>COUNTIF(defects!$V:$V,Weekly!AV$3&amp;Weekly!$B11&amp;Weekly!$B$3&amp;$B$2)</f>
        <v>0</v>
      </c>
      <c r="AW11" s="2">
        <f>COUNTIF(defects!$V:$V,Weekly!AW$3&amp;Weekly!$B11&amp;Weekly!$B$3&amp;$B$2)</f>
        <v>0</v>
      </c>
      <c r="AX11" s="2">
        <f>COUNTIF(defects!$V:$V,Weekly!AX$3&amp;Weekly!$B11&amp;Weekly!$B$3&amp;$B$2)</f>
        <v>0</v>
      </c>
      <c r="AY11" s="2">
        <f>COUNTIF(defects!$V:$V,Weekly!AY$3&amp;Weekly!$B11&amp;Weekly!$B$3&amp;$B$2)</f>
        <v>0</v>
      </c>
      <c r="AZ11" s="2">
        <f>COUNTIF(defects!$V:$V,Weekly!AZ$3&amp;Weekly!$B11&amp;Weekly!$B$3&amp;$B$2)</f>
        <v>0</v>
      </c>
      <c r="BA11" s="2">
        <f>COUNTIF(defects!$V:$V,Weekly!BA$3&amp;Weekly!$B11&amp;Weekly!$B$3&amp;$B$2)</f>
        <v>0</v>
      </c>
      <c r="BB11" s="2">
        <f>COUNTIF(defects!$V:$V,Weekly!BB$3&amp;Weekly!$B11&amp;Weekly!$B$3&amp;$B$2)</f>
        <v>0</v>
      </c>
      <c r="BC11" s="2">
        <f>COUNTIF(defects!$V:$V,Weekly!BC$3&amp;Weekly!$B11&amp;Weekly!$B$3&amp;$B$2)</f>
        <v>0</v>
      </c>
      <c r="BD11" s="2">
        <f>COUNTIF(defects!$V:$V,Weekly!BD$3&amp;Weekly!$B11&amp;Weekly!$B$3&amp;$B$2)</f>
        <v>0</v>
      </c>
      <c r="BE11" s="2">
        <f>COUNTIF(defects!$V:$V,Weekly!BE$3&amp;Weekly!$B11&amp;Weekly!$B$3&amp;$B$2)</f>
        <v>0</v>
      </c>
      <c r="BF11" s="2">
        <f>COUNTIF(defects!$V:$V,Weekly!BF$3&amp;Weekly!$B11&amp;Weekly!$B$3&amp;$B$2)</f>
        <v>0</v>
      </c>
      <c r="BG11" s="2">
        <f>COUNTIF(defects!$V:$V,Weekly!BG$3&amp;Weekly!$B11&amp;Weekly!$B$3&amp;$B$2)</f>
        <v>0</v>
      </c>
      <c r="BH11" s="2">
        <f>COUNTIF(defects!$V:$V,Weekly!BH$3&amp;Weekly!$B11&amp;Weekly!$B$3&amp;$B$2)</f>
        <v>0</v>
      </c>
      <c r="BI11" s="2">
        <f>COUNTIF(defects!$V:$V,Weekly!BI$3&amp;Weekly!$B11&amp;Weekly!$B$3&amp;$B$2)</f>
        <v>0</v>
      </c>
      <c r="BJ11" s="2">
        <f>COUNTIF(defects!$V:$V,Weekly!BJ$3&amp;Weekly!$B11&amp;Weekly!$B$3&amp;$B$2)</f>
        <v>0</v>
      </c>
      <c r="BK11" s="2">
        <f>COUNTIF(defects!$V:$V,Weekly!BK$3&amp;Weekly!$B11&amp;Weekly!$B$3&amp;$B$2)</f>
        <v>0</v>
      </c>
      <c r="BL11" s="2">
        <f>COUNTIF(defects!$V:$V,Weekly!BL$3&amp;Weekly!$B11&amp;Weekly!$B$3&amp;$B$2)</f>
        <v>0</v>
      </c>
      <c r="BM11" s="2">
        <f>COUNTIF(defects!$V:$V,Weekly!BM$3&amp;Weekly!$B11&amp;Weekly!$B$3&amp;$B$2)</f>
        <v>0</v>
      </c>
      <c r="BN11" s="2">
        <f>COUNTIF(defects!$V:$V,Weekly!BN$3&amp;Weekly!$B11&amp;Weekly!$B$3&amp;$B$2)</f>
        <v>0</v>
      </c>
      <c r="BO11" s="2">
        <f>COUNTIF(defects!$V:$V,Weekly!BO$3&amp;Weekly!$B11&amp;Weekly!$B$3&amp;$B$2)</f>
        <v>0</v>
      </c>
      <c r="BP11" s="2">
        <f>COUNTIF(defects!$V:$V,Weekly!BP$3&amp;Weekly!$B11&amp;Weekly!$B$3&amp;$B$2)</f>
        <v>0</v>
      </c>
      <c r="BQ11" s="2">
        <f>COUNTIF(defects!$V:$V,Weekly!BQ$3&amp;Weekly!$B11&amp;Weekly!$B$3&amp;$B$2)</f>
        <v>0</v>
      </c>
      <c r="BR11" s="2">
        <f>COUNTIF(defects!$V:$V,Weekly!BR$3&amp;Weekly!$B11&amp;Weekly!$B$3&amp;$B$2)</f>
        <v>0</v>
      </c>
      <c r="BS11" s="2">
        <f>COUNTIF(defects!$V:$V,Weekly!BS$3&amp;Weekly!$B11&amp;Weekly!$B$3&amp;$B$2)</f>
        <v>0</v>
      </c>
      <c r="BT11" s="2">
        <f>COUNTIF(defects!$V:$V,Weekly!BT$3&amp;Weekly!$B11&amp;Weekly!$B$3&amp;$B$2)</f>
        <v>0</v>
      </c>
      <c r="BU11" s="2">
        <f>COUNTIF(defects!$V:$V,Weekly!BU$3&amp;Weekly!$B11&amp;Weekly!$B$3&amp;$B$2)</f>
        <v>0</v>
      </c>
      <c r="BV11" s="2">
        <f>COUNTIF(defects!$V:$V,Weekly!BV$3&amp;Weekly!$B11&amp;Weekly!$B$3&amp;$B$2)</f>
        <v>0</v>
      </c>
      <c r="BW11" s="2">
        <f>COUNTIF(defects!$V:$V,Weekly!BW$3&amp;Weekly!$B11&amp;Weekly!$B$3&amp;$B$2)</f>
        <v>1</v>
      </c>
      <c r="BX11" s="2">
        <f>COUNTIF(defects!$V:$V,Weekly!BX$3&amp;Weekly!$B11&amp;Weekly!$B$3&amp;$B$2)</f>
        <v>4</v>
      </c>
      <c r="BY11" s="2">
        <f>COUNTIF(defects!$V:$V,Weekly!BY$3&amp;Weekly!$B11&amp;Weekly!$B$3&amp;$B$2)</f>
        <v>0</v>
      </c>
      <c r="BZ11" s="2">
        <f>COUNTIF(defects!$V:$V,Weekly!BZ$3&amp;Weekly!$B11&amp;Weekly!$B$3&amp;$B$2)</f>
        <v>1</v>
      </c>
      <c r="CA11" s="2">
        <f>COUNTIF(defects!$V:$V,Weekly!CA$3&amp;Weekly!$B11&amp;Weekly!$B$3&amp;$B$2)</f>
        <v>1</v>
      </c>
      <c r="CB11" s="2">
        <f>COUNTIF(defects!$V:$V,Weekly!CB$3&amp;Weekly!$B11&amp;Weekly!$B$3&amp;$B$2)</f>
        <v>1</v>
      </c>
      <c r="CC11" s="2">
        <f>COUNTIF(defects!$V:$V,Weekly!CC$3&amp;Weekly!$B11&amp;Weekly!$B$3&amp;$B$2)</f>
        <v>1</v>
      </c>
      <c r="CD11" s="2">
        <f>COUNTIF(defects!$V:$V,Weekly!CD$3&amp;Weekly!$B11&amp;Weekly!$B$3&amp;$B$2)</f>
        <v>0</v>
      </c>
      <c r="CE11" s="2">
        <f>COUNTIF(defects!$V:$V,Weekly!CE$3&amp;Weekly!$B11&amp;Weekly!$B$3&amp;$B$2)</f>
        <v>0</v>
      </c>
      <c r="CF11" s="2">
        <f>COUNTIF(defects!$V:$V,Weekly!CF$3&amp;Weekly!$B11&amp;Weekly!$B$3&amp;$B$2)</f>
        <v>0</v>
      </c>
      <c r="CG11" s="2">
        <f>COUNTIF(defects!$V:$V,Weekly!CG$3&amp;Weekly!$B11&amp;Weekly!$B$3&amp;$B$2)</f>
        <v>0</v>
      </c>
      <c r="CH11" s="2">
        <f>COUNTIF(defects!$V:$V,Weekly!CH$3&amp;Weekly!$B11&amp;Weekly!$B$3&amp;$B$2)</f>
        <v>0</v>
      </c>
      <c r="CI11" s="2">
        <f>COUNTIF(defects!$V:$V,Weekly!CI$3&amp;Weekly!$B11&amp;Weekly!$B$3&amp;$B$2)</f>
        <v>1</v>
      </c>
      <c r="CJ11" s="2">
        <f>COUNTIF(defects!$V:$V,Weekly!CJ$3&amp;Weekly!$B11&amp;Weekly!$B$3&amp;$B$2)</f>
        <v>0</v>
      </c>
      <c r="CK11" s="2">
        <f>COUNTIF(defects!$V:$V,Weekly!CK$3&amp;Weekly!$B11&amp;Weekly!$B$3&amp;$B$2)</f>
        <v>0</v>
      </c>
      <c r="CL11" s="2">
        <f>COUNTIF(defects!$V:$V,Weekly!CL$3&amp;Weekly!$B11&amp;Weekly!$B$3&amp;$B$2)</f>
        <v>0</v>
      </c>
      <c r="CM11" s="2">
        <f>COUNTIF(defects!$V:$V,Weekly!CM$3&amp;Weekly!$B11&amp;Weekly!$B$3&amp;$B$2)</f>
        <v>0</v>
      </c>
      <c r="CN11" s="2">
        <f>COUNTIF(defects!$V:$V,Weekly!CN$3&amp;Weekly!$B11&amp;Weekly!$B$3&amp;$B$2)</f>
        <v>0</v>
      </c>
      <c r="CO11" s="2">
        <f>COUNTIF(defects!$V:$V,Weekly!CO$3&amp;Weekly!$B11&amp;Weekly!$B$3&amp;$B$2)</f>
        <v>0</v>
      </c>
      <c r="CP11" s="2">
        <f>COUNTIF(defects!$V:$V,Weekly!CP$3&amp;Weekly!$B11&amp;Weekly!$B$3&amp;$B$2)</f>
        <v>0</v>
      </c>
      <c r="CQ11" s="2">
        <f>COUNTIF(defects!$V:$V,Weekly!CQ$3&amp;Weekly!$B11&amp;Weekly!$B$3&amp;$B$2)</f>
        <v>0</v>
      </c>
      <c r="CR11" s="2">
        <f>COUNTIF(defects!$V:$V,Weekly!CR$3&amp;Weekly!$B11&amp;Weekly!$B$3&amp;$B$2)</f>
        <v>0</v>
      </c>
      <c r="CS11" s="2">
        <f>COUNTIF(defects!$V:$V,Weekly!CS$3&amp;Weekly!$B11&amp;Weekly!$B$3&amp;$B$2)</f>
        <v>0</v>
      </c>
      <c r="CT11" s="2">
        <f>COUNTIF(defects!$V:$V,Weekly!CT$3&amp;Weekly!$B11&amp;Weekly!$B$3&amp;$B$2)</f>
        <v>0</v>
      </c>
      <c r="CU11" s="2">
        <f>COUNTIF(defects!$V:$V,Weekly!CU$3&amp;Weekly!$B11&amp;Weekly!$B$3&amp;$B$2)</f>
        <v>0</v>
      </c>
      <c r="CV11" s="2">
        <f>COUNTIF(defects!$V:$V,Weekly!CV$3&amp;Weekly!$B11&amp;Weekly!$B$3&amp;$B$2)</f>
        <v>0</v>
      </c>
      <c r="CW11" s="2">
        <f>COUNTIF(defects!$V:$V,Weekly!CW$3&amp;Weekly!$B11&amp;Weekly!$B$3&amp;$B$2)</f>
        <v>0</v>
      </c>
      <c r="CX11" s="2">
        <f>COUNTIF(defects!$V:$V,Weekly!CX$3&amp;Weekly!$B11&amp;Weekly!$B$3&amp;$B$2)</f>
        <v>0</v>
      </c>
      <c r="CY11" s="2">
        <f>COUNTIF(defects!$V:$V,Weekly!CY$3&amp;Weekly!$B11&amp;Weekly!$B$3&amp;$B$2)</f>
        <v>0</v>
      </c>
      <c r="CZ11" s="2">
        <f>COUNTIF(defects!$V:$V,Weekly!CZ$3&amp;Weekly!$B11&amp;Weekly!$B$3&amp;$B$2)</f>
        <v>0</v>
      </c>
      <c r="DA11" s="2">
        <f>COUNTIF(defects!$V:$V,Weekly!DA$3&amp;Weekly!$B11&amp;Weekly!$B$3&amp;$B$2)</f>
        <v>0</v>
      </c>
      <c r="DB11" s="2">
        <f>COUNTIF(defects!$V:$V,Weekly!DB$3&amp;Weekly!$B11&amp;Weekly!$B$3&amp;$B$2)</f>
        <v>0</v>
      </c>
      <c r="DC11" s="2">
        <f>COUNTIF(defects!$V:$V,Weekly!DC$3&amp;Weekly!$B11&amp;Weekly!$B$3&amp;$B$2)</f>
        <v>0</v>
      </c>
      <c r="DD11" s="2">
        <f>COUNTIF(defects!$V:$V,Weekly!DD$3&amp;Weekly!$B11&amp;Weekly!$B$3&amp;$B$2)</f>
        <v>0</v>
      </c>
      <c r="DE11" s="2">
        <f>COUNTIF(defects!$V:$V,Weekly!DE$3&amp;Weekly!$B11&amp;Weekly!$B$3&amp;$B$2)</f>
        <v>0</v>
      </c>
      <c r="DF11" s="2">
        <f>COUNTIF(defects!$V:$V,Weekly!DF$3&amp;Weekly!$B11&amp;Weekly!$B$3&amp;$B$2)</f>
        <v>0</v>
      </c>
      <c r="DG11" s="2">
        <f>COUNTIF(defects!$V:$V,Weekly!DG$3&amp;Weekly!$B11&amp;Weekly!$B$3&amp;$B$2)</f>
        <v>0</v>
      </c>
      <c r="DH11" s="2">
        <f>COUNTIF(defects!$V:$V,Weekly!DH$3&amp;Weekly!$B11&amp;Weekly!$B$3&amp;$B$2)</f>
        <v>0</v>
      </c>
      <c r="DI11" s="2">
        <f>COUNTIF(defects!$V:$V,Weekly!DI$3&amp;Weekly!$B11&amp;Weekly!$B$3&amp;$B$2)</f>
        <v>0</v>
      </c>
      <c r="DJ11" s="2">
        <f>COUNTIF(defects!$V:$V,Weekly!DJ$3&amp;Weekly!$B11&amp;Weekly!$B$3&amp;$B$2)</f>
        <v>0</v>
      </c>
      <c r="DK11" s="2">
        <f>COUNTIF(defects!$V:$V,Weekly!DK$3&amp;Weekly!$B11&amp;Weekly!$B$3&amp;$B$2)</f>
        <v>0</v>
      </c>
      <c r="DL11" s="2">
        <f>COUNTIF(defects!$V:$V,Weekly!DL$3&amp;Weekly!$B11&amp;Weekly!$B$3&amp;$B$2)</f>
        <v>0</v>
      </c>
      <c r="DM11" s="2">
        <f>COUNTIF(defects!$V:$V,Weekly!DM$3&amp;Weekly!$B11&amp;Weekly!$B$3&amp;$B$2)</f>
        <v>0</v>
      </c>
      <c r="DN11" s="2">
        <f>COUNTIF(defects!$V:$V,Weekly!DN$3&amp;Weekly!$B11&amp;Weekly!$B$3&amp;$B$2)</f>
        <v>0</v>
      </c>
      <c r="DO11" s="2">
        <f>COUNTIF(defects!$V:$V,Weekly!DO$3&amp;Weekly!$B11&amp;Weekly!$B$3&amp;$B$2)</f>
        <v>0</v>
      </c>
      <c r="DP11" s="2">
        <f>COUNTIF(defects!$V:$V,Weekly!DP$3&amp;Weekly!$B11&amp;Weekly!$B$3&amp;$B$2)</f>
        <v>0</v>
      </c>
      <c r="DQ11" s="2">
        <f>COUNTIF(defects!$V:$V,Weekly!DQ$3&amp;Weekly!$B11&amp;Weekly!$B$3&amp;$B$2)</f>
        <v>0</v>
      </c>
      <c r="DR11" s="2">
        <f>COUNTIF(defects!$V:$V,Weekly!DR$3&amp;Weekly!$B11&amp;Weekly!$B$3&amp;$B$2)</f>
        <v>0</v>
      </c>
      <c r="DS11" s="2">
        <f>COUNTIF(defects!$V:$V,Weekly!DS$3&amp;Weekly!$B11&amp;Weekly!$B$3&amp;$B$2)</f>
        <v>0</v>
      </c>
      <c r="DT11" s="2">
        <f>COUNTIF(defects!$V:$V,Weekly!DT$3&amp;Weekly!$B11&amp;Weekly!$B$3&amp;$B$2)</f>
        <v>0</v>
      </c>
      <c r="DU11" s="2">
        <f>COUNTIF(defects!$V:$V,Weekly!DU$3&amp;Weekly!$B11&amp;Weekly!$B$3&amp;$B$2)</f>
        <v>0</v>
      </c>
      <c r="DV11" s="2">
        <f>COUNTIF(defects!$V:$V,Weekly!DV$3&amp;Weekly!$B11&amp;Weekly!$B$3&amp;$B$2)</f>
        <v>0</v>
      </c>
      <c r="DW11" s="2">
        <f>COUNTIF(defects!$V:$V,Weekly!DW$3&amp;Weekly!$B11&amp;Weekly!$B$3&amp;$B$2)</f>
        <v>0</v>
      </c>
      <c r="DX11" s="2">
        <f>COUNTIF(defects!$V:$V,Weekly!DX$3&amp;Weekly!$B11&amp;Weekly!$B$3&amp;$B$2)</f>
        <v>0</v>
      </c>
      <c r="DY11" s="2">
        <f>COUNTIF(defects!$V:$V,Weekly!DY$3&amp;Weekly!$B11&amp;Weekly!$B$3&amp;$B$2)</f>
        <v>0</v>
      </c>
      <c r="DZ11" s="2">
        <f>COUNTIF(defects!$V:$V,Weekly!DZ$3&amp;Weekly!$B11&amp;Weekly!$B$3&amp;$B$2)</f>
        <v>0</v>
      </c>
      <c r="EA11" s="2">
        <f>COUNTIF(defects!$V:$V,Weekly!EA$3&amp;Weekly!$B11&amp;Weekly!$B$3&amp;$B$2)</f>
        <v>0</v>
      </c>
      <c r="EB11" s="2">
        <f>COUNTIF(defects!$V:$V,Weekly!EB$3&amp;Weekly!$B11&amp;Weekly!$B$3&amp;$B$2)</f>
        <v>0</v>
      </c>
      <c r="EC11" s="2">
        <f>COUNTIF(defects!$V:$V,Weekly!EC$3&amp;Weekly!$B11&amp;Weekly!$B$3&amp;$B$2)</f>
        <v>0</v>
      </c>
      <c r="ED11" s="2">
        <f>COUNTIF(defects!$V:$V,Weekly!ED$3&amp;Weekly!$B11&amp;Weekly!$B$3&amp;$B$2)</f>
        <v>0</v>
      </c>
      <c r="EE11" s="2">
        <f>COUNTIF(defects!$V:$V,Weekly!EE$3&amp;Weekly!$B11&amp;Weekly!$B$3&amp;$B$2)</f>
        <v>0</v>
      </c>
      <c r="EF11" s="2">
        <f>COUNTIF(defects!$V:$V,Weekly!EF$3&amp;Weekly!$B11&amp;Weekly!$B$3&amp;$B$2)</f>
        <v>0</v>
      </c>
      <c r="EG11" s="2">
        <f>COUNTIF(defects!$V:$V,Weekly!EG$3&amp;Weekly!$B11&amp;Weekly!$B$3&amp;$B$2)</f>
        <v>0</v>
      </c>
      <c r="EH11" s="2">
        <f>COUNTIF(defects!$V:$V,Weekly!EH$3&amp;Weekly!$B11&amp;Weekly!$B$3&amp;$B$2)</f>
        <v>0</v>
      </c>
      <c r="EI11" s="2">
        <f>COUNTIF(defects!$V:$V,Weekly!EI$3&amp;Weekly!$B11&amp;Weekly!$B$3&amp;$B$2)</f>
        <v>0</v>
      </c>
      <c r="EJ11" s="2">
        <f>COUNTIF(defects!$V:$V,Weekly!EJ$3&amp;Weekly!$B11&amp;Weekly!$B$3&amp;$B$2)</f>
        <v>0</v>
      </c>
      <c r="EK11" s="2">
        <f>COUNTIF(defects!$V:$V,Weekly!EK$3&amp;Weekly!$B11&amp;Weekly!$B$3&amp;$B$2)</f>
        <v>0</v>
      </c>
      <c r="EL11" s="2">
        <f>COUNTIF(defects!$V:$V,Weekly!EL$3&amp;Weekly!$B11&amp;Weekly!$B$3&amp;$B$2)</f>
        <v>0</v>
      </c>
      <c r="EM11" s="2">
        <f>COUNTIF(defects!$V:$V,Weekly!EM$3&amp;Weekly!$B11&amp;Weekly!$B$3&amp;$B$2)</f>
        <v>0</v>
      </c>
      <c r="EN11" s="2">
        <f>COUNTIF(defects!$V:$V,Weekly!EN$3&amp;Weekly!$B11&amp;Weekly!$B$3&amp;$B$2)</f>
        <v>0</v>
      </c>
      <c r="EO11" s="2">
        <f>COUNTIF(defects!$V:$V,Weekly!EO$3&amp;Weekly!$B11&amp;Weekly!$B$3&amp;$B$2)</f>
        <v>0</v>
      </c>
      <c r="EP11" s="2">
        <f>COUNTIF(defects!$V:$V,Weekly!EP$3&amp;Weekly!$B11&amp;Weekly!$B$3&amp;$B$2)</f>
        <v>0</v>
      </c>
      <c r="EQ11" s="2">
        <f>COUNTIF(defects!$V:$V,Weekly!EQ$3&amp;Weekly!$B11&amp;Weekly!$B$3&amp;$B$2)</f>
        <v>0</v>
      </c>
      <c r="ER11" s="2">
        <f>COUNTIF(defects!$V:$V,Weekly!ER$3&amp;Weekly!$B11&amp;Weekly!$B$3&amp;$B$2)</f>
        <v>0</v>
      </c>
      <c r="ES11" s="2">
        <f>COUNTIF(defects!$V:$V,Weekly!ES$3&amp;Weekly!$B11&amp;Weekly!$B$3&amp;$B$2)</f>
        <v>0</v>
      </c>
      <c r="ET11" s="2">
        <f>COUNTIF(defects!$V:$V,Weekly!ET$3&amp;Weekly!$B11&amp;Weekly!$B$3&amp;$B$2)</f>
        <v>0</v>
      </c>
      <c r="EU11" s="2">
        <f>COUNTIF(defects!$V:$V,Weekly!EU$3&amp;Weekly!$B11&amp;Weekly!$B$3&amp;$B$2)</f>
        <v>0</v>
      </c>
      <c r="EV11" s="2">
        <f>COUNTIF(defects!$V:$V,Weekly!EV$3&amp;Weekly!$B11&amp;Weekly!$B$3&amp;$B$2)</f>
        <v>0</v>
      </c>
      <c r="EW11" s="2">
        <f>COUNTIF(defects!$V:$V,Weekly!EW$3&amp;Weekly!$B11&amp;Weekly!$B$3&amp;$B$2)</f>
        <v>0</v>
      </c>
      <c r="EX11" s="2">
        <f>COUNTIF(defects!$V:$V,Weekly!EX$3&amp;Weekly!$B11&amp;Weekly!$B$3&amp;$B$2)</f>
        <v>0</v>
      </c>
      <c r="EY11" s="2">
        <f>COUNTIF(defects!$V:$V,Weekly!EY$3&amp;Weekly!$B11&amp;Weekly!$B$3&amp;$B$2)</f>
        <v>0</v>
      </c>
      <c r="EZ11" s="2">
        <f>COUNTIF(defects!$V:$V,Weekly!EZ$3&amp;Weekly!$B11&amp;Weekly!$B$3&amp;$B$2)</f>
        <v>0</v>
      </c>
      <c r="FA11" s="2">
        <f>COUNTIF(defects!$V:$V,Weekly!FA$3&amp;Weekly!$B11&amp;Weekly!$B$3&amp;$B$2)</f>
        <v>0</v>
      </c>
      <c r="FB11" s="2">
        <f>COUNTIF(defects!$V:$V,Weekly!FB$3&amp;Weekly!$B11&amp;Weekly!$B$3&amp;$B$2)</f>
        <v>0</v>
      </c>
      <c r="FC11" s="2">
        <f>COUNTIF(defects!$V:$V,Weekly!FC$3&amp;Weekly!$B11&amp;Weekly!$B$3&amp;$B$2)</f>
        <v>0</v>
      </c>
      <c r="FD11" s="2">
        <f>COUNTIF(defects!$V:$V,Weekly!FD$3&amp;Weekly!$B11&amp;Weekly!$B$3&amp;$B$2)</f>
        <v>0</v>
      </c>
      <c r="FE11" s="2">
        <f>COUNTIF(defects!$V:$V,Weekly!FE$3&amp;Weekly!$B11&amp;Weekly!$B$3&amp;$B$2)</f>
        <v>0</v>
      </c>
    </row>
    <row r="12" spans="2:161" x14ac:dyDescent="0.35">
      <c r="B12" s="2" t="s">
        <v>1343</v>
      </c>
      <c r="C12" s="2">
        <f>COUNTIF(defects!$V:$V,Weekly!C$3&amp;Weekly!$B12&amp;Weekly!$B$3&amp;$B$2)</f>
        <v>0</v>
      </c>
      <c r="D12" s="2">
        <f>COUNTIF(defects!$V:$V,Weekly!D$3&amp;Weekly!$B12&amp;Weekly!$B$3&amp;$B$2)</f>
        <v>0</v>
      </c>
      <c r="E12" s="2">
        <f>COUNTIF(defects!$V:$V,Weekly!E$3&amp;Weekly!$B12&amp;Weekly!$B$3&amp;$B$2)</f>
        <v>0</v>
      </c>
      <c r="F12" s="2">
        <f>COUNTIF(defects!$V:$V,Weekly!F$3&amp;Weekly!$B12&amp;Weekly!$B$3&amp;$B$2)</f>
        <v>0</v>
      </c>
      <c r="G12" s="2">
        <f>COUNTIF(defects!$V:$V,Weekly!G$3&amp;Weekly!$B12&amp;Weekly!$B$3&amp;$B$2)</f>
        <v>0</v>
      </c>
      <c r="H12" s="2">
        <f>COUNTIF(defects!$V:$V,Weekly!H$3&amp;Weekly!$B12&amp;Weekly!$B$3&amp;$B$2)</f>
        <v>0</v>
      </c>
      <c r="I12" s="2">
        <f>COUNTIF(defects!$V:$V,Weekly!I$3&amp;Weekly!$B12&amp;Weekly!$B$3&amp;$B$2)</f>
        <v>0</v>
      </c>
      <c r="J12" s="2">
        <f>COUNTIF(defects!$V:$V,Weekly!J$3&amp;Weekly!$B12&amp;Weekly!$B$3&amp;$B$2)</f>
        <v>0</v>
      </c>
      <c r="K12" s="2">
        <f>COUNTIF(defects!$V:$V,Weekly!K$3&amp;Weekly!$B12&amp;Weekly!$B$3&amp;$B$2)</f>
        <v>0</v>
      </c>
      <c r="L12" s="2">
        <f>COUNTIF(defects!$V:$V,Weekly!L$3&amp;Weekly!$B12&amp;Weekly!$B$3&amp;$B$2)</f>
        <v>0</v>
      </c>
      <c r="M12" s="2">
        <f>COUNTIF(defects!$V:$V,Weekly!M$3&amp;Weekly!$B12&amp;Weekly!$B$3&amp;$B$2)</f>
        <v>0</v>
      </c>
      <c r="N12" s="2">
        <f>COUNTIF(defects!$V:$V,Weekly!N$3&amp;Weekly!$B12&amp;Weekly!$B$3&amp;$B$2)</f>
        <v>0</v>
      </c>
      <c r="O12" s="2">
        <f>COUNTIF(defects!$V:$V,Weekly!O$3&amp;Weekly!$B12&amp;Weekly!$B$3&amp;$B$2)</f>
        <v>0</v>
      </c>
      <c r="P12" s="2">
        <f>COUNTIF(defects!$V:$V,Weekly!P$3&amp;Weekly!$B12&amp;Weekly!$B$3&amp;$B$2)</f>
        <v>0</v>
      </c>
      <c r="Q12" s="2">
        <f>COUNTIF(defects!$V:$V,Weekly!Q$3&amp;Weekly!$B12&amp;Weekly!$B$3&amp;$B$2)</f>
        <v>0</v>
      </c>
      <c r="R12" s="2">
        <f>COUNTIF(defects!$V:$V,Weekly!R$3&amp;Weekly!$B12&amp;Weekly!$B$3&amp;$B$2)</f>
        <v>0</v>
      </c>
      <c r="S12" s="2">
        <f>COUNTIF(defects!$V:$V,Weekly!S$3&amp;Weekly!$B12&amp;Weekly!$B$3&amp;$B$2)</f>
        <v>0</v>
      </c>
      <c r="T12" s="2">
        <f>COUNTIF(defects!$V:$V,Weekly!T$3&amp;Weekly!$B12&amp;Weekly!$B$3&amp;$B$2)</f>
        <v>0</v>
      </c>
      <c r="U12" s="2">
        <f>COUNTIF(defects!$V:$V,Weekly!U$3&amp;Weekly!$B12&amp;Weekly!$B$3&amp;$B$2)</f>
        <v>0</v>
      </c>
      <c r="V12" s="2">
        <f>COUNTIF(defects!$V:$V,Weekly!V$3&amp;Weekly!$B12&amp;Weekly!$B$3&amp;$B$2)</f>
        <v>0</v>
      </c>
      <c r="W12" s="2">
        <f>COUNTIF(defects!$V:$V,Weekly!W$3&amp;Weekly!$B12&amp;Weekly!$B$3&amp;$B$2)</f>
        <v>0</v>
      </c>
      <c r="X12" s="2">
        <f>COUNTIF(defects!$V:$V,Weekly!X$3&amp;Weekly!$B12&amp;Weekly!$B$3&amp;$B$2)</f>
        <v>0</v>
      </c>
      <c r="Y12" s="2">
        <f>COUNTIF(defects!$V:$V,Weekly!Y$3&amp;Weekly!$B12&amp;Weekly!$B$3&amp;$B$2)</f>
        <v>0</v>
      </c>
      <c r="Z12" s="2">
        <f>COUNTIF(defects!$V:$V,Weekly!Z$3&amp;Weekly!$B12&amp;Weekly!$B$3&amp;$B$2)</f>
        <v>0</v>
      </c>
      <c r="AA12" s="2">
        <f>COUNTIF(defects!$V:$V,Weekly!AA$3&amp;Weekly!$B12&amp;Weekly!$B$3&amp;$B$2)</f>
        <v>0</v>
      </c>
      <c r="AB12" s="2">
        <f>COUNTIF(defects!$V:$V,Weekly!AB$3&amp;Weekly!$B12&amp;Weekly!$B$3&amp;$B$2)</f>
        <v>0</v>
      </c>
      <c r="AC12" s="2">
        <f>COUNTIF(defects!$V:$V,Weekly!AC$3&amp;Weekly!$B12&amp;Weekly!$B$3&amp;$B$2)</f>
        <v>0</v>
      </c>
      <c r="AD12" s="2">
        <f>COUNTIF(defects!$V:$V,Weekly!AD$3&amp;Weekly!$B12&amp;Weekly!$B$3&amp;$B$2)</f>
        <v>0</v>
      </c>
      <c r="AE12" s="2">
        <f>COUNTIF(defects!$V:$V,Weekly!AE$3&amp;Weekly!$B12&amp;Weekly!$B$3&amp;$B$2)</f>
        <v>0</v>
      </c>
      <c r="AF12" s="2">
        <f>COUNTIF(defects!$V:$V,Weekly!AF$3&amp;Weekly!$B12&amp;Weekly!$B$3&amp;$B$2)</f>
        <v>0</v>
      </c>
      <c r="AG12" s="2">
        <f>COUNTIF(defects!$V:$V,Weekly!AG$3&amp;Weekly!$B12&amp;Weekly!$B$3&amp;$B$2)</f>
        <v>0</v>
      </c>
      <c r="AH12" s="2">
        <f>COUNTIF(defects!$V:$V,Weekly!AH$3&amp;Weekly!$B12&amp;Weekly!$B$3&amp;$B$2)</f>
        <v>0</v>
      </c>
      <c r="AI12" s="2">
        <f>COUNTIF(defects!$V:$V,Weekly!AI$3&amp;Weekly!$B12&amp;Weekly!$B$3&amp;$B$2)</f>
        <v>0</v>
      </c>
      <c r="AJ12" s="2">
        <f>COUNTIF(defects!$V:$V,Weekly!AJ$3&amp;Weekly!$B12&amp;Weekly!$B$3&amp;$B$2)</f>
        <v>0</v>
      </c>
      <c r="AK12" s="2">
        <f>COUNTIF(defects!$V:$V,Weekly!AK$3&amp;Weekly!$B12&amp;Weekly!$B$3&amp;$B$2)</f>
        <v>0</v>
      </c>
      <c r="AL12" s="2">
        <f>COUNTIF(defects!$V:$V,Weekly!AL$3&amp;Weekly!$B12&amp;Weekly!$B$3&amp;$B$2)</f>
        <v>0</v>
      </c>
      <c r="AM12" s="2">
        <f>COUNTIF(defects!$V:$V,Weekly!AM$3&amp;Weekly!$B12&amp;Weekly!$B$3&amp;$B$2)</f>
        <v>0</v>
      </c>
      <c r="AN12" s="2">
        <f>COUNTIF(defects!$V:$V,Weekly!AN$3&amp;Weekly!$B12&amp;Weekly!$B$3&amp;$B$2)</f>
        <v>0</v>
      </c>
      <c r="AO12" s="2">
        <f>COUNTIF(defects!$V:$V,Weekly!AO$3&amp;Weekly!$B12&amp;Weekly!$B$3&amp;$B$2)</f>
        <v>0</v>
      </c>
      <c r="AP12" s="2">
        <f>COUNTIF(defects!$V:$V,Weekly!AP$3&amp;Weekly!$B12&amp;Weekly!$B$3&amp;$B$2)</f>
        <v>0</v>
      </c>
      <c r="AQ12" s="2">
        <f>COUNTIF(defects!$V:$V,Weekly!AQ$3&amp;Weekly!$B12&amp;Weekly!$B$3&amp;$B$2)</f>
        <v>0</v>
      </c>
      <c r="AR12" s="2">
        <f>COUNTIF(defects!$V:$V,Weekly!AR$3&amp;Weekly!$B12&amp;Weekly!$B$3&amp;$B$2)</f>
        <v>0</v>
      </c>
      <c r="AS12" s="2">
        <f>COUNTIF(defects!$V:$V,Weekly!AS$3&amp;Weekly!$B12&amp;Weekly!$B$3&amp;$B$2)</f>
        <v>0</v>
      </c>
      <c r="AT12" s="2">
        <f>COUNTIF(defects!$V:$V,Weekly!AT$3&amp;Weekly!$B12&amp;Weekly!$B$3&amp;$B$2)</f>
        <v>0</v>
      </c>
      <c r="AU12" s="2">
        <f>COUNTIF(defects!$V:$V,Weekly!AU$3&amp;Weekly!$B12&amp;Weekly!$B$3&amp;$B$2)</f>
        <v>0</v>
      </c>
      <c r="AV12" s="2">
        <f>COUNTIF(defects!$V:$V,Weekly!AV$3&amp;Weekly!$B12&amp;Weekly!$B$3&amp;$B$2)</f>
        <v>0</v>
      </c>
      <c r="AW12" s="2">
        <f>COUNTIF(defects!$V:$V,Weekly!AW$3&amp;Weekly!$B12&amp;Weekly!$B$3&amp;$B$2)</f>
        <v>0</v>
      </c>
      <c r="AX12" s="2">
        <f>COUNTIF(defects!$V:$V,Weekly!AX$3&amp;Weekly!$B12&amp;Weekly!$B$3&amp;$B$2)</f>
        <v>0</v>
      </c>
      <c r="AY12" s="2">
        <f>COUNTIF(defects!$V:$V,Weekly!AY$3&amp;Weekly!$B12&amp;Weekly!$B$3&amp;$B$2)</f>
        <v>0</v>
      </c>
      <c r="AZ12" s="2">
        <f>COUNTIF(defects!$V:$V,Weekly!AZ$3&amp;Weekly!$B12&amp;Weekly!$B$3&amp;$B$2)</f>
        <v>0</v>
      </c>
      <c r="BA12" s="2">
        <f>COUNTIF(defects!$V:$V,Weekly!BA$3&amp;Weekly!$B12&amp;Weekly!$B$3&amp;$B$2)</f>
        <v>0</v>
      </c>
      <c r="BB12" s="2">
        <f>COUNTIF(defects!$V:$V,Weekly!BB$3&amp;Weekly!$B12&amp;Weekly!$B$3&amp;$B$2)</f>
        <v>0</v>
      </c>
      <c r="BC12" s="2">
        <f>COUNTIF(defects!$V:$V,Weekly!BC$3&amp;Weekly!$B12&amp;Weekly!$B$3&amp;$B$2)</f>
        <v>0</v>
      </c>
      <c r="BD12" s="2">
        <f>COUNTIF(defects!$V:$V,Weekly!BD$3&amp;Weekly!$B12&amp;Weekly!$B$3&amp;$B$2)</f>
        <v>0</v>
      </c>
      <c r="BE12" s="2">
        <f>COUNTIF(defects!$V:$V,Weekly!BE$3&amp;Weekly!$B12&amp;Weekly!$B$3&amp;$B$2)</f>
        <v>0</v>
      </c>
      <c r="BF12" s="2">
        <f>COUNTIF(defects!$V:$V,Weekly!BF$3&amp;Weekly!$B12&amp;Weekly!$B$3&amp;$B$2)</f>
        <v>0</v>
      </c>
      <c r="BG12" s="2">
        <f>COUNTIF(defects!$V:$V,Weekly!BG$3&amp;Weekly!$B12&amp;Weekly!$B$3&amp;$B$2)</f>
        <v>0</v>
      </c>
      <c r="BH12" s="2">
        <f>COUNTIF(defects!$V:$V,Weekly!BH$3&amp;Weekly!$B12&amp;Weekly!$B$3&amp;$B$2)</f>
        <v>0</v>
      </c>
      <c r="BI12" s="2">
        <f>COUNTIF(defects!$V:$V,Weekly!BI$3&amp;Weekly!$B12&amp;Weekly!$B$3&amp;$B$2)</f>
        <v>0</v>
      </c>
      <c r="BJ12" s="2">
        <f>COUNTIF(defects!$V:$V,Weekly!BJ$3&amp;Weekly!$B12&amp;Weekly!$B$3&amp;$B$2)</f>
        <v>0</v>
      </c>
      <c r="BK12" s="2">
        <f>COUNTIF(defects!$V:$V,Weekly!BK$3&amp;Weekly!$B12&amp;Weekly!$B$3&amp;$B$2)</f>
        <v>0</v>
      </c>
      <c r="BL12" s="2">
        <f>COUNTIF(defects!$V:$V,Weekly!BL$3&amp;Weekly!$B12&amp;Weekly!$B$3&amp;$B$2)</f>
        <v>0</v>
      </c>
      <c r="BM12" s="2">
        <f>COUNTIF(defects!$V:$V,Weekly!BM$3&amp;Weekly!$B12&amp;Weekly!$B$3&amp;$B$2)</f>
        <v>0</v>
      </c>
      <c r="BN12" s="2">
        <f>COUNTIF(defects!$V:$V,Weekly!BN$3&amp;Weekly!$B12&amp;Weekly!$B$3&amp;$B$2)</f>
        <v>0</v>
      </c>
      <c r="BO12" s="2">
        <f>COUNTIF(defects!$V:$V,Weekly!BO$3&amp;Weekly!$B12&amp;Weekly!$B$3&amp;$B$2)</f>
        <v>0</v>
      </c>
      <c r="BP12" s="2">
        <f>COUNTIF(defects!$V:$V,Weekly!BP$3&amp;Weekly!$B12&amp;Weekly!$B$3&amp;$B$2)</f>
        <v>0</v>
      </c>
      <c r="BQ12" s="2">
        <f>COUNTIF(defects!$V:$V,Weekly!BQ$3&amp;Weekly!$B12&amp;Weekly!$B$3&amp;$B$2)</f>
        <v>0</v>
      </c>
      <c r="BR12" s="2">
        <f>COUNTIF(defects!$V:$V,Weekly!BR$3&amp;Weekly!$B12&amp;Weekly!$B$3&amp;$B$2)</f>
        <v>0</v>
      </c>
      <c r="BS12" s="2">
        <f>COUNTIF(defects!$V:$V,Weekly!BS$3&amp;Weekly!$B12&amp;Weekly!$B$3&amp;$B$2)</f>
        <v>0</v>
      </c>
      <c r="BT12" s="2">
        <f>COUNTIF(defects!$V:$V,Weekly!BT$3&amp;Weekly!$B12&amp;Weekly!$B$3&amp;$B$2)</f>
        <v>0</v>
      </c>
      <c r="BU12" s="2">
        <f>COUNTIF(defects!$V:$V,Weekly!BU$3&amp;Weekly!$B12&amp;Weekly!$B$3&amp;$B$2)</f>
        <v>0</v>
      </c>
      <c r="BV12" s="2">
        <f>COUNTIF(defects!$V:$V,Weekly!BV$3&amp;Weekly!$B12&amp;Weekly!$B$3&amp;$B$2)</f>
        <v>0</v>
      </c>
      <c r="BW12" s="2">
        <f>COUNTIF(defects!$V:$V,Weekly!BW$3&amp;Weekly!$B12&amp;Weekly!$B$3&amp;$B$2)</f>
        <v>0</v>
      </c>
      <c r="BX12" s="2">
        <f>COUNTIF(defects!$V:$V,Weekly!BX$3&amp;Weekly!$B12&amp;Weekly!$B$3&amp;$B$2)</f>
        <v>0</v>
      </c>
      <c r="BY12" s="2">
        <f>COUNTIF(defects!$V:$V,Weekly!BY$3&amp;Weekly!$B12&amp;Weekly!$B$3&amp;$B$2)</f>
        <v>0</v>
      </c>
      <c r="BZ12" s="2">
        <f>COUNTIF(defects!$V:$V,Weekly!BZ$3&amp;Weekly!$B12&amp;Weekly!$B$3&amp;$B$2)</f>
        <v>0</v>
      </c>
      <c r="CA12" s="2">
        <f>COUNTIF(defects!$V:$V,Weekly!CA$3&amp;Weekly!$B12&amp;Weekly!$B$3&amp;$B$2)</f>
        <v>1</v>
      </c>
      <c r="CB12" s="2">
        <f>COUNTIF(defects!$V:$V,Weekly!CB$3&amp;Weekly!$B12&amp;Weekly!$B$3&amp;$B$2)</f>
        <v>0</v>
      </c>
      <c r="CC12" s="2">
        <f>COUNTIF(defects!$V:$V,Weekly!CC$3&amp;Weekly!$B12&amp;Weekly!$B$3&amp;$B$2)</f>
        <v>0</v>
      </c>
      <c r="CD12" s="2">
        <f>COUNTIF(defects!$V:$V,Weekly!CD$3&amp;Weekly!$B12&amp;Weekly!$B$3&amp;$B$2)</f>
        <v>0</v>
      </c>
      <c r="CE12" s="2">
        <f>COUNTIF(defects!$V:$V,Weekly!CE$3&amp;Weekly!$B12&amp;Weekly!$B$3&amp;$B$2)</f>
        <v>0</v>
      </c>
      <c r="CF12" s="2">
        <f>COUNTIF(defects!$V:$V,Weekly!CF$3&amp;Weekly!$B12&amp;Weekly!$B$3&amp;$B$2)</f>
        <v>0</v>
      </c>
      <c r="CG12" s="2">
        <f>COUNTIF(defects!$V:$V,Weekly!CG$3&amp;Weekly!$B12&amp;Weekly!$B$3&amp;$B$2)</f>
        <v>0</v>
      </c>
      <c r="CH12" s="2">
        <f>COUNTIF(defects!$V:$V,Weekly!CH$3&amp;Weekly!$B12&amp;Weekly!$B$3&amp;$B$2)</f>
        <v>0</v>
      </c>
      <c r="CI12" s="2">
        <f>COUNTIF(defects!$V:$V,Weekly!CI$3&amp;Weekly!$B12&amp;Weekly!$B$3&amp;$B$2)</f>
        <v>0</v>
      </c>
      <c r="CJ12" s="2">
        <f>COUNTIF(defects!$V:$V,Weekly!CJ$3&amp;Weekly!$B12&amp;Weekly!$B$3&amp;$B$2)</f>
        <v>1</v>
      </c>
      <c r="CK12" s="2">
        <f>COUNTIF(defects!$V:$V,Weekly!CK$3&amp;Weekly!$B12&amp;Weekly!$B$3&amp;$B$2)</f>
        <v>0</v>
      </c>
      <c r="CL12" s="2">
        <f>COUNTIF(defects!$V:$V,Weekly!CL$3&amp;Weekly!$B12&amp;Weekly!$B$3&amp;$B$2)</f>
        <v>0</v>
      </c>
      <c r="CM12" s="2">
        <f>COUNTIF(defects!$V:$V,Weekly!CM$3&amp;Weekly!$B12&amp;Weekly!$B$3&amp;$B$2)</f>
        <v>0</v>
      </c>
      <c r="CN12" s="2">
        <f>COUNTIF(defects!$V:$V,Weekly!CN$3&amp;Weekly!$B12&amp;Weekly!$B$3&amp;$B$2)</f>
        <v>0</v>
      </c>
      <c r="CO12" s="2">
        <f>COUNTIF(defects!$V:$V,Weekly!CO$3&amp;Weekly!$B12&amp;Weekly!$B$3&amp;$B$2)</f>
        <v>0</v>
      </c>
      <c r="CP12" s="2">
        <f>COUNTIF(defects!$V:$V,Weekly!CP$3&amp;Weekly!$B12&amp;Weekly!$B$3&amp;$B$2)</f>
        <v>0</v>
      </c>
      <c r="CQ12" s="2">
        <f>COUNTIF(defects!$V:$V,Weekly!CQ$3&amp;Weekly!$B12&amp;Weekly!$B$3&amp;$B$2)</f>
        <v>0</v>
      </c>
      <c r="CR12" s="2">
        <f>COUNTIF(defects!$V:$V,Weekly!CR$3&amp;Weekly!$B12&amp;Weekly!$B$3&amp;$B$2)</f>
        <v>0</v>
      </c>
      <c r="CS12" s="2">
        <f>COUNTIF(defects!$V:$V,Weekly!CS$3&amp;Weekly!$B12&amp;Weekly!$B$3&amp;$B$2)</f>
        <v>0</v>
      </c>
      <c r="CT12" s="2">
        <f>COUNTIF(defects!$V:$V,Weekly!CT$3&amp;Weekly!$B12&amp;Weekly!$B$3&amp;$B$2)</f>
        <v>0</v>
      </c>
      <c r="CU12" s="2">
        <f>COUNTIF(defects!$V:$V,Weekly!CU$3&amp;Weekly!$B12&amp;Weekly!$B$3&amp;$B$2)</f>
        <v>0</v>
      </c>
      <c r="CV12" s="2">
        <f>COUNTIF(defects!$V:$V,Weekly!CV$3&amp;Weekly!$B12&amp;Weekly!$B$3&amp;$B$2)</f>
        <v>0</v>
      </c>
      <c r="CW12" s="2">
        <f>COUNTIF(defects!$V:$V,Weekly!CW$3&amp;Weekly!$B12&amp;Weekly!$B$3&amp;$B$2)</f>
        <v>0</v>
      </c>
      <c r="CX12" s="2">
        <f>COUNTIF(defects!$V:$V,Weekly!CX$3&amp;Weekly!$B12&amp;Weekly!$B$3&amp;$B$2)</f>
        <v>0</v>
      </c>
      <c r="CY12" s="2">
        <f>COUNTIF(defects!$V:$V,Weekly!CY$3&amp;Weekly!$B12&amp;Weekly!$B$3&amp;$B$2)</f>
        <v>0</v>
      </c>
      <c r="CZ12" s="2">
        <f>COUNTIF(defects!$V:$V,Weekly!CZ$3&amp;Weekly!$B12&amp;Weekly!$B$3&amp;$B$2)</f>
        <v>0</v>
      </c>
      <c r="DA12" s="2">
        <f>COUNTIF(defects!$V:$V,Weekly!DA$3&amp;Weekly!$B12&amp;Weekly!$B$3&amp;$B$2)</f>
        <v>0</v>
      </c>
      <c r="DB12" s="2">
        <f>COUNTIF(defects!$V:$V,Weekly!DB$3&amp;Weekly!$B12&amp;Weekly!$B$3&amp;$B$2)</f>
        <v>0</v>
      </c>
      <c r="DC12" s="2">
        <f>COUNTIF(defects!$V:$V,Weekly!DC$3&amp;Weekly!$B12&amp;Weekly!$B$3&amp;$B$2)</f>
        <v>0</v>
      </c>
      <c r="DD12" s="2">
        <f>COUNTIF(defects!$V:$V,Weekly!DD$3&amp;Weekly!$B12&amp;Weekly!$B$3&amp;$B$2)</f>
        <v>0</v>
      </c>
      <c r="DE12" s="2">
        <f>COUNTIF(defects!$V:$V,Weekly!DE$3&amp;Weekly!$B12&amp;Weekly!$B$3&amp;$B$2)</f>
        <v>0</v>
      </c>
      <c r="DF12" s="2">
        <f>COUNTIF(defects!$V:$V,Weekly!DF$3&amp;Weekly!$B12&amp;Weekly!$B$3&amp;$B$2)</f>
        <v>0</v>
      </c>
      <c r="DG12" s="2">
        <f>COUNTIF(defects!$V:$V,Weekly!DG$3&amp;Weekly!$B12&amp;Weekly!$B$3&amp;$B$2)</f>
        <v>0</v>
      </c>
      <c r="DH12" s="2">
        <f>COUNTIF(defects!$V:$V,Weekly!DH$3&amp;Weekly!$B12&amp;Weekly!$B$3&amp;$B$2)</f>
        <v>0</v>
      </c>
      <c r="DI12" s="2">
        <f>COUNTIF(defects!$V:$V,Weekly!DI$3&amp;Weekly!$B12&amp;Weekly!$B$3&amp;$B$2)</f>
        <v>0</v>
      </c>
      <c r="DJ12" s="2">
        <f>COUNTIF(defects!$V:$V,Weekly!DJ$3&amp;Weekly!$B12&amp;Weekly!$B$3&amp;$B$2)</f>
        <v>0</v>
      </c>
      <c r="DK12" s="2">
        <f>COUNTIF(defects!$V:$V,Weekly!DK$3&amp;Weekly!$B12&amp;Weekly!$B$3&amp;$B$2)</f>
        <v>0</v>
      </c>
      <c r="DL12" s="2">
        <f>COUNTIF(defects!$V:$V,Weekly!DL$3&amp;Weekly!$B12&amp;Weekly!$B$3&amp;$B$2)</f>
        <v>0</v>
      </c>
      <c r="DM12" s="2">
        <f>COUNTIF(defects!$V:$V,Weekly!DM$3&amp;Weekly!$B12&amp;Weekly!$B$3&amp;$B$2)</f>
        <v>0</v>
      </c>
      <c r="DN12" s="2">
        <f>COUNTIF(defects!$V:$V,Weekly!DN$3&amp;Weekly!$B12&amp;Weekly!$B$3&amp;$B$2)</f>
        <v>0</v>
      </c>
      <c r="DO12" s="2">
        <f>COUNTIF(defects!$V:$V,Weekly!DO$3&amp;Weekly!$B12&amp;Weekly!$B$3&amp;$B$2)</f>
        <v>0</v>
      </c>
      <c r="DP12" s="2">
        <f>COUNTIF(defects!$V:$V,Weekly!DP$3&amp;Weekly!$B12&amp;Weekly!$B$3&amp;$B$2)</f>
        <v>0</v>
      </c>
      <c r="DQ12" s="2">
        <f>COUNTIF(defects!$V:$V,Weekly!DQ$3&amp;Weekly!$B12&amp;Weekly!$B$3&amp;$B$2)</f>
        <v>0</v>
      </c>
      <c r="DR12" s="2">
        <f>COUNTIF(defects!$V:$V,Weekly!DR$3&amp;Weekly!$B12&amp;Weekly!$B$3&amp;$B$2)</f>
        <v>0</v>
      </c>
      <c r="DS12" s="2">
        <f>COUNTIF(defects!$V:$V,Weekly!DS$3&amp;Weekly!$B12&amp;Weekly!$B$3&amp;$B$2)</f>
        <v>0</v>
      </c>
      <c r="DT12" s="2">
        <f>COUNTIF(defects!$V:$V,Weekly!DT$3&amp;Weekly!$B12&amp;Weekly!$B$3&amp;$B$2)</f>
        <v>0</v>
      </c>
      <c r="DU12" s="2">
        <f>COUNTIF(defects!$V:$V,Weekly!DU$3&amp;Weekly!$B12&amp;Weekly!$B$3&amp;$B$2)</f>
        <v>0</v>
      </c>
      <c r="DV12" s="2">
        <f>COUNTIF(defects!$V:$V,Weekly!DV$3&amp;Weekly!$B12&amp;Weekly!$B$3&amp;$B$2)</f>
        <v>0</v>
      </c>
      <c r="DW12" s="2">
        <f>COUNTIF(defects!$V:$V,Weekly!DW$3&amp;Weekly!$B12&amp;Weekly!$B$3&amp;$B$2)</f>
        <v>0</v>
      </c>
      <c r="DX12" s="2">
        <f>COUNTIF(defects!$V:$V,Weekly!DX$3&amp;Weekly!$B12&amp;Weekly!$B$3&amp;$B$2)</f>
        <v>0</v>
      </c>
      <c r="DY12" s="2">
        <f>COUNTIF(defects!$V:$V,Weekly!DY$3&amp;Weekly!$B12&amp;Weekly!$B$3&amp;$B$2)</f>
        <v>0</v>
      </c>
      <c r="DZ12" s="2">
        <f>COUNTIF(defects!$V:$V,Weekly!DZ$3&amp;Weekly!$B12&amp;Weekly!$B$3&amp;$B$2)</f>
        <v>0</v>
      </c>
      <c r="EA12" s="2">
        <f>COUNTIF(defects!$V:$V,Weekly!EA$3&amp;Weekly!$B12&amp;Weekly!$B$3&amp;$B$2)</f>
        <v>0</v>
      </c>
      <c r="EB12" s="2">
        <f>COUNTIF(defects!$V:$V,Weekly!EB$3&amp;Weekly!$B12&amp;Weekly!$B$3&amp;$B$2)</f>
        <v>0</v>
      </c>
      <c r="EC12" s="2">
        <f>COUNTIF(defects!$V:$V,Weekly!EC$3&amp;Weekly!$B12&amp;Weekly!$B$3&amp;$B$2)</f>
        <v>0</v>
      </c>
      <c r="ED12" s="2">
        <f>COUNTIF(defects!$V:$V,Weekly!ED$3&amp;Weekly!$B12&amp;Weekly!$B$3&amp;$B$2)</f>
        <v>0</v>
      </c>
      <c r="EE12" s="2">
        <f>COUNTIF(defects!$V:$V,Weekly!EE$3&amp;Weekly!$B12&amp;Weekly!$B$3&amp;$B$2)</f>
        <v>0</v>
      </c>
      <c r="EF12" s="2">
        <f>COUNTIF(defects!$V:$V,Weekly!EF$3&amp;Weekly!$B12&amp;Weekly!$B$3&amp;$B$2)</f>
        <v>0</v>
      </c>
      <c r="EG12" s="2">
        <f>COUNTIF(defects!$V:$V,Weekly!EG$3&amp;Weekly!$B12&amp;Weekly!$B$3&amp;$B$2)</f>
        <v>0</v>
      </c>
      <c r="EH12" s="2">
        <f>COUNTIF(defects!$V:$V,Weekly!EH$3&amp;Weekly!$B12&amp;Weekly!$B$3&amp;$B$2)</f>
        <v>0</v>
      </c>
      <c r="EI12" s="2">
        <f>COUNTIF(defects!$V:$V,Weekly!EI$3&amp;Weekly!$B12&amp;Weekly!$B$3&amp;$B$2)</f>
        <v>0</v>
      </c>
      <c r="EJ12" s="2">
        <f>COUNTIF(defects!$V:$V,Weekly!EJ$3&amp;Weekly!$B12&amp;Weekly!$B$3&amp;$B$2)</f>
        <v>0</v>
      </c>
      <c r="EK12" s="2">
        <f>COUNTIF(defects!$V:$V,Weekly!EK$3&amp;Weekly!$B12&amp;Weekly!$B$3&amp;$B$2)</f>
        <v>0</v>
      </c>
      <c r="EL12" s="2">
        <f>COUNTIF(defects!$V:$V,Weekly!EL$3&amp;Weekly!$B12&amp;Weekly!$B$3&amp;$B$2)</f>
        <v>0</v>
      </c>
      <c r="EM12" s="2">
        <f>COUNTIF(defects!$V:$V,Weekly!EM$3&amp;Weekly!$B12&amp;Weekly!$B$3&amp;$B$2)</f>
        <v>0</v>
      </c>
      <c r="EN12" s="2">
        <f>COUNTIF(defects!$V:$V,Weekly!EN$3&amp;Weekly!$B12&amp;Weekly!$B$3&amp;$B$2)</f>
        <v>0</v>
      </c>
      <c r="EO12" s="2">
        <f>COUNTIF(defects!$V:$V,Weekly!EO$3&amp;Weekly!$B12&amp;Weekly!$B$3&amp;$B$2)</f>
        <v>0</v>
      </c>
      <c r="EP12" s="2">
        <f>COUNTIF(defects!$V:$V,Weekly!EP$3&amp;Weekly!$B12&amp;Weekly!$B$3&amp;$B$2)</f>
        <v>0</v>
      </c>
      <c r="EQ12" s="2">
        <f>COUNTIF(defects!$V:$V,Weekly!EQ$3&amp;Weekly!$B12&amp;Weekly!$B$3&amp;$B$2)</f>
        <v>0</v>
      </c>
      <c r="ER12" s="2">
        <f>COUNTIF(defects!$V:$V,Weekly!ER$3&amp;Weekly!$B12&amp;Weekly!$B$3&amp;$B$2)</f>
        <v>0</v>
      </c>
      <c r="ES12" s="2">
        <f>COUNTIF(defects!$V:$V,Weekly!ES$3&amp;Weekly!$B12&amp;Weekly!$B$3&amp;$B$2)</f>
        <v>0</v>
      </c>
      <c r="ET12" s="2">
        <f>COUNTIF(defects!$V:$V,Weekly!ET$3&amp;Weekly!$B12&amp;Weekly!$B$3&amp;$B$2)</f>
        <v>0</v>
      </c>
      <c r="EU12" s="2">
        <f>COUNTIF(defects!$V:$V,Weekly!EU$3&amp;Weekly!$B12&amp;Weekly!$B$3&amp;$B$2)</f>
        <v>0</v>
      </c>
      <c r="EV12" s="2">
        <f>COUNTIF(defects!$V:$V,Weekly!EV$3&amp;Weekly!$B12&amp;Weekly!$B$3&amp;$B$2)</f>
        <v>0</v>
      </c>
      <c r="EW12" s="2">
        <f>COUNTIF(defects!$V:$V,Weekly!EW$3&amp;Weekly!$B12&amp;Weekly!$B$3&amp;$B$2)</f>
        <v>0</v>
      </c>
      <c r="EX12" s="2">
        <f>COUNTIF(defects!$V:$V,Weekly!EX$3&amp;Weekly!$B12&amp;Weekly!$B$3&amp;$B$2)</f>
        <v>0</v>
      </c>
      <c r="EY12" s="2">
        <f>COUNTIF(defects!$V:$V,Weekly!EY$3&amp;Weekly!$B12&amp;Weekly!$B$3&amp;$B$2)</f>
        <v>0</v>
      </c>
      <c r="EZ12" s="2">
        <f>COUNTIF(defects!$V:$V,Weekly!EZ$3&amp;Weekly!$B12&amp;Weekly!$B$3&amp;$B$2)</f>
        <v>0</v>
      </c>
      <c r="FA12" s="2">
        <f>COUNTIF(defects!$V:$V,Weekly!FA$3&amp;Weekly!$B12&amp;Weekly!$B$3&amp;$B$2)</f>
        <v>0</v>
      </c>
      <c r="FB12" s="2">
        <f>COUNTIF(defects!$V:$V,Weekly!FB$3&amp;Weekly!$B12&amp;Weekly!$B$3&amp;$B$2)</f>
        <v>0</v>
      </c>
      <c r="FC12" s="2">
        <f>COUNTIF(defects!$V:$V,Weekly!FC$3&amp;Weekly!$B12&amp;Weekly!$B$3&amp;$B$2)</f>
        <v>0</v>
      </c>
      <c r="FD12" s="2">
        <f>COUNTIF(defects!$V:$V,Weekly!FD$3&amp;Weekly!$B12&amp;Weekly!$B$3&amp;$B$2)</f>
        <v>0</v>
      </c>
      <c r="FE12" s="2">
        <f>COUNTIF(defects!$V:$V,Weekly!FE$3&amp;Weekly!$B12&amp;Weekly!$B$3&amp;$B$2)</f>
        <v>0</v>
      </c>
    </row>
    <row r="13" spans="2:161" x14ac:dyDescent="0.35">
      <c r="B13" s="2" t="s">
        <v>1380</v>
      </c>
      <c r="C13" s="2">
        <f>COUNTIF(defects!$V:$V,Weekly!C$3&amp;Weekly!$B13&amp;Weekly!$B$3&amp;$B$2)</f>
        <v>0</v>
      </c>
      <c r="D13" s="2">
        <f>COUNTIF(defects!$V:$V,Weekly!D$3&amp;Weekly!$B13&amp;Weekly!$B$3&amp;$B$2)</f>
        <v>0</v>
      </c>
      <c r="E13" s="2">
        <f>COUNTIF(defects!$V:$V,Weekly!E$3&amp;Weekly!$B13&amp;Weekly!$B$3&amp;$B$2)</f>
        <v>0</v>
      </c>
      <c r="F13" s="2">
        <f>COUNTIF(defects!$V:$V,Weekly!F$3&amp;Weekly!$B13&amp;Weekly!$B$3&amp;$B$2)</f>
        <v>0</v>
      </c>
      <c r="G13" s="2">
        <f>COUNTIF(defects!$V:$V,Weekly!G$3&amp;Weekly!$B13&amp;Weekly!$B$3&amp;$B$2)</f>
        <v>0</v>
      </c>
      <c r="H13" s="2">
        <f>COUNTIF(defects!$V:$V,Weekly!H$3&amp;Weekly!$B13&amp;Weekly!$B$3&amp;$B$2)</f>
        <v>0</v>
      </c>
      <c r="I13" s="2">
        <f>COUNTIF(defects!$V:$V,Weekly!I$3&amp;Weekly!$B13&amp;Weekly!$B$3&amp;$B$2)</f>
        <v>0</v>
      </c>
      <c r="J13" s="2">
        <f>COUNTIF(defects!$V:$V,Weekly!J$3&amp;Weekly!$B13&amp;Weekly!$B$3&amp;$B$2)</f>
        <v>0</v>
      </c>
      <c r="K13" s="2">
        <f>COUNTIF(defects!$V:$V,Weekly!K$3&amp;Weekly!$B13&amp;Weekly!$B$3&amp;$B$2)</f>
        <v>0</v>
      </c>
      <c r="L13" s="2">
        <f>COUNTIF(defects!$V:$V,Weekly!L$3&amp;Weekly!$B13&amp;Weekly!$B$3&amp;$B$2)</f>
        <v>0</v>
      </c>
      <c r="M13" s="2">
        <f>COUNTIF(defects!$V:$V,Weekly!M$3&amp;Weekly!$B13&amp;Weekly!$B$3&amp;$B$2)</f>
        <v>0</v>
      </c>
      <c r="N13" s="2">
        <f>COUNTIF(defects!$V:$V,Weekly!N$3&amp;Weekly!$B13&amp;Weekly!$B$3&amp;$B$2)</f>
        <v>0</v>
      </c>
      <c r="O13" s="2">
        <f>COUNTIF(defects!$V:$V,Weekly!O$3&amp;Weekly!$B13&amp;Weekly!$B$3&amp;$B$2)</f>
        <v>0</v>
      </c>
      <c r="P13" s="2">
        <f>COUNTIF(defects!$V:$V,Weekly!P$3&amp;Weekly!$B13&amp;Weekly!$B$3&amp;$B$2)</f>
        <v>0</v>
      </c>
      <c r="Q13" s="2">
        <f>COUNTIF(defects!$V:$V,Weekly!Q$3&amp;Weekly!$B13&amp;Weekly!$B$3&amp;$B$2)</f>
        <v>0</v>
      </c>
      <c r="R13" s="2">
        <f>COUNTIF(defects!$V:$V,Weekly!R$3&amp;Weekly!$B13&amp;Weekly!$B$3&amp;$B$2)</f>
        <v>0</v>
      </c>
      <c r="S13" s="2">
        <f>COUNTIF(defects!$V:$V,Weekly!S$3&amp;Weekly!$B13&amp;Weekly!$B$3&amp;$B$2)</f>
        <v>0</v>
      </c>
      <c r="T13" s="2">
        <f>COUNTIF(defects!$V:$V,Weekly!T$3&amp;Weekly!$B13&amp;Weekly!$B$3&amp;$B$2)</f>
        <v>0</v>
      </c>
      <c r="U13" s="2">
        <f>COUNTIF(defects!$V:$V,Weekly!U$3&amp;Weekly!$B13&amp;Weekly!$B$3&amp;$B$2)</f>
        <v>0</v>
      </c>
      <c r="V13" s="2">
        <f>COUNTIF(defects!$V:$V,Weekly!V$3&amp;Weekly!$B13&amp;Weekly!$B$3&amp;$B$2)</f>
        <v>0</v>
      </c>
      <c r="W13" s="2">
        <f>COUNTIF(defects!$V:$V,Weekly!W$3&amp;Weekly!$B13&amp;Weekly!$B$3&amp;$B$2)</f>
        <v>0</v>
      </c>
      <c r="X13" s="2">
        <f>COUNTIF(defects!$V:$V,Weekly!X$3&amp;Weekly!$B13&amp;Weekly!$B$3&amp;$B$2)</f>
        <v>0</v>
      </c>
      <c r="Y13" s="2">
        <f>COUNTIF(defects!$V:$V,Weekly!Y$3&amp;Weekly!$B13&amp;Weekly!$B$3&amp;$B$2)</f>
        <v>0</v>
      </c>
      <c r="Z13" s="2">
        <f>COUNTIF(defects!$V:$V,Weekly!Z$3&amp;Weekly!$B13&amp;Weekly!$B$3&amp;$B$2)</f>
        <v>0</v>
      </c>
      <c r="AA13" s="2">
        <f>COUNTIF(defects!$V:$V,Weekly!AA$3&amp;Weekly!$B13&amp;Weekly!$B$3&amp;$B$2)</f>
        <v>0</v>
      </c>
      <c r="AB13" s="2">
        <f>COUNTIF(defects!$V:$V,Weekly!AB$3&amp;Weekly!$B13&amp;Weekly!$B$3&amp;$B$2)</f>
        <v>0</v>
      </c>
      <c r="AC13" s="2">
        <f>COUNTIF(defects!$V:$V,Weekly!AC$3&amp;Weekly!$B13&amp;Weekly!$B$3&amp;$B$2)</f>
        <v>0</v>
      </c>
      <c r="AD13" s="2">
        <f>COUNTIF(defects!$V:$V,Weekly!AD$3&amp;Weekly!$B13&amp;Weekly!$B$3&amp;$B$2)</f>
        <v>0</v>
      </c>
      <c r="AE13" s="2">
        <f>COUNTIF(defects!$V:$V,Weekly!AE$3&amp;Weekly!$B13&amp;Weekly!$B$3&amp;$B$2)</f>
        <v>0</v>
      </c>
      <c r="AF13" s="2">
        <f>COUNTIF(defects!$V:$V,Weekly!AF$3&amp;Weekly!$B13&amp;Weekly!$B$3&amp;$B$2)</f>
        <v>0</v>
      </c>
      <c r="AG13" s="2">
        <f>COUNTIF(defects!$V:$V,Weekly!AG$3&amp;Weekly!$B13&amp;Weekly!$B$3&amp;$B$2)</f>
        <v>0</v>
      </c>
      <c r="AH13" s="2">
        <f>COUNTIF(defects!$V:$V,Weekly!AH$3&amp;Weekly!$B13&amp;Weekly!$B$3&amp;$B$2)</f>
        <v>0</v>
      </c>
      <c r="AI13" s="2">
        <f>COUNTIF(defects!$V:$V,Weekly!AI$3&amp;Weekly!$B13&amp;Weekly!$B$3&amp;$B$2)</f>
        <v>0</v>
      </c>
      <c r="AJ13" s="2">
        <f>COUNTIF(defects!$V:$V,Weekly!AJ$3&amp;Weekly!$B13&amp;Weekly!$B$3&amp;$B$2)</f>
        <v>0</v>
      </c>
      <c r="AK13" s="2">
        <f>COUNTIF(defects!$V:$V,Weekly!AK$3&amp;Weekly!$B13&amp;Weekly!$B$3&amp;$B$2)</f>
        <v>0</v>
      </c>
      <c r="AL13" s="2">
        <f>COUNTIF(defects!$V:$V,Weekly!AL$3&amp;Weekly!$B13&amp;Weekly!$B$3&amp;$B$2)</f>
        <v>0</v>
      </c>
      <c r="AM13" s="2">
        <f>COUNTIF(defects!$V:$V,Weekly!AM$3&amp;Weekly!$B13&amp;Weekly!$B$3&amp;$B$2)</f>
        <v>0</v>
      </c>
      <c r="AN13" s="2">
        <f>COUNTIF(defects!$V:$V,Weekly!AN$3&amp;Weekly!$B13&amp;Weekly!$B$3&amp;$B$2)</f>
        <v>0</v>
      </c>
      <c r="AO13" s="2">
        <f>COUNTIF(defects!$V:$V,Weekly!AO$3&amp;Weekly!$B13&amp;Weekly!$B$3&amp;$B$2)</f>
        <v>0</v>
      </c>
      <c r="AP13" s="2">
        <f>COUNTIF(defects!$V:$V,Weekly!AP$3&amp;Weekly!$B13&amp;Weekly!$B$3&amp;$B$2)</f>
        <v>0</v>
      </c>
      <c r="AQ13" s="2">
        <f>COUNTIF(defects!$V:$V,Weekly!AQ$3&amp;Weekly!$B13&amp;Weekly!$B$3&amp;$B$2)</f>
        <v>0</v>
      </c>
      <c r="AR13" s="2">
        <f>COUNTIF(defects!$V:$V,Weekly!AR$3&amp;Weekly!$B13&amp;Weekly!$B$3&amp;$B$2)</f>
        <v>0</v>
      </c>
      <c r="AS13" s="2">
        <f>COUNTIF(defects!$V:$V,Weekly!AS$3&amp;Weekly!$B13&amp;Weekly!$B$3&amp;$B$2)</f>
        <v>0</v>
      </c>
      <c r="AT13" s="2">
        <f>COUNTIF(defects!$V:$V,Weekly!AT$3&amp;Weekly!$B13&amp;Weekly!$B$3&amp;$B$2)</f>
        <v>0</v>
      </c>
      <c r="AU13" s="2">
        <f>COUNTIF(defects!$V:$V,Weekly!AU$3&amp;Weekly!$B13&amp;Weekly!$B$3&amp;$B$2)</f>
        <v>0</v>
      </c>
      <c r="AV13" s="2">
        <f>COUNTIF(defects!$V:$V,Weekly!AV$3&amp;Weekly!$B13&amp;Weekly!$B$3&amp;$B$2)</f>
        <v>0</v>
      </c>
      <c r="AW13" s="2">
        <f>COUNTIF(defects!$V:$V,Weekly!AW$3&amp;Weekly!$B13&amp;Weekly!$B$3&amp;$B$2)</f>
        <v>0</v>
      </c>
      <c r="AX13" s="2">
        <f>COUNTIF(defects!$V:$V,Weekly!AX$3&amp;Weekly!$B13&amp;Weekly!$B$3&amp;$B$2)</f>
        <v>0</v>
      </c>
      <c r="AY13" s="2">
        <f>COUNTIF(defects!$V:$V,Weekly!AY$3&amp;Weekly!$B13&amp;Weekly!$B$3&amp;$B$2)</f>
        <v>0</v>
      </c>
      <c r="AZ13" s="2">
        <f>COUNTIF(defects!$V:$V,Weekly!AZ$3&amp;Weekly!$B13&amp;Weekly!$B$3&amp;$B$2)</f>
        <v>0</v>
      </c>
      <c r="BA13" s="2">
        <f>COUNTIF(defects!$V:$V,Weekly!BA$3&amp;Weekly!$B13&amp;Weekly!$B$3&amp;$B$2)</f>
        <v>0</v>
      </c>
      <c r="BB13" s="2">
        <f>COUNTIF(defects!$V:$V,Weekly!BB$3&amp;Weekly!$B13&amp;Weekly!$B$3&amp;$B$2)</f>
        <v>0</v>
      </c>
      <c r="BC13" s="2">
        <f>COUNTIF(defects!$V:$V,Weekly!BC$3&amp;Weekly!$B13&amp;Weekly!$B$3&amp;$B$2)</f>
        <v>0</v>
      </c>
      <c r="BD13" s="2">
        <f>COUNTIF(defects!$V:$V,Weekly!BD$3&amp;Weekly!$B13&amp;Weekly!$B$3&amp;$B$2)</f>
        <v>0</v>
      </c>
      <c r="BE13" s="2">
        <f>COUNTIF(defects!$V:$V,Weekly!BE$3&amp;Weekly!$B13&amp;Weekly!$B$3&amp;$B$2)</f>
        <v>0</v>
      </c>
      <c r="BF13" s="2">
        <f>COUNTIF(defects!$V:$V,Weekly!BF$3&amp;Weekly!$B13&amp;Weekly!$B$3&amp;$B$2)</f>
        <v>0</v>
      </c>
      <c r="BG13" s="2">
        <f>COUNTIF(defects!$V:$V,Weekly!BG$3&amp;Weekly!$B13&amp;Weekly!$B$3&amp;$B$2)</f>
        <v>0</v>
      </c>
      <c r="BH13" s="2">
        <f>COUNTIF(defects!$V:$V,Weekly!BH$3&amp;Weekly!$B13&amp;Weekly!$B$3&amp;$B$2)</f>
        <v>0</v>
      </c>
      <c r="BI13" s="2">
        <f>COUNTIF(defects!$V:$V,Weekly!BI$3&amp;Weekly!$B13&amp;Weekly!$B$3&amp;$B$2)</f>
        <v>0</v>
      </c>
      <c r="BJ13" s="2">
        <f>COUNTIF(defects!$V:$V,Weekly!BJ$3&amp;Weekly!$B13&amp;Weekly!$B$3&amp;$B$2)</f>
        <v>0</v>
      </c>
      <c r="BK13" s="2">
        <f>COUNTIF(defects!$V:$V,Weekly!BK$3&amp;Weekly!$B13&amp;Weekly!$B$3&amp;$B$2)</f>
        <v>0</v>
      </c>
      <c r="BL13" s="2">
        <f>COUNTIF(defects!$V:$V,Weekly!BL$3&amp;Weekly!$B13&amp;Weekly!$B$3&amp;$B$2)</f>
        <v>0</v>
      </c>
      <c r="BM13" s="2">
        <f>COUNTIF(defects!$V:$V,Weekly!BM$3&amp;Weekly!$B13&amp;Weekly!$B$3&amp;$B$2)</f>
        <v>0</v>
      </c>
      <c r="BN13" s="2">
        <f>COUNTIF(defects!$V:$V,Weekly!BN$3&amp;Weekly!$B13&amp;Weekly!$B$3&amp;$B$2)</f>
        <v>0</v>
      </c>
      <c r="BO13" s="2">
        <f>COUNTIF(defects!$V:$V,Weekly!BO$3&amp;Weekly!$B13&amp;Weekly!$B$3&amp;$B$2)</f>
        <v>0</v>
      </c>
      <c r="BP13" s="2">
        <f>COUNTIF(defects!$V:$V,Weekly!BP$3&amp;Weekly!$B13&amp;Weekly!$B$3&amp;$B$2)</f>
        <v>0</v>
      </c>
      <c r="BQ13" s="2">
        <f>COUNTIF(defects!$V:$V,Weekly!BQ$3&amp;Weekly!$B13&amp;Weekly!$B$3&amp;$B$2)</f>
        <v>0</v>
      </c>
      <c r="BR13" s="2">
        <f>COUNTIF(defects!$V:$V,Weekly!BR$3&amp;Weekly!$B13&amp;Weekly!$B$3&amp;$B$2)</f>
        <v>0</v>
      </c>
      <c r="BS13" s="2">
        <f>COUNTIF(defects!$V:$V,Weekly!BS$3&amp;Weekly!$B13&amp;Weekly!$B$3&amp;$B$2)</f>
        <v>0</v>
      </c>
      <c r="BT13" s="2">
        <f>COUNTIF(defects!$V:$V,Weekly!BT$3&amp;Weekly!$B13&amp;Weekly!$B$3&amp;$B$2)</f>
        <v>0</v>
      </c>
      <c r="BU13" s="2">
        <f>COUNTIF(defects!$V:$V,Weekly!BU$3&amp;Weekly!$B13&amp;Weekly!$B$3&amp;$B$2)</f>
        <v>0</v>
      </c>
      <c r="BV13" s="2">
        <f>COUNTIF(defects!$V:$V,Weekly!BV$3&amp;Weekly!$B13&amp;Weekly!$B$3&amp;$B$2)</f>
        <v>0</v>
      </c>
      <c r="BW13" s="2">
        <f>COUNTIF(defects!$V:$V,Weekly!BW$3&amp;Weekly!$B13&amp;Weekly!$B$3&amp;$B$2)</f>
        <v>0</v>
      </c>
      <c r="BX13" s="2">
        <f>COUNTIF(defects!$V:$V,Weekly!BX$3&amp;Weekly!$B13&amp;Weekly!$B$3&amp;$B$2)</f>
        <v>0</v>
      </c>
      <c r="BY13" s="2">
        <f>COUNTIF(defects!$V:$V,Weekly!BY$3&amp;Weekly!$B13&amp;Weekly!$B$3&amp;$B$2)</f>
        <v>0</v>
      </c>
      <c r="BZ13" s="2">
        <f>COUNTIF(defects!$V:$V,Weekly!BZ$3&amp;Weekly!$B13&amp;Weekly!$B$3&amp;$B$2)</f>
        <v>0</v>
      </c>
      <c r="CA13" s="2">
        <f>COUNTIF(defects!$V:$V,Weekly!CA$3&amp;Weekly!$B13&amp;Weekly!$B$3&amp;$B$2)</f>
        <v>0</v>
      </c>
      <c r="CB13" s="2">
        <f>COUNTIF(defects!$V:$V,Weekly!CB$3&amp;Weekly!$B13&amp;Weekly!$B$3&amp;$B$2)</f>
        <v>0</v>
      </c>
      <c r="CC13" s="2">
        <f>COUNTIF(defects!$V:$V,Weekly!CC$3&amp;Weekly!$B13&amp;Weekly!$B$3&amp;$B$2)</f>
        <v>0</v>
      </c>
      <c r="CD13" s="2">
        <f>COUNTIF(defects!$V:$V,Weekly!CD$3&amp;Weekly!$B13&amp;Weekly!$B$3&amp;$B$2)</f>
        <v>0</v>
      </c>
      <c r="CE13" s="2">
        <f>COUNTIF(defects!$V:$V,Weekly!CE$3&amp;Weekly!$B13&amp;Weekly!$B$3&amp;$B$2)</f>
        <v>0</v>
      </c>
      <c r="CF13" s="2">
        <f>COUNTIF(defects!$V:$V,Weekly!CF$3&amp;Weekly!$B13&amp;Weekly!$B$3&amp;$B$2)</f>
        <v>0</v>
      </c>
      <c r="CG13" s="2">
        <f>COUNTIF(defects!$V:$V,Weekly!CG$3&amp;Weekly!$B13&amp;Weekly!$B$3&amp;$B$2)</f>
        <v>0</v>
      </c>
      <c r="CH13" s="2">
        <f>COUNTIF(defects!$V:$V,Weekly!CH$3&amp;Weekly!$B13&amp;Weekly!$B$3&amp;$B$2)</f>
        <v>0</v>
      </c>
      <c r="CI13" s="2">
        <f>COUNTIF(defects!$V:$V,Weekly!CI$3&amp;Weekly!$B13&amp;Weekly!$B$3&amp;$B$2)</f>
        <v>0</v>
      </c>
      <c r="CJ13" s="2">
        <f>COUNTIF(defects!$V:$V,Weekly!CJ$3&amp;Weekly!$B13&amp;Weekly!$B$3&amp;$B$2)</f>
        <v>0</v>
      </c>
      <c r="CK13" s="2">
        <f>COUNTIF(defects!$V:$V,Weekly!CK$3&amp;Weekly!$B13&amp;Weekly!$B$3&amp;$B$2)</f>
        <v>0</v>
      </c>
      <c r="CL13" s="2">
        <f>COUNTIF(defects!$V:$V,Weekly!CL$3&amp;Weekly!$B13&amp;Weekly!$B$3&amp;$B$2)</f>
        <v>0</v>
      </c>
      <c r="CM13" s="2">
        <f>COUNTIF(defects!$V:$V,Weekly!CM$3&amp;Weekly!$B13&amp;Weekly!$B$3&amp;$B$2)</f>
        <v>0</v>
      </c>
      <c r="CN13" s="2">
        <f>COUNTIF(defects!$V:$V,Weekly!CN$3&amp;Weekly!$B13&amp;Weekly!$B$3&amp;$B$2)</f>
        <v>0</v>
      </c>
      <c r="CO13" s="2">
        <f>COUNTIF(defects!$V:$V,Weekly!CO$3&amp;Weekly!$B13&amp;Weekly!$B$3&amp;$B$2)</f>
        <v>0</v>
      </c>
      <c r="CP13" s="2">
        <f>COUNTIF(defects!$V:$V,Weekly!CP$3&amp;Weekly!$B13&amp;Weekly!$B$3&amp;$B$2)</f>
        <v>0</v>
      </c>
      <c r="CQ13" s="2">
        <f>COUNTIF(defects!$V:$V,Weekly!CQ$3&amp;Weekly!$B13&amp;Weekly!$B$3&amp;$B$2)</f>
        <v>0</v>
      </c>
      <c r="CR13" s="2">
        <f>COUNTIF(defects!$V:$V,Weekly!CR$3&amp;Weekly!$B13&amp;Weekly!$B$3&amp;$B$2)</f>
        <v>0</v>
      </c>
      <c r="CS13" s="2">
        <f>COUNTIF(defects!$V:$V,Weekly!CS$3&amp;Weekly!$B13&amp;Weekly!$B$3&amp;$B$2)</f>
        <v>0</v>
      </c>
      <c r="CT13" s="2">
        <f>COUNTIF(defects!$V:$V,Weekly!CT$3&amp;Weekly!$B13&amp;Weekly!$B$3&amp;$B$2)</f>
        <v>0</v>
      </c>
      <c r="CU13" s="2">
        <f>COUNTIF(defects!$V:$V,Weekly!CU$3&amp;Weekly!$B13&amp;Weekly!$B$3&amp;$B$2)</f>
        <v>0</v>
      </c>
      <c r="CV13" s="2">
        <f>COUNTIF(defects!$V:$V,Weekly!CV$3&amp;Weekly!$B13&amp;Weekly!$B$3&amp;$B$2)</f>
        <v>0</v>
      </c>
      <c r="CW13" s="2">
        <f>COUNTIF(defects!$V:$V,Weekly!CW$3&amp;Weekly!$B13&amp;Weekly!$B$3&amp;$B$2)</f>
        <v>0</v>
      </c>
      <c r="CX13" s="2">
        <f>COUNTIF(defects!$V:$V,Weekly!CX$3&amp;Weekly!$B13&amp;Weekly!$B$3&amp;$B$2)</f>
        <v>0</v>
      </c>
      <c r="CY13" s="2">
        <f>COUNTIF(defects!$V:$V,Weekly!CY$3&amp;Weekly!$B13&amp;Weekly!$B$3&amp;$B$2)</f>
        <v>0</v>
      </c>
      <c r="CZ13" s="2">
        <f>COUNTIF(defects!$V:$V,Weekly!CZ$3&amp;Weekly!$B13&amp;Weekly!$B$3&amp;$B$2)</f>
        <v>0</v>
      </c>
      <c r="DA13" s="2">
        <f>COUNTIF(defects!$V:$V,Weekly!DA$3&amp;Weekly!$B13&amp;Weekly!$B$3&amp;$B$2)</f>
        <v>0</v>
      </c>
      <c r="DB13" s="2">
        <f>COUNTIF(defects!$V:$V,Weekly!DB$3&amp;Weekly!$B13&amp;Weekly!$B$3&amp;$B$2)</f>
        <v>0</v>
      </c>
      <c r="DC13" s="2">
        <f>COUNTIF(defects!$V:$V,Weekly!DC$3&amp;Weekly!$B13&amp;Weekly!$B$3&amp;$B$2)</f>
        <v>0</v>
      </c>
      <c r="DD13" s="2">
        <f>COUNTIF(defects!$V:$V,Weekly!DD$3&amp;Weekly!$B13&amp;Weekly!$B$3&amp;$B$2)</f>
        <v>0</v>
      </c>
      <c r="DE13" s="2">
        <f>COUNTIF(defects!$V:$V,Weekly!DE$3&amp;Weekly!$B13&amp;Weekly!$B$3&amp;$B$2)</f>
        <v>0</v>
      </c>
      <c r="DF13" s="2">
        <f>COUNTIF(defects!$V:$V,Weekly!DF$3&amp;Weekly!$B13&amp;Weekly!$B$3&amp;$B$2)</f>
        <v>0</v>
      </c>
      <c r="DG13" s="2">
        <f>COUNTIF(defects!$V:$V,Weekly!DG$3&amp;Weekly!$B13&amp;Weekly!$B$3&amp;$B$2)</f>
        <v>0</v>
      </c>
      <c r="DH13" s="2">
        <f>COUNTIF(defects!$V:$V,Weekly!DH$3&amp;Weekly!$B13&amp;Weekly!$B$3&amp;$B$2)</f>
        <v>0</v>
      </c>
      <c r="DI13" s="2">
        <f>COUNTIF(defects!$V:$V,Weekly!DI$3&amp;Weekly!$B13&amp;Weekly!$B$3&amp;$B$2)</f>
        <v>0</v>
      </c>
      <c r="DJ13" s="2">
        <f>COUNTIF(defects!$V:$V,Weekly!DJ$3&amp;Weekly!$B13&amp;Weekly!$B$3&amp;$B$2)</f>
        <v>0</v>
      </c>
      <c r="DK13" s="2">
        <f>COUNTIF(defects!$V:$V,Weekly!DK$3&amp;Weekly!$B13&amp;Weekly!$B$3&amp;$B$2)</f>
        <v>0</v>
      </c>
      <c r="DL13" s="2">
        <f>COUNTIF(defects!$V:$V,Weekly!DL$3&amp;Weekly!$B13&amp;Weekly!$B$3&amp;$B$2)</f>
        <v>0</v>
      </c>
      <c r="DM13" s="2">
        <f>COUNTIF(defects!$V:$V,Weekly!DM$3&amp;Weekly!$B13&amp;Weekly!$B$3&amp;$B$2)</f>
        <v>0</v>
      </c>
      <c r="DN13" s="2">
        <f>COUNTIF(defects!$V:$V,Weekly!DN$3&amp;Weekly!$B13&amp;Weekly!$B$3&amp;$B$2)</f>
        <v>0</v>
      </c>
      <c r="DO13" s="2">
        <f>COUNTIF(defects!$V:$V,Weekly!DO$3&amp;Weekly!$B13&amp;Weekly!$B$3&amp;$B$2)</f>
        <v>0</v>
      </c>
      <c r="DP13" s="2">
        <f>COUNTIF(defects!$V:$V,Weekly!DP$3&amp;Weekly!$B13&amp;Weekly!$B$3&amp;$B$2)</f>
        <v>0</v>
      </c>
      <c r="DQ13" s="2">
        <f>COUNTIF(defects!$V:$V,Weekly!DQ$3&amp;Weekly!$B13&amp;Weekly!$B$3&amp;$B$2)</f>
        <v>0</v>
      </c>
      <c r="DR13" s="2">
        <f>COUNTIF(defects!$V:$V,Weekly!DR$3&amp;Weekly!$B13&amp;Weekly!$B$3&amp;$B$2)</f>
        <v>0</v>
      </c>
      <c r="DS13" s="2">
        <f>COUNTIF(defects!$V:$V,Weekly!DS$3&amp;Weekly!$B13&amp;Weekly!$B$3&amp;$B$2)</f>
        <v>0</v>
      </c>
      <c r="DT13" s="2">
        <f>COUNTIF(defects!$V:$V,Weekly!DT$3&amp;Weekly!$B13&amp;Weekly!$B$3&amp;$B$2)</f>
        <v>0</v>
      </c>
      <c r="DU13" s="2">
        <f>COUNTIF(defects!$V:$V,Weekly!DU$3&amp;Weekly!$B13&amp;Weekly!$B$3&amp;$B$2)</f>
        <v>0</v>
      </c>
      <c r="DV13" s="2">
        <f>COUNTIF(defects!$V:$V,Weekly!DV$3&amp;Weekly!$B13&amp;Weekly!$B$3&amp;$B$2)</f>
        <v>0</v>
      </c>
      <c r="DW13" s="2">
        <f>COUNTIF(defects!$V:$V,Weekly!DW$3&amp;Weekly!$B13&amp;Weekly!$B$3&amp;$B$2)</f>
        <v>0</v>
      </c>
      <c r="DX13" s="2">
        <f>COUNTIF(defects!$V:$V,Weekly!DX$3&amp;Weekly!$B13&amp;Weekly!$B$3&amp;$B$2)</f>
        <v>0</v>
      </c>
      <c r="DY13" s="2">
        <f>COUNTIF(defects!$V:$V,Weekly!DY$3&amp;Weekly!$B13&amp;Weekly!$B$3&amp;$B$2)</f>
        <v>0</v>
      </c>
      <c r="DZ13" s="2">
        <f>COUNTIF(defects!$V:$V,Weekly!DZ$3&amp;Weekly!$B13&amp;Weekly!$B$3&amp;$B$2)</f>
        <v>0</v>
      </c>
      <c r="EA13" s="2">
        <f>COUNTIF(defects!$V:$V,Weekly!EA$3&amp;Weekly!$B13&amp;Weekly!$B$3&amp;$B$2)</f>
        <v>0</v>
      </c>
      <c r="EB13" s="2">
        <f>COUNTIF(defects!$V:$V,Weekly!EB$3&amp;Weekly!$B13&amp;Weekly!$B$3&amp;$B$2)</f>
        <v>0</v>
      </c>
      <c r="EC13" s="2">
        <f>COUNTIF(defects!$V:$V,Weekly!EC$3&amp;Weekly!$B13&amp;Weekly!$B$3&amp;$B$2)</f>
        <v>0</v>
      </c>
      <c r="ED13" s="2">
        <f>COUNTIF(defects!$V:$V,Weekly!ED$3&amp;Weekly!$B13&amp;Weekly!$B$3&amp;$B$2)</f>
        <v>0</v>
      </c>
      <c r="EE13" s="2">
        <f>COUNTIF(defects!$V:$V,Weekly!EE$3&amp;Weekly!$B13&amp;Weekly!$B$3&amp;$B$2)</f>
        <v>0</v>
      </c>
      <c r="EF13" s="2">
        <f>COUNTIF(defects!$V:$V,Weekly!EF$3&amp;Weekly!$B13&amp;Weekly!$B$3&amp;$B$2)</f>
        <v>0</v>
      </c>
      <c r="EG13" s="2">
        <f>COUNTIF(defects!$V:$V,Weekly!EG$3&amp;Weekly!$B13&amp;Weekly!$B$3&amp;$B$2)</f>
        <v>0</v>
      </c>
      <c r="EH13" s="2">
        <f>COUNTIF(defects!$V:$V,Weekly!EH$3&amp;Weekly!$B13&amp;Weekly!$B$3&amp;$B$2)</f>
        <v>0</v>
      </c>
      <c r="EI13" s="2">
        <f>COUNTIF(defects!$V:$V,Weekly!EI$3&amp;Weekly!$B13&amp;Weekly!$B$3&amp;$B$2)</f>
        <v>0</v>
      </c>
      <c r="EJ13" s="2">
        <f>COUNTIF(defects!$V:$V,Weekly!EJ$3&amp;Weekly!$B13&amp;Weekly!$B$3&amp;$B$2)</f>
        <v>0</v>
      </c>
      <c r="EK13" s="2">
        <f>COUNTIF(defects!$V:$V,Weekly!EK$3&amp;Weekly!$B13&amp;Weekly!$B$3&amp;$B$2)</f>
        <v>0</v>
      </c>
      <c r="EL13" s="2">
        <f>COUNTIF(defects!$V:$V,Weekly!EL$3&amp;Weekly!$B13&amp;Weekly!$B$3&amp;$B$2)</f>
        <v>0</v>
      </c>
      <c r="EM13" s="2">
        <f>COUNTIF(defects!$V:$V,Weekly!EM$3&amp;Weekly!$B13&amp;Weekly!$B$3&amp;$B$2)</f>
        <v>0</v>
      </c>
      <c r="EN13" s="2">
        <f>COUNTIF(defects!$V:$V,Weekly!EN$3&amp;Weekly!$B13&amp;Weekly!$B$3&amp;$B$2)</f>
        <v>0</v>
      </c>
      <c r="EO13" s="2">
        <f>COUNTIF(defects!$V:$V,Weekly!EO$3&amp;Weekly!$B13&amp;Weekly!$B$3&amp;$B$2)</f>
        <v>0</v>
      </c>
      <c r="EP13" s="2">
        <f>COUNTIF(defects!$V:$V,Weekly!EP$3&amp;Weekly!$B13&amp;Weekly!$B$3&amp;$B$2)</f>
        <v>0</v>
      </c>
      <c r="EQ13" s="2">
        <f>COUNTIF(defects!$V:$V,Weekly!EQ$3&amp;Weekly!$B13&amp;Weekly!$B$3&amp;$B$2)</f>
        <v>0</v>
      </c>
      <c r="ER13" s="2">
        <f>COUNTIF(defects!$V:$V,Weekly!ER$3&amp;Weekly!$B13&amp;Weekly!$B$3&amp;$B$2)</f>
        <v>0</v>
      </c>
      <c r="ES13" s="2">
        <f>COUNTIF(defects!$V:$V,Weekly!ES$3&amp;Weekly!$B13&amp;Weekly!$B$3&amp;$B$2)</f>
        <v>0</v>
      </c>
      <c r="ET13" s="2">
        <f>COUNTIF(defects!$V:$V,Weekly!ET$3&amp;Weekly!$B13&amp;Weekly!$B$3&amp;$B$2)</f>
        <v>0</v>
      </c>
      <c r="EU13" s="2">
        <f>COUNTIF(defects!$V:$V,Weekly!EU$3&amp;Weekly!$B13&amp;Weekly!$B$3&amp;$B$2)</f>
        <v>0</v>
      </c>
      <c r="EV13" s="2">
        <f>COUNTIF(defects!$V:$V,Weekly!EV$3&amp;Weekly!$B13&amp;Weekly!$B$3&amp;$B$2)</f>
        <v>0</v>
      </c>
      <c r="EW13" s="2">
        <f>COUNTIF(defects!$V:$V,Weekly!EW$3&amp;Weekly!$B13&amp;Weekly!$B$3&amp;$B$2)</f>
        <v>0</v>
      </c>
      <c r="EX13" s="2">
        <f>COUNTIF(defects!$V:$V,Weekly!EX$3&amp;Weekly!$B13&amp;Weekly!$B$3&amp;$B$2)</f>
        <v>0</v>
      </c>
      <c r="EY13" s="2">
        <f>COUNTIF(defects!$V:$V,Weekly!EY$3&amp;Weekly!$B13&amp;Weekly!$B$3&amp;$B$2)</f>
        <v>0</v>
      </c>
      <c r="EZ13" s="2">
        <f>COUNTIF(defects!$V:$V,Weekly!EZ$3&amp;Weekly!$B13&amp;Weekly!$B$3&amp;$B$2)</f>
        <v>0</v>
      </c>
      <c r="FA13" s="2">
        <f>COUNTIF(defects!$V:$V,Weekly!FA$3&amp;Weekly!$B13&amp;Weekly!$B$3&amp;$B$2)</f>
        <v>0</v>
      </c>
      <c r="FB13" s="2">
        <f>COUNTIF(defects!$V:$V,Weekly!FB$3&amp;Weekly!$B13&amp;Weekly!$B$3&amp;$B$2)</f>
        <v>0</v>
      </c>
      <c r="FC13" s="2">
        <f>COUNTIF(defects!$V:$V,Weekly!FC$3&amp;Weekly!$B13&amp;Weekly!$B$3&amp;$B$2)</f>
        <v>0</v>
      </c>
      <c r="FD13" s="2">
        <f>COUNTIF(defects!$V:$V,Weekly!FD$3&amp;Weekly!$B13&amp;Weekly!$B$3&amp;$B$2)</f>
        <v>0</v>
      </c>
      <c r="FE13" s="2">
        <f>COUNTIF(defects!$V:$V,Weekly!FE$3&amp;Weekly!$B13&amp;Weekly!$B$3&amp;$B$2)</f>
        <v>0</v>
      </c>
    </row>
    <row r="14" spans="2:161" x14ac:dyDescent="0.35">
      <c r="B14" s="2" t="s">
        <v>1337</v>
      </c>
      <c r="C14" s="2">
        <f>COUNTIF(defects!$V:$V,Weekly!C$3&amp;Weekly!$B14&amp;Weekly!$B$3&amp;$B$2)</f>
        <v>0</v>
      </c>
      <c r="D14" s="2">
        <f>COUNTIF(defects!$V:$V,Weekly!D$3&amp;Weekly!$B14&amp;Weekly!$B$3&amp;$B$2)</f>
        <v>0</v>
      </c>
      <c r="E14" s="2">
        <f>COUNTIF(defects!$V:$V,Weekly!E$3&amp;Weekly!$B14&amp;Weekly!$B$3&amp;$B$2)</f>
        <v>0</v>
      </c>
      <c r="F14" s="2">
        <f>COUNTIF(defects!$V:$V,Weekly!F$3&amp;Weekly!$B14&amp;Weekly!$B$3&amp;$B$2)</f>
        <v>0</v>
      </c>
      <c r="G14" s="2">
        <f>COUNTIF(defects!$V:$V,Weekly!G$3&amp;Weekly!$B14&amp;Weekly!$B$3&amp;$B$2)</f>
        <v>0</v>
      </c>
      <c r="H14" s="2">
        <f>COUNTIF(defects!$V:$V,Weekly!H$3&amp;Weekly!$B14&amp;Weekly!$B$3&amp;$B$2)</f>
        <v>0</v>
      </c>
      <c r="I14" s="2">
        <f>COUNTIF(defects!$V:$V,Weekly!I$3&amp;Weekly!$B14&amp;Weekly!$B$3&amp;$B$2)</f>
        <v>0</v>
      </c>
      <c r="J14" s="2">
        <f>COUNTIF(defects!$V:$V,Weekly!J$3&amp;Weekly!$B14&amp;Weekly!$B$3&amp;$B$2)</f>
        <v>0</v>
      </c>
      <c r="K14" s="2">
        <f>COUNTIF(defects!$V:$V,Weekly!K$3&amp;Weekly!$B14&amp;Weekly!$B$3&amp;$B$2)</f>
        <v>0</v>
      </c>
      <c r="L14" s="2">
        <f>COUNTIF(defects!$V:$V,Weekly!L$3&amp;Weekly!$B14&amp;Weekly!$B$3&amp;$B$2)</f>
        <v>0</v>
      </c>
      <c r="M14" s="2">
        <f>COUNTIF(defects!$V:$V,Weekly!M$3&amp;Weekly!$B14&amp;Weekly!$B$3&amp;$B$2)</f>
        <v>0</v>
      </c>
      <c r="N14" s="2">
        <f>COUNTIF(defects!$V:$V,Weekly!N$3&amp;Weekly!$B14&amp;Weekly!$B$3&amp;$B$2)</f>
        <v>0</v>
      </c>
      <c r="O14" s="2">
        <f>COUNTIF(defects!$V:$V,Weekly!O$3&amp;Weekly!$B14&amp;Weekly!$B$3&amp;$B$2)</f>
        <v>0</v>
      </c>
      <c r="P14" s="2">
        <f>COUNTIF(defects!$V:$V,Weekly!P$3&amp;Weekly!$B14&amp;Weekly!$B$3&amp;$B$2)</f>
        <v>0</v>
      </c>
      <c r="Q14" s="2">
        <f>COUNTIF(defects!$V:$V,Weekly!Q$3&amp;Weekly!$B14&amp;Weekly!$B$3&amp;$B$2)</f>
        <v>0</v>
      </c>
      <c r="R14" s="2">
        <f>COUNTIF(defects!$V:$V,Weekly!R$3&amp;Weekly!$B14&amp;Weekly!$B$3&amp;$B$2)</f>
        <v>0</v>
      </c>
      <c r="S14" s="2">
        <f>COUNTIF(defects!$V:$V,Weekly!S$3&amp;Weekly!$B14&amp;Weekly!$B$3&amp;$B$2)</f>
        <v>0</v>
      </c>
      <c r="T14" s="2">
        <f>COUNTIF(defects!$V:$V,Weekly!T$3&amp;Weekly!$B14&amp;Weekly!$B$3&amp;$B$2)</f>
        <v>0</v>
      </c>
      <c r="U14" s="2">
        <f>COUNTIF(defects!$V:$V,Weekly!U$3&amp;Weekly!$B14&amp;Weekly!$B$3&amp;$B$2)</f>
        <v>0</v>
      </c>
      <c r="V14" s="2">
        <f>COUNTIF(defects!$V:$V,Weekly!V$3&amp;Weekly!$B14&amp;Weekly!$B$3&amp;$B$2)</f>
        <v>0</v>
      </c>
      <c r="W14" s="2">
        <f>COUNTIF(defects!$V:$V,Weekly!W$3&amp;Weekly!$B14&amp;Weekly!$B$3&amp;$B$2)</f>
        <v>0</v>
      </c>
      <c r="X14" s="2">
        <f>COUNTIF(defects!$V:$V,Weekly!X$3&amp;Weekly!$B14&amp;Weekly!$B$3&amp;$B$2)</f>
        <v>0</v>
      </c>
      <c r="Y14" s="2">
        <f>COUNTIF(defects!$V:$V,Weekly!Y$3&amp;Weekly!$B14&amp;Weekly!$B$3&amp;$B$2)</f>
        <v>0</v>
      </c>
      <c r="Z14" s="2">
        <f>COUNTIF(defects!$V:$V,Weekly!Z$3&amp;Weekly!$B14&amp;Weekly!$B$3&amp;$B$2)</f>
        <v>0</v>
      </c>
      <c r="AA14" s="2">
        <f>COUNTIF(defects!$V:$V,Weekly!AA$3&amp;Weekly!$B14&amp;Weekly!$B$3&amp;$B$2)</f>
        <v>0</v>
      </c>
      <c r="AB14" s="2">
        <f>COUNTIF(defects!$V:$V,Weekly!AB$3&amp;Weekly!$B14&amp;Weekly!$B$3&amp;$B$2)</f>
        <v>0</v>
      </c>
      <c r="AC14" s="2">
        <f>COUNTIF(defects!$V:$V,Weekly!AC$3&amp;Weekly!$B14&amp;Weekly!$B$3&amp;$B$2)</f>
        <v>0</v>
      </c>
      <c r="AD14" s="2">
        <f>COUNTIF(defects!$V:$V,Weekly!AD$3&amp;Weekly!$B14&amp;Weekly!$B$3&amp;$B$2)</f>
        <v>0</v>
      </c>
      <c r="AE14" s="2">
        <f>COUNTIF(defects!$V:$V,Weekly!AE$3&amp;Weekly!$B14&amp;Weekly!$B$3&amp;$B$2)</f>
        <v>0</v>
      </c>
      <c r="AF14" s="2">
        <f>COUNTIF(defects!$V:$V,Weekly!AF$3&amp;Weekly!$B14&amp;Weekly!$B$3&amp;$B$2)</f>
        <v>0</v>
      </c>
      <c r="AG14" s="2">
        <f>COUNTIF(defects!$V:$V,Weekly!AG$3&amp;Weekly!$B14&amp;Weekly!$B$3&amp;$B$2)</f>
        <v>0</v>
      </c>
      <c r="AH14" s="2">
        <f>COUNTIF(defects!$V:$V,Weekly!AH$3&amp;Weekly!$B14&amp;Weekly!$B$3&amp;$B$2)</f>
        <v>0</v>
      </c>
      <c r="AI14" s="2">
        <f>COUNTIF(defects!$V:$V,Weekly!AI$3&amp;Weekly!$B14&amp;Weekly!$B$3&amp;$B$2)</f>
        <v>0</v>
      </c>
      <c r="AJ14" s="2">
        <f>COUNTIF(defects!$V:$V,Weekly!AJ$3&amp;Weekly!$B14&amp;Weekly!$B$3&amp;$B$2)</f>
        <v>0</v>
      </c>
      <c r="AK14" s="2">
        <f>COUNTIF(defects!$V:$V,Weekly!AK$3&amp;Weekly!$B14&amp;Weekly!$B$3&amp;$B$2)</f>
        <v>0</v>
      </c>
      <c r="AL14" s="2">
        <f>COUNTIF(defects!$V:$V,Weekly!AL$3&amp;Weekly!$B14&amp;Weekly!$B$3&amp;$B$2)</f>
        <v>0</v>
      </c>
      <c r="AM14" s="2">
        <f>COUNTIF(defects!$V:$V,Weekly!AM$3&amp;Weekly!$B14&amp;Weekly!$B$3&amp;$B$2)</f>
        <v>0</v>
      </c>
      <c r="AN14" s="2">
        <f>COUNTIF(defects!$V:$V,Weekly!AN$3&amp;Weekly!$B14&amp;Weekly!$B$3&amp;$B$2)</f>
        <v>0</v>
      </c>
      <c r="AO14" s="2">
        <f>COUNTIF(defects!$V:$V,Weekly!AO$3&amp;Weekly!$B14&amp;Weekly!$B$3&amp;$B$2)</f>
        <v>0</v>
      </c>
      <c r="AP14" s="2">
        <f>COUNTIF(defects!$V:$V,Weekly!AP$3&amp;Weekly!$B14&amp;Weekly!$B$3&amp;$B$2)</f>
        <v>0</v>
      </c>
      <c r="AQ14" s="2">
        <f>COUNTIF(defects!$V:$V,Weekly!AQ$3&amp;Weekly!$B14&amp;Weekly!$B$3&amp;$B$2)</f>
        <v>0</v>
      </c>
      <c r="AR14" s="2">
        <f>COUNTIF(defects!$V:$V,Weekly!AR$3&amp;Weekly!$B14&amp;Weekly!$B$3&amp;$B$2)</f>
        <v>0</v>
      </c>
      <c r="AS14" s="2">
        <f>COUNTIF(defects!$V:$V,Weekly!AS$3&amp;Weekly!$B14&amp;Weekly!$B$3&amp;$B$2)</f>
        <v>0</v>
      </c>
      <c r="AT14" s="2">
        <f>COUNTIF(defects!$V:$V,Weekly!AT$3&amp;Weekly!$B14&amp;Weekly!$B$3&amp;$B$2)</f>
        <v>0</v>
      </c>
      <c r="AU14" s="2">
        <f>COUNTIF(defects!$V:$V,Weekly!AU$3&amp;Weekly!$B14&amp;Weekly!$B$3&amp;$B$2)</f>
        <v>0</v>
      </c>
      <c r="AV14" s="2">
        <f>COUNTIF(defects!$V:$V,Weekly!AV$3&amp;Weekly!$B14&amp;Weekly!$B$3&amp;$B$2)</f>
        <v>0</v>
      </c>
      <c r="AW14" s="2">
        <f>COUNTIF(defects!$V:$V,Weekly!AW$3&amp;Weekly!$B14&amp;Weekly!$B$3&amp;$B$2)</f>
        <v>0</v>
      </c>
      <c r="AX14" s="2">
        <f>COUNTIF(defects!$V:$V,Weekly!AX$3&amp;Weekly!$B14&amp;Weekly!$B$3&amp;$B$2)</f>
        <v>0</v>
      </c>
      <c r="AY14" s="2">
        <f>COUNTIF(defects!$V:$V,Weekly!AY$3&amp;Weekly!$B14&amp;Weekly!$B$3&amp;$B$2)</f>
        <v>0</v>
      </c>
      <c r="AZ14" s="2">
        <f>COUNTIF(defects!$V:$V,Weekly!AZ$3&amp;Weekly!$B14&amp;Weekly!$B$3&amp;$B$2)</f>
        <v>0</v>
      </c>
      <c r="BA14" s="2">
        <f>COUNTIF(defects!$V:$V,Weekly!BA$3&amp;Weekly!$B14&amp;Weekly!$B$3&amp;$B$2)</f>
        <v>0</v>
      </c>
      <c r="BB14" s="2">
        <f>COUNTIF(defects!$V:$V,Weekly!BB$3&amp;Weekly!$B14&amp;Weekly!$B$3&amp;$B$2)</f>
        <v>0</v>
      </c>
      <c r="BC14" s="2">
        <f>COUNTIF(defects!$V:$V,Weekly!BC$3&amp;Weekly!$B14&amp;Weekly!$B$3&amp;$B$2)</f>
        <v>0</v>
      </c>
      <c r="BD14" s="2">
        <f>COUNTIF(defects!$V:$V,Weekly!BD$3&amp;Weekly!$B14&amp;Weekly!$B$3&amp;$B$2)</f>
        <v>0</v>
      </c>
      <c r="BE14" s="2">
        <f>COUNTIF(defects!$V:$V,Weekly!BE$3&amp;Weekly!$B14&amp;Weekly!$B$3&amp;$B$2)</f>
        <v>0</v>
      </c>
      <c r="BF14" s="2">
        <f>COUNTIF(defects!$V:$V,Weekly!BF$3&amp;Weekly!$B14&amp;Weekly!$B$3&amp;$B$2)</f>
        <v>0</v>
      </c>
      <c r="BG14" s="2">
        <f>COUNTIF(defects!$V:$V,Weekly!BG$3&amp;Weekly!$B14&amp;Weekly!$B$3&amp;$B$2)</f>
        <v>0</v>
      </c>
      <c r="BH14" s="2">
        <f>COUNTIF(defects!$V:$V,Weekly!BH$3&amp;Weekly!$B14&amp;Weekly!$B$3&amp;$B$2)</f>
        <v>0</v>
      </c>
      <c r="BI14" s="2">
        <f>COUNTIF(defects!$V:$V,Weekly!BI$3&amp;Weekly!$B14&amp;Weekly!$B$3&amp;$B$2)</f>
        <v>0</v>
      </c>
      <c r="BJ14" s="2">
        <f>COUNTIF(defects!$V:$V,Weekly!BJ$3&amp;Weekly!$B14&amp;Weekly!$B$3&amp;$B$2)</f>
        <v>0</v>
      </c>
      <c r="BK14" s="2">
        <f>COUNTIF(defects!$V:$V,Weekly!BK$3&amp;Weekly!$B14&amp;Weekly!$B$3&amp;$B$2)</f>
        <v>0</v>
      </c>
      <c r="BL14" s="2">
        <f>COUNTIF(defects!$V:$V,Weekly!BL$3&amp;Weekly!$B14&amp;Weekly!$B$3&amp;$B$2)</f>
        <v>0</v>
      </c>
      <c r="BM14" s="2">
        <f>COUNTIF(defects!$V:$V,Weekly!BM$3&amp;Weekly!$B14&amp;Weekly!$B$3&amp;$B$2)</f>
        <v>0</v>
      </c>
      <c r="BN14" s="2">
        <f>COUNTIF(defects!$V:$V,Weekly!BN$3&amp;Weekly!$B14&amp;Weekly!$B$3&amp;$B$2)</f>
        <v>0</v>
      </c>
      <c r="BO14" s="2">
        <f>COUNTIF(defects!$V:$V,Weekly!BO$3&amp;Weekly!$B14&amp;Weekly!$B$3&amp;$B$2)</f>
        <v>0</v>
      </c>
      <c r="BP14" s="2">
        <f>COUNTIF(defects!$V:$V,Weekly!BP$3&amp;Weekly!$B14&amp;Weekly!$B$3&amp;$B$2)</f>
        <v>0</v>
      </c>
      <c r="BQ14" s="2">
        <f>COUNTIF(defects!$V:$V,Weekly!BQ$3&amp;Weekly!$B14&amp;Weekly!$B$3&amp;$B$2)</f>
        <v>1</v>
      </c>
      <c r="BR14" s="2">
        <f>COUNTIF(defects!$V:$V,Weekly!BR$3&amp;Weekly!$B14&amp;Weekly!$B$3&amp;$B$2)</f>
        <v>0</v>
      </c>
      <c r="BS14" s="2">
        <f>COUNTIF(defects!$V:$V,Weekly!BS$3&amp;Weekly!$B14&amp;Weekly!$B$3&amp;$B$2)</f>
        <v>0</v>
      </c>
      <c r="BT14" s="2">
        <f>COUNTIF(defects!$V:$V,Weekly!BT$3&amp;Weekly!$B14&amp;Weekly!$B$3&amp;$B$2)</f>
        <v>1</v>
      </c>
      <c r="BU14" s="2">
        <f>COUNTIF(defects!$V:$V,Weekly!BU$3&amp;Weekly!$B14&amp;Weekly!$B$3&amp;$B$2)</f>
        <v>1</v>
      </c>
      <c r="BV14" s="2">
        <f>COUNTIF(defects!$V:$V,Weekly!BV$3&amp;Weekly!$B14&amp;Weekly!$B$3&amp;$B$2)</f>
        <v>0</v>
      </c>
      <c r="BW14" s="2">
        <f>COUNTIF(defects!$V:$V,Weekly!BW$3&amp;Weekly!$B14&amp;Weekly!$B$3&amp;$B$2)</f>
        <v>1</v>
      </c>
      <c r="BX14" s="2">
        <f>COUNTIF(defects!$V:$V,Weekly!BX$3&amp;Weekly!$B14&amp;Weekly!$B$3&amp;$B$2)</f>
        <v>0</v>
      </c>
      <c r="BY14" s="2">
        <f>COUNTIF(defects!$V:$V,Weekly!BY$3&amp;Weekly!$B14&amp;Weekly!$B$3&amp;$B$2)</f>
        <v>3</v>
      </c>
      <c r="BZ14" s="2">
        <f>COUNTIF(defects!$V:$V,Weekly!BZ$3&amp;Weekly!$B14&amp;Weekly!$B$3&amp;$B$2)</f>
        <v>1</v>
      </c>
      <c r="CA14" s="2">
        <f>COUNTIF(defects!$V:$V,Weekly!CA$3&amp;Weekly!$B14&amp;Weekly!$B$3&amp;$B$2)</f>
        <v>0</v>
      </c>
      <c r="CB14" s="2">
        <f>COUNTIF(defects!$V:$V,Weekly!CB$3&amp;Weekly!$B14&amp;Weekly!$B$3&amp;$B$2)</f>
        <v>0</v>
      </c>
      <c r="CC14" s="2">
        <f>COUNTIF(defects!$V:$V,Weekly!CC$3&amp;Weekly!$B14&amp;Weekly!$B$3&amp;$B$2)</f>
        <v>1</v>
      </c>
      <c r="CD14" s="2">
        <f>COUNTIF(defects!$V:$V,Weekly!CD$3&amp;Weekly!$B14&amp;Weekly!$B$3&amp;$B$2)</f>
        <v>1</v>
      </c>
      <c r="CE14" s="2">
        <f>COUNTIF(defects!$V:$V,Weekly!CE$3&amp;Weekly!$B14&amp;Weekly!$B$3&amp;$B$2)</f>
        <v>0</v>
      </c>
      <c r="CF14" s="2">
        <f>COUNTIF(defects!$V:$V,Weekly!CF$3&amp;Weekly!$B14&amp;Weekly!$B$3&amp;$B$2)</f>
        <v>3</v>
      </c>
      <c r="CG14" s="2">
        <f>COUNTIF(defects!$V:$V,Weekly!CG$3&amp;Weekly!$B14&amp;Weekly!$B$3&amp;$B$2)</f>
        <v>3</v>
      </c>
      <c r="CH14" s="2">
        <f>COUNTIF(defects!$V:$V,Weekly!CH$3&amp;Weekly!$B14&amp;Weekly!$B$3&amp;$B$2)</f>
        <v>1</v>
      </c>
      <c r="CI14" s="2">
        <f>COUNTIF(defects!$V:$V,Weekly!CI$3&amp;Weekly!$B14&amp;Weekly!$B$3&amp;$B$2)</f>
        <v>0</v>
      </c>
      <c r="CJ14" s="2">
        <f>COUNTIF(defects!$V:$V,Weekly!CJ$3&amp;Weekly!$B14&amp;Weekly!$B$3&amp;$B$2)</f>
        <v>2</v>
      </c>
      <c r="CK14" s="2">
        <f>COUNTIF(defects!$V:$V,Weekly!CK$3&amp;Weekly!$B14&amp;Weekly!$B$3&amp;$B$2)</f>
        <v>0</v>
      </c>
      <c r="CL14" s="2">
        <f>COUNTIF(defects!$V:$V,Weekly!CL$3&amp;Weekly!$B14&amp;Weekly!$B$3&amp;$B$2)</f>
        <v>0</v>
      </c>
      <c r="CM14" s="2">
        <f>COUNTIF(defects!$V:$V,Weekly!CM$3&amp;Weekly!$B14&amp;Weekly!$B$3&amp;$B$2)</f>
        <v>0</v>
      </c>
      <c r="CN14" s="2">
        <f>COUNTIF(defects!$V:$V,Weekly!CN$3&amp;Weekly!$B14&amp;Weekly!$B$3&amp;$B$2)</f>
        <v>0</v>
      </c>
      <c r="CO14" s="2">
        <f>COUNTIF(defects!$V:$V,Weekly!CO$3&amp;Weekly!$B14&amp;Weekly!$B$3&amp;$B$2)</f>
        <v>0</v>
      </c>
      <c r="CP14" s="2">
        <f>COUNTIF(defects!$V:$V,Weekly!CP$3&amp;Weekly!$B14&amp;Weekly!$B$3&amp;$B$2)</f>
        <v>0</v>
      </c>
      <c r="CQ14" s="2">
        <f>COUNTIF(defects!$V:$V,Weekly!CQ$3&amp;Weekly!$B14&amp;Weekly!$B$3&amp;$B$2)</f>
        <v>0</v>
      </c>
      <c r="CR14" s="2">
        <f>COUNTIF(defects!$V:$V,Weekly!CR$3&amp;Weekly!$B14&amp;Weekly!$B$3&amp;$B$2)</f>
        <v>0</v>
      </c>
      <c r="CS14" s="2">
        <f>COUNTIF(defects!$V:$V,Weekly!CS$3&amp;Weekly!$B14&amp;Weekly!$B$3&amp;$B$2)</f>
        <v>0</v>
      </c>
      <c r="CT14" s="2">
        <f>COUNTIF(defects!$V:$V,Weekly!CT$3&amp;Weekly!$B14&amp;Weekly!$B$3&amp;$B$2)</f>
        <v>0</v>
      </c>
      <c r="CU14" s="2">
        <f>COUNTIF(defects!$V:$V,Weekly!CU$3&amp;Weekly!$B14&amp;Weekly!$B$3&amp;$B$2)</f>
        <v>0</v>
      </c>
      <c r="CV14" s="2">
        <f>COUNTIF(defects!$V:$V,Weekly!CV$3&amp;Weekly!$B14&amp;Weekly!$B$3&amp;$B$2)</f>
        <v>0</v>
      </c>
      <c r="CW14" s="2">
        <f>COUNTIF(defects!$V:$V,Weekly!CW$3&amp;Weekly!$B14&amp;Weekly!$B$3&amp;$B$2)</f>
        <v>0</v>
      </c>
      <c r="CX14" s="2">
        <f>COUNTIF(defects!$V:$V,Weekly!CX$3&amp;Weekly!$B14&amp;Weekly!$B$3&amp;$B$2)</f>
        <v>0</v>
      </c>
      <c r="CY14" s="2">
        <f>COUNTIF(defects!$V:$V,Weekly!CY$3&amp;Weekly!$B14&amp;Weekly!$B$3&amp;$B$2)</f>
        <v>0</v>
      </c>
      <c r="CZ14" s="2">
        <f>COUNTIF(defects!$V:$V,Weekly!CZ$3&amp;Weekly!$B14&amp;Weekly!$B$3&amp;$B$2)</f>
        <v>0</v>
      </c>
      <c r="DA14" s="2">
        <f>COUNTIF(defects!$V:$V,Weekly!DA$3&amp;Weekly!$B14&amp;Weekly!$B$3&amp;$B$2)</f>
        <v>0</v>
      </c>
      <c r="DB14" s="2">
        <f>COUNTIF(defects!$V:$V,Weekly!DB$3&amp;Weekly!$B14&amp;Weekly!$B$3&amp;$B$2)</f>
        <v>0</v>
      </c>
      <c r="DC14" s="2">
        <f>COUNTIF(defects!$V:$V,Weekly!DC$3&amp;Weekly!$B14&amp;Weekly!$B$3&amp;$B$2)</f>
        <v>0</v>
      </c>
      <c r="DD14" s="2">
        <f>COUNTIF(defects!$V:$V,Weekly!DD$3&amp;Weekly!$B14&amp;Weekly!$B$3&amp;$B$2)</f>
        <v>0</v>
      </c>
      <c r="DE14" s="2">
        <f>COUNTIF(defects!$V:$V,Weekly!DE$3&amp;Weekly!$B14&amp;Weekly!$B$3&amp;$B$2)</f>
        <v>0</v>
      </c>
      <c r="DF14" s="2">
        <f>COUNTIF(defects!$V:$V,Weekly!DF$3&amp;Weekly!$B14&amp;Weekly!$B$3&amp;$B$2)</f>
        <v>0</v>
      </c>
      <c r="DG14" s="2">
        <f>COUNTIF(defects!$V:$V,Weekly!DG$3&amp;Weekly!$B14&amp;Weekly!$B$3&amp;$B$2)</f>
        <v>0</v>
      </c>
      <c r="DH14" s="2">
        <f>COUNTIF(defects!$V:$V,Weekly!DH$3&amp;Weekly!$B14&amp;Weekly!$B$3&amp;$B$2)</f>
        <v>0</v>
      </c>
      <c r="DI14" s="2">
        <f>COUNTIF(defects!$V:$V,Weekly!DI$3&amp;Weekly!$B14&amp;Weekly!$B$3&amp;$B$2)</f>
        <v>0</v>
      </c>
      <c r="DJ14" s="2">
        <f>COUNTIF(defects!$V:$V,Weekly!DJ$3&amp;Weekly!$B14&amp;Weekly!$B$3&amp;$B$2)</f>
        <v>0</v>
      </c>
      <c r="DK14" s="2">
        <f>COUNTIF(defects!$V:$V,Weekly!DK$3&amp;Weekly!$B14&amp;Weekly!$B$3&amp;$B$2)</f>
        <v>0</v>
      </c>
      <c r="DL14" s="2">
        <f>COUNTIF(defects!$V:$V,Weekly!DL$3&amp;Weekly!$B14&amp;Weekly!$B$3&amp;$B$2)</f>
        <v>0</v>
      </c>
      <c r="DM14" s="2">
        <f>COUNTIF(defects!$V:$V,Weekly!DM$3&amp;Weekly!$B14&amp;Weekly!$B$3&amp;$B$2)</f>
        <v>0</v>
      </c>
      <c r="DN14" s="2">
        <f>COUNTIF(defects!$V:$V,Weekly!DN$3&amp;Weekly!$B14&amp;Weekly!$B$3&amp;$B$2)</f>
        <v>0</v>
      </c>
      <c r="DO14" s="2">
        <f>COUNTIF(defects!$V:$V,Weekly!DO$3&amp;Weekly!$B14&amp;Weekly!$B$3&amp;$B$2)</f>
        <v>0</v>
      </c>
      <c r="DP14" s="2">
        <f>COUNTIF(defects!$V:$V,Weekly!DP$3&amp;Weekly!$B14&amp;Weekly!$B$3&amp;$B$2)</f>
        <v>0</v>
      </c>
      <c r="DQ14" s="2">
        <f>COUNTIF(defects!$V:$V,Weekly!DQ$3&amp;Weekly!$B14&amp;Weekly!$B$3&amp;$B$2)</f>
        <v>0</v>
      </c>
      <c r="DR14" s="2">
        <f>COUNTIF(defects!$V:$V,Weekly!DR$3&amp;Weekly!$B14&amp;Weekly!$B$3&amp;$B$2)</f>
        <v>0</v>
      </c>
      <c r="DS14" s="2">
        <f>COUNTIF(defects!$V:$V,Weekly!DS$3&amp;Weekly!$B14&amp;Weekly!$B$3&amp;$B$2)</f>
        <v>0</v>
      </c>
      <c r="DT14" s="2">
        <f>COUNTIF(defects!$V:$V,Weekly!DT$3&amp;Weekly!$B14&amp;Weekly!$B$3&amp;$B$2)</f>
        <v>0</v>
      </c>
      <c r="DU14" s="2">
        <f>COUNTIF(defects!$V:$V,Weekly!DU$3&amp;Weekly!$B14&amp;Weekly!$B$3&amp;$B$2)</f>
        <v>0</v>
      </c>
      <c r="DV14" s="2">
        <f>COUNTIF(defects!$V:$V,Weekly!DV$3&amp;Weekly!$B14&amp;Weekly!$B$3&amp;$B$2)</f>
        <v>0</v>
      </c>
      <c r="DW14" s="2">
        <f>COUNTIF(defects!$V:$V,Weekly!DW$3&amp;Weekly!$B14&amp;Weekly!$B$3&amp;$B$2)</f>
        <v>0</v>
      </c>
      <c r="DX14" s="2">
        <f>COUNTIF(defects!$V:$V,Weekly!DX$3&amp;Weekly!$B14&amp;Weekly!$B$3&amp;$B$2)</f>
        <v>0</v>
      </c>
      <c r="DY14" s="2">
        <f>COUNTIF(defects!$V:$V,Weekly!DY$3&amp;Weekly!$B14&amp;Weekly!$B$3&amp;$B$2)</f>
        <v>0</v>
      </c>
      <c r="DZ14" s="2">
        <f>COUNTIF(defects!$V:$V,Weekly!DZ$3&amp;Weekly!$B14&amp;Weekly!$B$3&amp;$B$2)</f>
        <v>0</v>
      </c>
      <c r="EA14" s="2">
        <f>COUNTIF(defects!$V:$V,Weekly!EA$3&amp;Weekly!$B14&amp;Weekly!$B$3&amp;$B$2)</f>
        <v>0</v>
      </c>
      <c r="EB14" s="2">
        <f>COUNTIF(defects!$V:$V,Weekly!EB$3&amp;Weekly!$B14&amp;Weekly!$B$3&amp;$B$2)</f>
        <v>0</v>
      </c>
      <c r="EC14" s="2">
        <f>COUNTIF(defects!$V:$V,Weekly!EC$3&amp;Weekly!$B14&amp;Weekly!$B$3&amp;$B$2)</f>
        <v>0</v>
      </c>
      <c r="ED14" s="2">
        <f>COUNTIF(defects!$V:$V,Weekly!ED$3&amp;Weekly!$B14&amp;Weekly!$B$3&amp;$B$2)</f>
        <v>0</v>
      </c>
      <c r="EE14" s="2">
        <f>COUNTIF(defects!$V:$V,Weekly!EE$3&amp;Weekly!$B14&amp;Weekly!$B$3&amp;$B$2)</f>
        <v>0</v>
      </c>
      <c r="EF14" s="2">
        <f>COUNTIF(defects!$V:$V,Weekly!EF$3&amp;Weekly!$B14&amp;Weekly!$B$3&amp;$B$2)</f>
        <v>0</v>
      </c>
      <c r="EG14" s="2">
        <f>COUNTIF(defects!$V:$V,Weekly!EG$3&amp;Weekly!$B14&amp;Weekly!$B$3&amp;$B$2)</f>
        <v>0</v>
      </c>
      <c r="EH14" s="2">
        <f>COUNTIF(defects!$V:$V,Weekly!EH$3&amp;Weekly!$B14&amp;Weekly!$B$3&amp;$B$2)</f>
        <v>0</v>
      </c>
      <c r="EI14" s="2">
        <f>COUNTIF(defects!$V:$V,Weekly!EI$3&amp;Weekly!$B14&amp;Weekly!$B$3&amp;$B$2)</f>
        <v>0</v>
      </c>
      <c r="EJ14" s="2">
        <f>COUNTIF(defects!$V:$V,Weekly!EJ$3&amp;Weekly!$B14&amp;Weekly!$B$3&amp;$B$2)</f>
        <v>0</v>
      </c>
      <c r="EK14" s="2">
        <f>COUNTIF(defects!$V:$V,Weekly!EK$3&amp;Weekly!$B14&amp;Weekly!$B$3&amp;$B$2)</f>
        <v>0</v>
      </c>
      <c r="EL14" s="2">
        <f>COUNTIF(defects!$V:$V,Weekly!EL$3&amp;Weekly!$B14&amp;Weekly!$B$3&amp;$B$2)</f>
        <v>0</v>
      </c>
      <c r="EM14" s="2">
        <f>COUNTIF(defects!$V:$V,Weekly!EM$3&amp;Weekly!$B14&amp;Weekly!$B$3&amp;$B$2)</f>
        <v>0</v>
      </c>
      <c r="EN14" s="2">
        <f>COUNTIF(defects!$V:$V,Weekly!EN$3&amp;Weekly!$B14&amp;Weekly!$B$3&amp;$B$2)</f>
        <v>0</v>
      </c>
      <c r="EO14" s="2">
        <f>COUNTIF(defects!$V:$V,Weekly!EO$3&amp;Weekly!$B14&amp;Weekly!$B$3&amp;$B$2)</f>
        <v>0</v>
      </c>
      <c r="EP14" s="2">
        <f>COUNTIF(defects!$V:$V,Weekly!EP$3&amp;Weekly!$B14&amp;Weekly!$B$3&amp;$B$2)</f>
        <v>0</v>
      </c>
      <c r="EQ14" s="2">
        <f>COUNTIF(defects!$V:$V,Weekly!EQ$3&amp;Weekly!$B14&amp;Weekly!$B$3&amp;$B$2)</f>
        <v>0</v>
      </c>
      <c r="ER14" s="2">
        <f>COUNTIF(defects!$V:$V,Weekly!ER$3&amp;Weekly!$B14&amp;Weekly!$B$3&amp;$B$2)</f>
        <v>0</v>
      </c>
      <c r="ES14" s="2">
        <f>COUNTIF(defects!$V:$V,Weekly!ES$3&amp;Weekly!$B14&amp;Weekly!$B$3&amp;$B$2)</f>
        <v>0</v>
      </c>
      <c r="ET14" s="2">
        <f>COUNTIF(defects!$V:$V,Weekly!ET$3&amp;Weekly!$B14&amp;Weekly!$B$3&amp;$B$2)</f>
        <v>0</v>
      </c>
      <c r="EU14" s="2">
        <f>COUNTIF(defects!$V:$V,Weekly!EU$3&amp;Weekly!$B14&amp;Weekly!$B$3&amp;$B$2)</f>
        <v>0</v>
      </c>
      <c r="EV14" s="2">
        <f>COUNTIF(defects!$V:$V,Weekly!EV$3&amp;Weekly!$B14&amp;Weekly!$B$3&amp;$B$2)</f>
        <v>0</v>
      </c>
      <c r="EW14" s="2">
        <f>COUNTIF(defects!$V:$V,Weekly!EW$3&amp;Weekly!$B14&amp;Weekly!$B$3&amp;$B$2)</f>
        <v>0</v>
      </c>
      <c r="EX14" s="2">
        <f>COUNTIF(defects!$V:$V,Weekly!EX$3&amp;Weekly!$B14&amp;Weekly!$B$3&amp;$B$2)</f>
        <v>0</v>
      </c>
      <c r="EY14" s="2">
        <f>COUNTIF(defects!$V:$V,Weekly!EY$3&amp;Weekly!$B14&amp;Weekly!$B$3&amp;$B$2)</f>
        <v>0</v>
      </c>
      <c r="EZ14" s="2">
        <f>COUNTIF(defects!$V:$V,Weekly!EZ$3&amp;Weekly!$B14&amp;Weekly!$B$3&amp;$B$2)</f>
        <v>0</v>
      </c>
      <c r="FA14" s="2">
        <f>COUNTIF(defects!$V:$V,Weekly!FA$3&amp;Weekly!$B14&amp;Weekly!$B$3&amp;$B$2)</f>
        <v>0</v>
      </c>
      <c r="FB14" s="2">
        <f>COUNTIF(defects!$V:$V,Weekly!FB$3&amp;Weekly!$B14&amp;Weekly!$B$3&amp;$B$2)</f>
        <v>0</v>
      </c>
      <c r="FC14" s="2">
        <f>COUNTIF(defects!$V:$V,Weekly!FC$3&amp;Weekly!$B14&amp;Weekly!$B$3&amp;$B$2)</f>
        <v>0</v>
      </c>
      <c r="FD14" s="2">
        <f>COUNTIF(defects!$V:$V,Weekly!FD$3&amp;Weekly!$B14&amp;Weekly!$B$3&amp;$B$2)</f>
        <v>0</v>
      </c>
      <c r="FE14" s="2">
        <f>COUNTIF(defects!$V:$V,Weekly!FE$3&amp;Weekly!$B14&amp;Weekly!$B$3&amp;$B$2)</f>
        <v>0</v>
      </c>
    </row>
    <row r="15" spans="2:161" x14ac:dyDescent="0.35">
      <c r="B15" s="2" t="s">
        <v>1381</v>
      </c>
      <c r="C15" s="2">
        <f>COUNTIF(defects!$V:$V,Weekly!C$3&amp;Weekly!$B15&amp;Weekly!$B$3&amp;$B$2)</f>
        <v>0</v>
      </c>
      <c r="D15" s="2">
        <f>COUNTIF(defects!$V:$V,Weekly!D$3&amp;Weekly!$B15&amp;Weekly!$B$3&amp;$B$2)</f>
        <v>0</v>
      </c>
      <c r="E15" s="2">
        <f>COUNTIF(defects!$V:$V,Weekly!E$3&amp;Weekly!$B15&amp;Weekly!$B$3&amp;$B$2)</f>
        <v>0</v>
      </c>
      <c r="F15" s="2">
        <f>COUNTIF(defects!$V:$V,Weekly!F$3&amp;Weekly!$B15&amp;Weekly!$B$3&amp;$B$2)</f>
        <v>0</v>
      </c>
      <c r="G15" s="2">
        <f>COUNTIF(defects!$V:$V,Weekly!G$3&amp;Weekly!$B15&amp;Weekly!$B$3&amp;$B$2)</f>
        <v>0</v>
      </c>
      <c r="H15" s="2">
        <f>COUNTIF(defects!$V:$V,Weekly!H$3&amp;Weekly!$B15&amp;Weekly!$B$3&amp;$B$2)</f>
        <v>0</v>
      </c>
      <c r="I15" s="2">
        <f>COUNTIF(defects!$V:$V,Weekly!I$3&amp;Weekly!$B15&amp;Weekly!$B$3&amp;$B$2)</f>
        <v>0</v>
      </c>
      <c r="J15" s="2">
        <f>COUNTIF(defects!$V:$V,Weekly!J$3&amp;Weekly!$B15&amp;Weekly!$B$3&amp;$B$2)</f>
        <v>0</v>
      </c>
      <c r="K15" s="2">
        <f>COUNTIF(defects!$V:$V,Weekly!K$3&amp;Weekly!$B15&amp;Weekly!$B$3&amp;$B$2)</f>
        <v>0</v>
      </c>
      <c r="L15" s="2">
        <f>COUNTIF(defects!$V:$V,Weekly!L$3&amp;Weekly!$B15&amp;Weekly!$B$3&amp;$B$2)</f>
        <v>0</v>
      </c>
      <c r="M15" s="2">
        <f>COUNTIF(defects!$V:$V,Weekly!M$3&amp;Weekly!$B15&amp;Weekly!$B$3&amp;$B$2)</f>
        <v>0</v>
      </c>
      <c r="N15" s="2">
        <f>COUNTIF(defects!$V:$V,Weekly!N$3&amp;Weekly!$B15&amp;Weekly!$B$3&amp;$B$2)</f>
        <v>0</v>
      </c>
      <c r="O15" s="2">
        <f>COUNTIF(defects!$V:$V,Weekly!O$3&amp;Weekly!$B15&amp;Weekly!$B$3&amp;$B$2)</f>
        <v>0</v>
      </c>
      <c r="P15" s="2">
        <f>COUNTIF(defects!$V:$V,Weekly!P$3&amp;Weekly!$B15&amp;Weekly!$B$3&amp;$B$2)</f>
        <v>0</v>
      </c>
      <c r="Q15" s="2">
        <f>COUNTIF(defects!$V:$V,Weekly!Q$3&amp;Weekly!$B15&amp;Weekly!$B$3&amp;$B$2)</f>
        <v>0</v>
      </c>
      <c r="R15" s="2">
        <f>COUNTIF(defects!$V:$V,Weekly!R$3&amp;Weekly!$B15&amp;Weekly!$B$3&amp;$B$2)</f>
        <v>0</v>
      </c>
      <c r="S15" s="2">
        <f>COUNTIF(defects!$V:$V,Weekly!S$3&amp;Weekly!$B15&amp;Weekly!$B$3&amp;$B$2)</f>
        <v>0</v>
      </c>
      <c r="T15" s="2">
        <f>COUNTIF(defects!$V:$V,Weekly!T$3&amp;Weekly!$B15&amp;Weekly!$B$3&amp;$B$2)</f>
        <v>0</v>
      </c>
      <c r="U15" s="2">
        <f>COUNTIF(defects!$V:$V,Weekly!U$3&amp;Weekly!$B15&amp;Weekly!$B$3&amp;$B$2)</f>
        <v>0</v>
      </c>
      <c r="V15" s="2">
        <f>COUNTIF(defects!$V:$V,Weekly!V$3&amp;Weekly!$B15&amp;Weekly!$B$3&amp;$B$2)</f>
        <v>0</v>
      </c>
      <c r="W15" s="2">
        <f>COUNTIF(defects!$V:$V,Weekly!W$3&amp;Weekly!$B15&amp;Weekly!$B$3&amp;$B$2)</f>
        <v>0</v>
      </c>
      <c r="X15" s="2">
        <f>COUNTIF(defects!$V:$V,Weekly!X$3&amp;Weekly!$B15&amp;Weekly!$B$3&amp;$B$2)</f>
        <v>0</v>
      </c>
      <c r="Y15" s="2">
        <f>COUNTIF(defects!$V:$V,Weekly!Y$3&amp;Weekly!$B15&amp;Weekly!$B$3&amp;$B$2)</f>
        <v>0</v>
      </c>
      <c r="Z15" s="2">
        <f>COUNTIF(defects!$V:$V,Weekly!Z$3&amp;Weekly!$B15&amp;Weekly!$B$3&amp;$B$2)</f>
        <v>0</v>
      </c>
      <c r="AA15" s="2">
        <f>COUNTIF(defects!$V:$V,Weekly!AA$3&amp;Weekly!$B15&amp;Weekly!$B$3&amp;$B$2)</f>
        <v>0</v>
      </c>
      <c r="AB15" s="2">
        <f>COUNTIF(defects!$V:$V,Weekly!AB$3&amp;Weekly!$B15&amp;Weekly!$B$3&amp;$B$2)</f>
        <v>0</v>
      </c>
      <c r="AC15" s="2">
        <f>COUNTIF(defects!$V:$V,Weekly!AC$3&amp;Weekly!$B15&amp;Weekly!$B$3&amp;$B$2)</f>
        <v>0</v>
      </c>
      <c r="AD15" s="2">
        <f>COUNTIF(defects!$V:$V,Weekly!AD$3&amp;Weekly!$B15&amp;Weekly!$B$3&amp;$B$2)</f>
        <v>0</v>
      </c>
      <c r="AE15" s="2">
        <f>COUNTIF(defects!$V:$V,Weekly!AE$3&amp;Weekly!$B15&amp;Weekly!$B$3&amp;$B$2)</f>
        <v>0</v>
      </c>
      <c r="AF15" s="2">
        <f>COUNTIF(defects!$V:$V,Weekly!AF$3&amp;Weekly!$B15&amp;Weekly!$B$3&amp;$B$2)</f>
        <v>0</v>
      </c>
      <c r="AG15" s="2">
        <f>COUNTIF(defects!$V:$V,Weekly!AG$3&amp;Weekly!$B15&amp;Weekly!$B$3&amp;$B$2)</f>
        <v>0</v>
      </c>
      <c r="AH15" s="2">
        <f>COUNTIF(defects!$V:$V,Weekly!AH$3&amp;Weekly!$B15&amp;Weekly!$B$3&amp;$B$2)</f>
        <v>0</v>
      </c>
      <c r="AI15" s="2">
        <f>COUNTIF(defects!$V:$V,Weekly!AI$3&amp;Weekly!$B15&amp;Weekly!$B$3&amp;$B$2)</f>
        <v>0</v>
      </c>
      <c r="AJ15" s="2">
        <f>COUNTIF(defects!$V:$V,Weekly!AJ$3&amp;Weekly!$B15&amp;Weekly!$B$3&amp;$B$2)</f>
        <v>0</v>
      </c>
      <c r="AK15" s="2">
        <f>COUNTIF(defects!$V:$V,Weekly!AK$3&amp;Weekly!$B15&amp;Weekly!$B$3&amp;$B$2)</f>
        <v>0</v>
      </c>
      <c r="AL15" s="2">
        <f>COUNTIF(defects!$V:$V,Weekly!AL$3&amp;Weekly!$B15&amp;Weekly!$B$3&amp;$B$2)</f>
        <v>0</v>
      </c>
      <c r="AM15" s="2">
        <f>COUNTIF(defects!$V:$V,Weekly!AM$3&amp;Weekly!$B15&amp;Weekly!$B$3&amp;$B$2)</f>
        <v>0</v>
      </c>
      <c r="AN15" s="2">
        <f>COUNTIF(defects!$V:$V,Weekly!AN$3&amp;Weekly!$B15&amp;Weekly!$B$3&amp;$B$2)</f>
        <v>0</v>
      </c>
      <c r="AO15" s="2">
        <f>COUNTIF(defects!$V:$V,Weekly!AO$3&amp;Weekly!$B15&amp;Weekly!$B$3&amp;$B$2)</f>
        <v>0</v>
      </c>
      <c r="AP15" s="2">
        <f>COUNTIF(defects!$V:$V,Weekly!AP$3&amp;Weekly!$B15&amp;Weekly!$B$3&amp;$B$2)</f>
        <v>0</v>
      </c>
      <c r="AQ15" s="2">
        <f>COUNTIF(defects!$V:$V,Weekly!AQ$3&amp;Weekly!$B15&amp;Weekly!$B$3&amp;$B$2)</f>
        <v>0</v>
      </c>
      <c r="AR15" s="2">
        <f>COUNTIF(defects!$V:$V,Weekly!AR$3&amp;Weekly!$B15&amp;Weekly!$B$3&amp;$B$2)</f>
        <v>0</v>
      </c>
      <c r="AS15" s="2">
        <f>COUNTIF(defects!$V:$V,Weekly!AS$3&amp;Weekly!$B15&amp;Weekly!$B$3&amp;$B$2)</f>
        <v>0</v>
      </c>
      <c r="AT15" s="2">
        <f>COUNTIF(defects!$V:$V,Weekly!AT$3&amp;Weekly!$B15&amp;Weekly!$B$3&amp;$B$2)</f>
        <v>0</v>
      </c>
      <c r="AU15" s="2">
        <f>COUNTIF(defects!$V:$V,Weekly!AU$3&amp;Weekly!$B15&amp;Weekly!$B$3&amp;$B$2)</f>
        <v>0</v>
      </c>
      <c r="AV15" s="2">
        <f>COUNTIF(defects!$V:$V,Weekly!AV$3&amp;Weekly!$B15&amp;Weekly!$B$3&amp;$B$2)</f>
        <v>0</v>
      </c>
      <c r="AW15" s="2">
        <f>COUNTIF(defects!$V:$V,Weekly!AW$3&amp;Weekly!$B15&amp;Weekly!$B$3&amp;$B$2)</f>
        <v>0</v>
      </c>
      <c r="AX15" s="2">
        <f>COUNTIF(defects!$V:$V,Weekly!AX$3&amp;Weekly!$B15&amp;Weekly!$B$3&amp;$B$2)</f>
        <v>0</v>
      </c>
      <c r="AY15" s="2">
        <f>COUNTIF(defects!$V:$V,Weekly!AY$3&amp;Weekly!$B15&amp;Weekly!$B$3&amp;$B$2)</f>
        <v>0</v>
      </c>
      <c r="AZ15" s="2">
        <f>COUNTIF(defects!$V:$V,Weekly!AZ$3&amp;Weekly!$B15&amp;Weekly!$B$3&amp;$B$2)</f>
        <v>0</v>
      </c>
      <c r="BA15" s="2">
        <f>COUNTIF(defects!$V:$V,Weekly!BA$3&amp;Weekly!$B15&amp;Weekly!$B$3&amp;$B$2)</f>
        <v>0</v>
      </c>
      <c r="BB15" s="2">
        <f>COUNTIF(defects!$V:$V,Weekly!BB$3&amp;Weekly!$B15&amp;Weekly!$B$3&amp;$B$2)</f>
        <v>0</v>
      </c>
      <c r="BC15" s="2">
        <f>COUNTIF(defects!$V:$V,Weekly!BC$3&amp;Weekly!$B15&amp;Weekly!$B$3&amp;$B$2)</f>
        <v>0</v>
      </c>
      <c r="BD15" s="2">
        <f>COUNTIF(defects!$V:$V,Weekly!BD$3&amp;Weekly!$B15&amp;Weekly!$B$3&amp;$B$2)</f>
        <v>0</v>
      </c>
      <c r="BE15" s="2">
        <f>COUNTIF(defects!$V:$V,Weekly!BE$3&amp;Weekly!$B15&amp;Weekly!$B$3&amp;$B$2)</f>
        <v>0</v>
      </c>
      <c r="BF15" s="2">
        <f>COUNTIF(defects!$V:$V,Weekly!BF$3&amp;Weekly!$B15&amp;Weekly!$B$3&amp;$B$2)</f>
        <v>0</v>
      </c>
      <c r="BG15" s="2">
        <f>COUNTIF(defects!$V:$V,Weekly!BG$3&amp;Weekly!$B15&amp;Weekly!$B$3&amp;$B$2)</f>
        <v>0</v>
      </c>
      <c r="BH15" s="2">
        <f>COUNTIF(defects!$V:$V,Weekly!BH$3&amp;Weekly!$B15&amp;Weekly!$B$3&amp;$B$2)</f>
        <v>0</v>
      </c>
      <c r="BI15" s="2">
        <f>COUNTIF(defects!$V:$V,Weekly!BI$3&amp;Weekly!$B15&amp;Weekly!$B$3&amp;$B$2)</f>
        <v>0</v>
      </c>
      <c r="BJ15" s="2">
        <f>COUNTIF(defects!$V:$V,Weekly!BJ$3&amp;Weekly!$B15&amp;Weekly!$B$3&amp;$B$2)</f>
        <v>0</v>
      </c>
      <c r="BK15" s="2">
        <f>COUNTIF(defects!$V:$V,Weekly!BK$3&amp;Weekly!$B15&amp;Weekly!$B$3&amp;$B$2)</f>
        <v>0</v>
      </c>
      <c r="BL15" s="2">
        <f>COUNTIF(defects!$V:$V,Weekly!BL$3&amp;Weekly!$B15&amp;Weekly!$B$3&amp;$B$2)</f>
        <v>0</v>
      </c>
      <c r="BM15" s="2">
        <f>COUNTIF(defects!$V:$V,Weekly!BM$3&amp;Weekly!$B15&amp;Weekly!$B$3&amp;$B$2)</f>
        <v>0</v>
      </c>
      <c r="BN15" s="2">
        <f>COUNTIF(defects!$V:$V,Weekly!BN$3&amp;Weekly!$B15&amp;Weekly!$B$3&amp;$B$2)</f>
        <v>0</v>
      </c>
      <c r="BO15" s="2">
        <f>COUNTIF(defects!$V:$V,Weekly!BO$3&amp;Weekly!$B15&amp;Weekly!$B$3&amp;$B$2)</f>
        <v>0</v>
      </c>
      <c r="BP15" s="2">
        <f>COUNTIF(defects!$V:$V,Weekly!BP$3&amp;Weekly!$B15&amp;Weekly!$B$3&amp;$B$2)</f>
        <v>0</v>
      </c>
      <c r="BQ15" s="2">
        <f>COUNTIF(defects!$V:$V,Weekly!BQ$3&amp;Weekly!$B15&amp;Weekly!$B$3&amp;$B$2)</f>
        <v>0</v>
      </c>
      <c r="BR15" s="2">
        <f>COUNTIF(defects!$V:$V,Weekly!BR$3&amp;Weekly!$B15&amp;Weekly!$B$3&amp;$B$2)</f>
        <v>0</v>
      </c>
      <c r="BS15" s="2">
        <f>COUNTIF(defects!$V:$V,Weekly!BS$3&amp;Weekly!$B15&amp;Weekly!$B$3&amp;$B$2)</f>
        <v>0</v>
      </c>
      <c r="BT15" s="2">
        <f>COUNTIF(defects!$V:$V,Weekly!BT$3&amp;Weekly!$B15&amp;Weekly!$B$3&amp;$B$2)</f>
        <v>0</v>
      </c>
      <c r="BU15" s="2">
        <f>COUNTIF(defects!$V:$V,Weekly!BU$3&amp;Weekly!$B15&amp;Weekly!$B$3&amp;$B$2)</f>
        <v>0</v>
      </c>
      <c r="BV15" s="2">
        <f>COUNTIF(defects!$V:$V,Weekly!BV$3&amp;Weekly!$B15&amp;Weekly!$B$3&amp;$B$2)</f>
        <v>0</v>
      </c>
      <c r="BW15" s="2">
        <f>COUNTIF(defects!$V:$V,Weekly!BW$3&amp;Weekly!$B15&amp;Weekly!$B$3&amp;$B$2)</f>
        <v>0</v>
      </c>
      <c r="BX15" s="2">
        <f>COUNTIF(defects!$V:$V,Weekly!BX$3&amp;Weekly!$B15&amp;Weekly!$B$3&amp;$B$2)</f>
        <v>0</v>
      </c>
      <c r="BY15" s="2">
        <f>COUNTIF(defects!$V:$V,Weekly!BY$3&amp;Weekly!$B15&amp;Weekly!$B$3&amp;$B$2)</f>
        <v>0</v>
      </c>
      <c r="BZ15" s="2">
        <f>COUNTIF(defects!$V:$V,Weekly!BZ$3&amp;Weekly!$B15&amp;Weekly!$B$3&amp;$B$2)</f>
        <v>0</v>
      </c>
      <c r="CA15" s="2">
        <f>COUNTIF(defects!$V:$V,Weekly!CA$3&amp;Weekly!$B15&amp;Weekly!$B$3&amp;$B$2)</f>
        <v>0</v>
      </c>
      <c r="CB15" s="2">
        <f>COUNTIF(defects!$V:$V,Weekly!CB$3&amp;Weekly!$B15&amp;Weekly!$B$3&amp;$B$2)</f>
        <v>0</v>
      </c>
      <c r="CC15" s="2">
        <f>COUNTIF(defects!$V:$V,Weekly!CC$3&amp;Weekly!$B15&amp;Weekly!$B$3&amp;$B$2)</f>
        <v>0</v>
      </c>
      <c r="CD15" s="2">
        <f>COUNTIF(defects!$V:$V,Weekly!CD$3&amp;Weekly!$B15&amp;Weekly!$B$3&amp;$B$2)</f>
        <v>0</v>
      </c>
      <c r="CE15" s="2">
        <f>COUNTIF(defects!$V:$V,Weekly!CE$3&amp;Weekly!$B15&amp;Weekly!$B$3&amp;$B$2)</f>
        <v>0</v>
      </c>
      <c r="CF15" s="2">
        <f>COUNTIF(defects!$V:$V,Weekly!CF$3&amp;Weekly!$B15&amp;Weekly!$B$3&amp;$B$2)</f>
        <v>0</v>
      </c>
      <c r="CG15" s="2">
        <f>COUNTIF(defects!$V:$V,Weekly!CG$3&amp;Weekly!$B15&amp;Weekly!$B$3&amp;$B$2)</f>
        <v>0</v>
      </c>
      <c r="CH15" s="2">
        <f>COUNTIF(defects!$V:$V,Weekly!CH$3&amp;Weekly!$B15&amp;Weekly!$B$3&amp;$B$2)</f>
        <v>0</v>
      </c>
      <c r="CI15" s="2">
        <f>COUNTIF(defects!$V:$V,Weekly!CI$3&amp;Weekly!$B15&amp;Weekly!$B$3&amp;$B$2)</f>
        <v>0</v>
      </c>
      <c r="CJ15" s="2">
        <f>COUNTIF(defects!$V:$V,Weekly!CJ$3&amp;Weekly!$B15&amp;Weekly!$B$3&amp;$B$2)</f>
        <v>0</v>
      </c>
      <c r="CK15" s="2">
        <f>COUNTIF(defects!$V:$V,Weekly!CK$3&amp;Weekly!$B15&amp;Weekly!$B$3&amp;$B$2)</f>
        <v>0</v>
      </c>
      <c r="CL15" s="2">
        <f>COUNTIF(defects!$V:$V,Weekly!CL$3&amp;Weekly!$B15&amp;Weekly!$B$3&amp;$B$2)</f>
        <v>0</v>
      </c>
      <c r="CM15" s="2">
        <f>COUNTIF(defects!$V:$V,Weekly!CM$3&amp;Weekly!$B15&amp;Weekly!$B$3&amp;$B$2)</f>
        <v>0</v>
      </c>
      <c r="CN15" s="2">
        <f>COUNTIF(defects!$V:$V,Weekly!CN$3&amp;Weekly!$B15&amp;Weekly!$B$3&amp;$B$2)</f>
        <v>0</v>
      </c>
      <c r="CO15" s="2">
        <f>COUNTIF(defects!$V:$V,Weekly!CO$3&amp;Weekly!$B15&amp;Weekly!$B$3&amp;$B$2)</f>
        <v>0</v>
      </c>
      <c r="CP15" s="2">
        <f>COUNTIF(defects!$V:$V,Weekly!CP$3&amp;Weekly!$B15&amp;Weekly!$B$3&amp;$B$2)</f>
        <v>0</v>
      </c>
      <c r="CQ15" s="2">
        <f>COUNTIF(defects!$V:$V,Weekly!CQ$3&amp;Weekly!$B15&amp;Weekly!$B$3&amp;$B$2)</f>
        <v>0</v>
      </c>
      <c r="CR15" s="2">
        <f>COUNTIF(defects!$V:$V,Weekly!CR$3&amp;Weekly!$B15&amp;Weekly!$B$3&amp;$B$2)</f>
        <v>0</v>
      </c>
      <c r="CS15" s="2">
        <f>COUNTIF(defects!$V:$V,Weekly!CS$3&amp;Weekly!$B15&amp;Weekly!$B$3&amp;$B$2)</f>
        <v>0</v>
      </c>
      <c r="CT15" s="2">
        <f>COUNTIF(defects!$V:$V,Weekly!CT$3&amp;Weekly!$B15&amp;Weekly!$B$3&amp;$B$2)</f>
        <v>0</v>
      </c>
      <c r="CU15" s="2">
        <f>COUNTIF(defects!$V:$V,Weekly!CU$3&amp;Weekly!$B15&amp;Weekly!$B$3&amp;$B$2)</f>
        <v>0</v>
      </c>
      <c r="CV15" s="2">
        <f>COUNTIF(defects!$V:$V,Weekly!CV$3&amp;Weekly!$B15&amp;Weekly!$B$3&amp;$B$2)</f>
        <v>0</v>
      </c>
      <c r="CW15" s="2">
        <f>COUNTIF(defects!$V:$V,Weekly!CW$3&amp;Weekly!$B15&amp;Weekly!$B$3&amp;$B$2)</f>
        <v>0</v>
      </c>
      <c r="CX15" s="2">
        <f>COUNTIF(defects!$V:$V,Weekly!CX$3&amp;Weekly!$B15&amp;Weekly!$B$3&amp;$B$2)</f>
        <v>0</v>
      </c>
      <c r="CY15" s="2">
        <f>COUNTIF(defects!$V:$V,Weekly!CY$3&amp;Weekly!$B15&amp;Weekly!$B$3&amp;$B$2)</f>
        <v>0</v>
      </c>
      <c r="CZ15" s="2">
        <f>COUNTIF(defects!$V:$V,Weekly!CZ$3&amp;Weekly!$B15&amp;Weekly!$B$3&amp;$B$2)</f>
        <v>0</v>
      </c>
      <c r="DA15" s="2">
        <f>COUNTIF(defects!$V:$V,Weekly!DA$3&amp;Weekly!$B15&amp;Weekly!$B$3&amp;$B$2)</f>
        <v>0</v>
      </c>
      <c r="DB15" s="2">
        <f>COUNTIF(defects!$V:$V,Weekly!DB$3&amp;Weekly!$B15&amp;Weekly!$B$3&amp;$B$2)</f>
        <v>0</v>
      </c>
      <c r="DC15" s="2">
        <f>COUNTIF(defects!$V:$V,Weekly!DC$3&amp;Weekly!$B15&amp;Weekly!$B$3&amp;$B$2)</f>
        <v>0</v>
      </c>
      <c r="DD15" s="2">
        <f>COUNTIF(defects!$V:$V,Weekly!DD$3&amp;Weekly!$B15&amp;Weekly!$B$3&amp;$B$2)</f>
        <v>0</v>
      </c>
      <c r="DE15" s="2">
        <f>COUNTIF(defects!$V:$V,Weekly!DE$3&amp;Weekly!$B15&amp;Weekly!$B$3&amp;$B$2)</f>
        <v>0</v>
      </c>
      <c r="DF15" s="2">
        <f>COUNTIF(defects!$V:$V,Weekly!DF$3&amp;Weekly!$B15&amp;Weekly!$B$3&amp;$B$2)</f>
        <v>0</v>
      </c>
      <c r="DG15" s="2">
        <f>COUNTIF(defects!$V:$V,Weekly!DG$3&amp;Weekly!$B15&amp;Weekly!$B$3&amp;$B$2)</f>
        <v>0</v>
      </c>
      <c r="DH15" s="2">
        <f>COUNTIF(defects!$V:$V,Weekly!DH$3&amp;Weekly!$B15&amp;Weekly!$B$3&amp;$B$2)</f>
        <v>0</v>
      </c>
      <c r="DI15" s="2">
        <f>COUNTIF(defects!$V:$V,Weekly!DI$3&amp;Weekly!$B15&amp;Weekly!$B$3&amp;$B$2)</f>
        <v>0</v>
      </c>
      <c r="DJ15" s="2">
        <f>COUNTIF(defects!$V:$V,Weekly!DJ$3&amp;Weekly!$B15&amp;Weekly!$B$3&amp;$B$2)</f>
        <v>0</v>
      </c>
      <c r="DK15" s="2">
        <f>COUNTIF(defects!$V:$V,Weekly!DK$3&amp;Weekly!$B15&amp;Weekly!$B$3&amp;$B$2)</f>
        <v>0</v>
      </c>
      <c r="DL15" s="2">
        <f>COUNTIF(defects!$V:$V,Weekly!DL$3&amp;Weekly!$B15&amp;Weekly!$B$3&amp;$B$2)</f>
        <v>0</v>
      </c>
      <c r="DM15" s="2">
        <f>COUNTIF(defects!$V:$V,Weekly!DM$3&amp;Weekly!$B15&amp;Weekly!$B$3&amp;$B$2)</f>
        <v>0</v>
      </c>
      <c r="DN15" s="2">
        <f>COUNTIF(defects!$V:$V,Weekly!DN$3&amp;Weekly!$B15&amp;Weekly!$B$3&amp;$B$2)</f>
        <v>0</v>
      </c>
      <c r="DO15" s="2">
        <f>COUNTIF(defects!$V:$V,Weekly!DO$3&amp;Weekly!$B15&amp;Weekly!$B$3&amp;$B$2)</f>
        <v>0</v>
      </c>
      <c r="DP15" s="2">
        <f>COUNTIF(defects!$V:$V,Weekly!DP$3&amp;Weekly!$B15&amp;Weekly!$B$3&amp;$B$2)</f>
        <v>0</v>
      </c>
      <c r="DQ15" s="2">
        <f>COUNTIF(defects!$V:$V,Weekly!DQ$3&amp;Weekly!$B15&amp;Weekly!$B$3&amp;$B$2)</f>
        <v>0</v>
      </c>
      <c r="DR15" s="2">
        <f>COUNTIF(defects!$V:$V,Weekly!DR$3&amp;Weekly!$B15&amp;Weekly!$B$3&amp;$B$2)</f>
        <v>0</v>
      </c>
      <c r="DS15" s="2">
        <f>COUNTIF(defects!$V:$V,Weekly!DS$3&amp;Weekly!$B15&amp;Weekly!$B$3&amp;$B$2)</f>
        <v>0</v>
      </c>
      <c r="DT15" s="2">
        <f>COUNTIF(defects!$V:$V,Weekly!DT$3&amp;Weekly!$B15&amp;Weekly!$B$3&amp;$B$2)</f>
        <v>0</v>
      </c>
      <c r="DU15" s="2">
        <f>COUNTIF(defects!$V:$V,Weekly!DU$3&amp;Weekly!$B15&amp;Weekly!$B$3&amp;$B$2)</f>
        <v>0</v>
      </c>
      <c r="DV15" s="2">
        <f>COUNTIF(defects!$V:$V,Weekly!DV$3&amp;Weekly!$B15&amp;Weekly!$B$3&amp;$B$2)</f>
        <v>0</v>
      </c>
      <c r="DW15" s="2">
        <f>COUNTIF(defects!$V:$V,Weekly!DW$3&amp;Weekly!$B15&amp;Weekly!$B$3&amp;$B$2)</f>
        <v>0</v>
      </c>
      <c r="DX15" s="2">
        <f>COUNTIF(defects!$V:$V,Weekly!DX$3&amp;Weekly!$B15&amp;Weekly!$B$3&amp;$B$2)</f>
        <v>0</v>
      </c>
      <c r="DY15" s="2">
        <f>COUNTIF(defects!$V:$V,Weekly!DY$3&amp;Weekly!$B15&amp;Weekly!$B$3&amp;$B$2)</f>
        <v>0</v>
      </c>
      <c r="DZ15" s="2">
        <f>COUNTIF(defects!$V:$V,Weekly!DZ$3&amp;Weekly!$B15&amp;Weekly!$B$3&amp;$B$2)</f>
        <v>0</v>
      </c>
      <c r="EA15" s="2">
        <f>COUNTIF(defects!$V:$V,Weekly!EA$3&amp;Weekly!$B15&amp;Weekly!$B$3&amp;$B$2)</f>
        <v>0</v>
      </c>
      <c r="EB15" s="2">
        <f>COUNTIF(defects!$V:$V,Weekly!EB$3&amp;Weekly!$B15&amp;Weekly!$B$3&amp;$B$2)</f>
        <v>0</v>
      </c>
      <c r="EC15" s="2">
        <f>COUNTIF(defects!$V:$V,Weekly!EC$3&amp;Weekly!$B15&amp;Weekly!$B$3&amp;$B$2)</f>
        <v>0</v>
      </c>
      <c r="ED15" s="2">
        <f>COUNTIF(defects!$V:$V,Weekly!ED$3&amp;Weekly!$B15&amp;Weekly!$B$3&amp;$B$2)</f>
        <v>0</v>
      </c>
      <c r="EE15" s="2">
        <f>COUNTIF(defects!$V:$V,Weekly!EE$3&amp;Weekly!$B15&amp;Weekly!$B$3&amp;$B$2)</f>
        <v>0</v>
      </c>
      <c r="EF15" s="2">
        <f>COUNTIF(defects!$V:$V,Weekly!EF$3&amp;Weekly!$B15&amp;Weekly!$B$3&amp;$B$2)</f>
        <v>0</v>
      </c>
      <c r="EG15" s="2">
        <f>COUNTIF(defects!$V:$V,Weekly!EG$3&amp;Weekly!$B15&amp;Weekly!$B$3&amp;$B$2)</f>
        <v>0</v>
      </c>
      <c r="EH15" s="2">
        <f>COUNTIF(defects!$V:$V,Weekly!EH$3&amp;Weekly!$B15&amp;Weekly!$B$3&amp;$B$2)</f>
        <v>0</v>
      </c>
      <c r="EI15" s="2">
        <f>COUNTIF(defects!$V:$V,Weekly!EI$3&amp;Weekly!$B15&amp;Weekly!$B$3&amp;$B$2)</f>
        <v>0</v>
      </c>
      <c r="EJ15" s="2">
        <f>COUNTIF(defects!$V:$V,Weekly!EJ$3&amp;Weekly!$B15&amp;Weekly!$B$3&amp;$B$2)</f>
        <v>0</v>
      </c>
      <c r="EK15" s="2">
        <f>COUNTIF(defects!$V:$V,Weekly!EK$3&amp;Weekly!$B15&amp;Weekly!$B$3&amp;$B$2)</f>
        <v>0</v>
      </c>
      <c r="EL15" s="2">
        <f>COUNTIF(defects!$V:$V,Weekly!EL$3&amp;Weekly!$B15&amp;Weekly!$B$3&amp;$B$2)</f>
        <v>0</v>
      </c>
      <c r="EM15" s="2">
        <f>COUNTIF(defects!$V:$V,Weekly!EM$3&amp;Weekly!$B15&amp;Weekly!$B$3&amp;$B$2)</f>
        <v>0</v>
      </c>
      <c r="EN15" s="2">
        <f>COUNTIF(defects!$V:$V,Weekly!EN$3&amp;Weekly!$B15&amp;Weekly!$B$3&amp;$B$2)</f>
        <v>0</v>
      </c>
      <c r="EO15" s="2">
        <f>COUNTIF(defects!$V:$V,Weekly!EO$3&amp;Weekly!$B15&amp;Weekly!$B$3&amp;$B$2)</f>
        <v>0</v>
      </c>
      <c r="EP15" s="2">
        <f>COUNTIF(defects!$V:$V,Weekly!EP$3&amp;Weekly!$B15&amp;Weekly!$B$3&amp;$B$2)</f>
        <v>0</v>
      </c>
      <c r="EQ15" s="2">
        <f>COUNTIF(defects!$V:$V,Weekly!EQ$3&amp;Weekly!$B15&amp;Weekly!$B$3&amp;$B$2)</f>
        <v>0</v>
      </c>
      <c r="ER15" s="2">
        <f>COUNTIF(defects!$V:$V,Weekly!ER$3&amp;Weekly!$B15&amp;Weekly!$B$3&amp;$B$2)</f>
        <v>0</v>
      </c>
      <c r="ES15" s="2">
        <f>COUNTIF(defects!$V:$V,Weekly!ES$3&amp;Weekly!$B15&amp;Weekly!$B$3&amp;$B$2)</f>
        <v>0</v>
      </c>
      <c r="ET15" s="2">
        <f>COUNTIF(defects!$V:$V,Weekly!ET$3&amp;Weekly!$B15&amp;Weekly!$B$3&amp;$B$2)</f>
        <v>0</v>
      </c>
      <c r="EU15" s="2">
        <f>COUNTIF(defects!$V:$V,Weekly!EU$3&amp;Weekly!$B15&amp;Weekly!$B$3&amp;$B$2)</f>
        <v>0</v>
      </c>
      <c r="EV15" s="2">
        <f>COUNTIF(defects!$V:$V,Weekly!EV$3&amp;Weekly!$B15&amp;Weekly!$B$3&amp;$B$2)</f>
        <v>0</v>
      </c>
      <c r="EW15" s="2">
        <f>COUNTIF(defects!$V:$V,Weekly!EW$3&amp;Weekly!$B15&amp;Weekly!$B$3&amp;$B$2)</f>
        <v>0</v>
      </c>
      <c r="EX15" s="2">
        <f>COUNTIF(defects!$V:$V,Weekly!EX$3&amp;Weekly!$B15&amp;Weekly!$B$3&amp;$B$2)</f>
        <v>0</v>
      </c>
      <c r="EY15" s="2">
        <f>COUNTIF(defects!$V:$V,Weekly!EY$3&amp;Weekly!$B15&amp;Weekly!$B$3&amp;$B$2)</f>
        <v>0</v>
      </c>
      <c r="EZ15" s="2">
        <f>COUNTIF(defects!$V:$V,Weekly!EZ$3&amp;Weekly!$B15&amp;Weekly!$B$3&amp;$B$2)</f>
        <v>0</v>
      </c>
      <c r="FA15" s="2">
        <f>COUNTIF(defects!$V:$V,Weekly!FA$3&amp;Weekly!$B15&amp;Weekly!$B$3&amp;$B$2)</f>
        <v>0</v>
      </c>
      <c r="FB15" s="2">
        <f>COUNTIF(defects!$V:$V,Weekly!FB$3&amp;Weekly!$B15&amp;Weekly!$B$3&amp;$B$2)</f>
        <v>0</v>
      </c>
      <c r="FC15" s="2">
        <f>COUNTIF(defects!$V:$V,Weekly!FC$3&amp;Weekly!$B15&amp;Weekly!$B$3&amp;$B$2)</f>
        <v>0</v>
      </c>
      <c r="FD15" s="2">
        <f>COUNTIF(defects!$V:$V,Weekly!FD$3&amp;Weekly!$B15&amp;Weekly!$B$3&amp;$B$2)</f>
        <v>0</v>
      </c>
      <c r="FE15" s="2">
        <f>COUNTIF(defects!$V:$V,Weekly!FE$3&amp;Weekly!$B15&amp;Weekly!$B$3&amp;$B$2)</f>
        <v>0</v>
      </c>
    </row>
    <row r="16" spans="2:161" x14ac:dyDescent="0.35">
      <c r="B16" s="2" t="s">
        <v>1336</v>
      </c>
      <c r="C16" s="2">
        <f>COUNTIF(defects!$V:$V,Weekly!C$3&amp;Weekly!$B16&amp;Weekly!$B$3&amp;$B$2)</f>
        <v>0</v>
      </c>
      <c r="D16" s="2">
        <f>COUNTIF(defects!$V:$V,Weekly!D$3&amp;Weekly!$B16&amp;Weekly!$B$3&amp;$B$2)</f>
        <v>0</v>
      </c>
      <c r="E16" s="2">
        <f>COUNTIF(defects!$V:$V,Weekly!E$3&amp;Weekly!$B16&amp;Weekly!$B$3&amp;$B$2)</f>
        <v>0</v>
      </c>
      <c r="F16" s="2">
        <f>COUNTIF(defects!$V:$V,Weekly!F$3&amp;Weekly!$B16&amp;Weekly!$B$3&amp;$B$2)</f>
        <v>0</v>
      </c>
      <c r="G16" s="2">
        <f>COUNTIF(defects!$V:$V,Weekly!G$3&amp;Weekly!$B16&amp;Weekly!$B$3&amp;$B$2)</f>
        <v>0</v>
      </c>
      <c r="H16" s="2">
        <f>COUNTIF(defects!$V:$V,Weekly!H$3&amp;Weekly!$B16&amp;Weekly!$B$3&amp;$B$2)</f>
        <v>0</v>
      </c>
      <c r="I16" s="2">
        <f>COUNTIF(defects!$V:$V,Weekly!I$3&amp;Weekly!$B16&amp;Weekly!$B$3&amp;$B$2)</f>
        <v>0</v>
      </c>
      <c r="J16" s="2">
        <f>COUNTIF(defects!$V:$V,Weekly!J$3&amp;Weekly!$B16&amp;Weekly!$B$3&amp;$B$2)</f>
        <v>0</v>
      </c>
      <c r="K16" s="2">
        <f>COUNTIF(defects!$V:$V,Weekly!K$3&amp;Weekly!$B16&amp;Weekly!$B$3&amp;$B$2)</f>
        <v>0</v>
      </c>
      <c r="L16" s="2">
        <f>COUNTIF(defects!$V:$V,Weekly!L$3&amp;Weekly!$B16&amp;Weekly!$B$3&amp;$B$2)</f>
        <v>0</v>
      </c>
      <c r="M16" s="2">
        <f>COUNTIF(defects!$V:$V,Weekly!M$3&amp;Weekly!$B16&amp;Weekly!$B$3&amp;$B$2)</f>
        <v>0</v>
      </c>
      <c r="N16" s="2">
        <f>COUNTIF(defects!$V:$V,Weekly!N$3&amp;Weekly!$B16&amp;Weekly!$B$3&amp;$B$2)</f>
        <v>0</v>
      </c>
      <c r="O16" s="2">
        <f>COUNTIF(defects!$V:$V,Weekly!O$3&amp;Weekly!$B16&amp;Weekly!$B$3&amp;$B$2)</f>
        <v>0</v>
      </c>
      <c r="P16" s="2">
        <f>COUNTIF(defects!$V:$V,Weekly!P$3&amp;Weekly!$B16&amp;Weekly!$B$3&amp;$B$2)</f>
        <v>0</v>
      </c>
      <c r="Q16" s="2">
        <f>COUNTIF(defects!$V:$V,Weekly!Q$3&amp;Weekly!$B16&amp;Weekly!$B$3&amp;$B$2)</f>
        <v>0</v>
      </c>
      <c r="R16" s="2">
        <f>COUNTIF(defects!$V:$V,Weekly!R$3&amp;Weekly!$B16&amp;Weekly!$B$3&amp;$B$2)</f>
        <v>0</v>
      </c>
      <c r="S16" s="2">
        <f>COUNTIF(defects!$V:$V,Weekly!S$3&amp;Weekly!$B16&amp;Weekly!$B$3&amp;$B$2)</f>
        <v>0</v>
      </c>
      <c r="T16" s="2">
        <f>COUNTIF(defects!$V:$V,Weekly!T$3&amp;Weekly!$B16&amp;Weekly!$B$3&amp;$B$2)</f>
        <v>0</v>
      </c>
      <c r="U16" s="2">
        <f>COUNTIF(defects!$V:$V,Weekly!U$3&amp;Weekly!$B16&amp;Weekly!$B$3&amp;$B$2)</f>
        <v>0</v>
      </c>
      <c r="V16" s="2">
        <f>COUNTIF(defects!$V:$V,Weekly!V$3&amp;Weekly!$B16&amp;Weekly!$B$3&amp;$B$2)</f>
        <v>0</v>
      </c>
      <c r="W16" s="2">
        <f>COUNTIF(defects!$V:$V,Weekly!W$3&amp;Weekly!$B16&amp;Weekly!$B$3&amp;$B$2)</f>
        <v>0</v>
      </c>
      <c r="X16" s="2">
        <f>COUNTIF(defects!$V:$V,Weekly!X$3&amp;Weekly!$B16&amp;Weekly!$B$3&amp;$B$2)</f>
        <v>0</v>
      </c>
      <c r="Y16" s="2">
        <f>COUNTIF(defects!$V:$V,Weekly!Y$3&amp;Weekly!$B16&amp;Weekly!$B$3&amp;$B$2)</f>
        <v>0</v>
      </c>
      <c r="Z16" s="2">
        <f>COUNTIF(defects!$V:$V,Weekly!Z$3&amp;Weekly!$B16&amp;Weekly!$B$3&amp;$B$2)</f>
        <v>0</v>
      </c>
      <c r="AA16" s="2">
        <f>COUNTIF(defects!$V:$V,Weekly!AA$3&amp;Weekly!$B16&amp;Weekly!$B$3&amp;$B$2)</f>
        <v>0</v>
      </c>
      <c r="AB16" s="2">
        <f>COUNTIF(defects!$V:$V,Weekly!AB$3&amp;Weekly!$B16&amp;Weekly!$B$3&amp;$B$2)</f>
        <v>0</v>
      </c>
      <c r="AC16" s="2">
        <f>COUNTIF(defects!$V:$V,Weekly!AC$3&amp;Weekly!$B16&amp;Weekly!$B$3&amp;$B$2)</f>
        <v>0</v>
      </c>
      <c r="AD16" s="2">
        <f>COUNTIF(defects!$V:$V,Weekly!AD$3&amp;Weekly!$B16&amp;Weekly!$B$3&amp;$B$2)</f>
        <v>0</v>
      </c>
      <c r="AE16" s="2">
        <f>COUNTIF(defects!$V:$V,Weekly!AE$3&amp;Weekly!$B16&amp;Weekly!$B$3&amp;$B$2)</f>
        <v>0</v>
      </c>
      <c r="AF16" s="2">
        <f>COUNTIF(defects!$V:$V,Weekly!AF$3&amp;Weekly!$B16&amp;Weekly!$B$3&amp;$B$2)</f>
        <v>0</v>
      </c>
      <c r="AG16" s="2">
        <f>COUNTIF(defects!$V:$V,Weekly!AG$3&amp;Weekly!$B16&amp;Weekly!$B$3&amp;$B$2)</f>
        <v>0</v>
      </c>
      <c r="AH16" s="2">
        <f>COUNTIF(defects!$V:$V,Weekly!AH$3&amp;Weekly!$B16&amp;Weekly!$B$3&amp;$B$2)</f>
        <v>0</v>
      </c>
      <c r="AI16" s="2">
        <f>COUNTIF(defects!$V:$V,Weekly!AI$3&amp;Weekly!$B16&amp;Weekly!$B$3&amp;$B$2)</f>
        <v>0</v>
      </c>
      <c r="AJ16" s="2">
        <f>COUNTIF(defects!$V:$V,Weekly!AJ$3&amp;Weekly!$B16&amp;Weekly!$B$3&amp;$B$2)</f>
        <v>0</v>
      </c>
      <c r="AK16" s="2">
        <f>COUNTIF(defects!$V:$V,Weekly!AK$3&amp;Weekly!$B16&amp;Weekly!$B$3&amp;$B$2)</f>
        <v>0</v>
      </c>
      <c r="AL16" s="2">
        <f>COUNTIF(defects!$V:$V,Weekly!AL$3&amp;Weekly!$B16&amp;Weekly!$B$3&amp;$B$2)</f>
        <v>0</v>
      </c>
      <c r="AM16" s="2">
        <f>COUNTIF(defects!$V:$V,Weekly!AM$3&amp;Weekly!$B16&amp;Weekly!$B$3&amp;$B$2)</f>
        <v>0</v>
      </c>
      <c r="AN16" s="2">
        <f>COUNTIF(defects!$V:$V,Weekly!AN$3&amp;Weekly!$B16&amp;Weekly!$B$3&amp;$B$2)</f>
        <v>0</v>
      </c>
      <c r="AO16" s="2">
        <f>COUNTIF(defects!$V:$V,Weekly!AO$3&amp;Weekly!$B16&amp;Weekly!$B$3&amp;$B$2)</f>
        <v>0</v>
      </c>
      <c r="AP16" s="2">
        <f>COUNTIF(defects!$V:$V,Weekly!AP$3&amp;Weekly!$B16&amp;Weekly!$B$3&amp;$B$2)</f>
        <v>0</v>
      </c>
      <c r="AQ16" s="2">
        <f>COUNTIF(defects!$V:$V,Weekly!AQ$3&amp;Weekly!$B16&amp;Weekly!$B$3&amp;$B$2)</f>
        <v>0</v>
      </c>
      <c r="AR16" s="2">
        <f>COUNTIF(defects!$V:$V,Weekly!AR$3&amp;Weekly!$B16&amp;Weekly!$B$3&amp;$B$2)</f>
        <v>0</v>
      </c>
      <c r="AS16" s="2">
        <f>COUNTIF(defects!$V:$V,Weekly!AS$3&amp;Weekly!$B16&amp;Weekly!$B$3&amp;$B$2)</f>
        <v>0</v>
      </c>
      <c r="AT16" s="2">
        <f>COUNTIF(defects!$V:$V,Weekly!AT$3&amp;Weekly!$B16&amp;Weekly!$B$3&amp;$B$2)</f>
        <v>0</v>
      </c>
      <c r="AU16" s="2">
        <f>COUNTIF(defects!$V:$V,Weekly!AU$3&amp;Weekly!$B16&amp;Weekly!$B$3&amp;$B$2)</f>
        <v>0</v>
      </c>
      <c r="AV16" s="2">
        <f>COUNTIF(defects!$V:$V,Weekly!AV$3&amp;Weekly!$B16&amp;Weekly!$B$3&amp;$B$2)</f>
        <v>0</v>
      </c>
      <c r="AW16" s="2">
        <f>COUNTIF(defects!$V:$V,Weekly!AW$3&amp;Weekly!$B16&amp;Weekly!$B$3&amp;$B$2)</f>
        <v>0</v>
      </c>
      <c r="AX16" s="2">
        <f>COUNTIF(defects!$V:$V,Weekly!AX$3&amp;Weekly!$B16&amp;Weekly!$B$3&amp;$B$2)</f>
        <v>0</v>
      </c>
      <c r="AY16" s="2">
        <f>COUNTIF(defects!$V:$V,Weekly!AY$3&amp;Weekly!$B16&amp;Weekly!$B$3&amp;$B$2)</f>
        <v>0</v>
      </c>
      <c r="AZ16" s="2">
        <f>COUNTIF(defects!$V:$V,Weekly!AZ$3&amp;Weekly!$B16&amp;Weekly!$B$3&amp;$B$2)</f>
        <v>0</v>
      </c>
      <c r="BA16" s="2">
        <f>COUNTIF(defects!$V:$V,Weekly!BA$3&amp;Weekly!$B16&amp;Weekly!$B$3&amp;$B$2)</f>
        <v>0</v>
      </c>
      <c r="BB16" s="2">
        <f>COUNTIF(defects!$V:$V,Weekly!BB$3&amp;Weekly!$B16&amp;Weekly!$B$3&amp;$B$2)</f>
        <v>0</v>
      </c>
      <c r="BC16" s="2">
        <f>COUNTIF(defects!$V:$V,Weekly!BC$3&amp;Weekly!$B16&amp;Weekly!$B$3&amp;$B$2)</f>
        <v>0</v>
      </c>
      <c r="BD16" s="2">
        <f>COUNTIF(defects!$V:$V,Weekly!BD$3&amp;Weekly!$B16&amp;Weekly!$B$3&amp;$B$2)</f>
        <v>0</v>
      </c>
      <c r="BE16" s="2">
        <f>COUNTIF(defects!$V:$V,Weekly!BE$3&amp;Weekly!$B16&amp;Weekly!$B$3&amp;$B$2)</f>
        <v>0</v>
      </c>
      <c r="BF16" s="2">
        <f>COUNTIF(defects!$V:$V,Weekly!BF$3&amp;Weekly!$B16&amp;Weekly!$B$3&amp;$B$2)</f>
        <v>0</v>
      </c>
      <c r="BG16" s="2">
        <f>COUNTIF(defects!$V:$V,Weekly!BG$3&amp;Weekly!$B16&amp;Weekly!$B$3&amp;$B$2)</f>
        <v>0</v>
      </c>
      <c r="BH16" s="2">
        <f>COUNTIF(defects!$V:$V,Weekly!BH$3&amp;Weekly!$B16&amp;Weekly!$B$3&amp;$B$2)</f>
        <v>0</v>
      </c>
      <c r="BI16" s="2">
        <f>COUNTIF(defects!$V:$V,Weekly!BI$3&amp;Weekly!$B16&amp;Weekly!$B$3&amp;$B$2)</f>
        <v>0</v>
      </c>
      <c r="BJ16" s="2">
        <f>COUNTIF(defects!$V:$V,Weekly!BJ$3&amp;Weekly!$B16&amp;Weekly!$B$3&amp;$B$2)</f>
        <v>0</v>
      </c>
      <c r="BK16" s="2">
        <f>COUNTIF(defects!$V:$V,Weekly!BK$3&amp;Weekly!$B16&amp;Weekly!$B$3&amp;$B$2)</f>
        <v>0</v>
      </c>
      <c r="BL16" s="2">
        <f>COUNTIF(defects!$V:$V,Weekly!BL$3&amp;Weekly!$B16&amp;Weekly!$B$3&amp;$B$2)</f>
        <v>0</v>
      </c>
      <c r="BM16" s="2">
        <f>COUNTIF(defects!$V:$V,Weekly!BM$3&amp;Weekly!$B16&amp;Weekly!$B$3&amp;$B$2)</f>
        <v>0</v>
      </c>
      <c r="BN16" s="2">
        <f>COUNTIF(defects!$V:$V,Weekly!BN$3&amp;Weekly!$B16&amp;Weekly!$B$3&amp;$B$2)</f>
        <v>0</v>
      </c>
      <c r="BO16" s="2">
        <f>COUNTIF(defects!$V:$V,Weekly!BO$3&amp;Weekly!$B16&amp;Weekly!$B$3&amp;$B$2)</f>
        <v>0</v>
      </c>
      <c r="BP16" s="2">
        <f>COUNTIF(defects!$V:$V,Weekly!BP$3&amp;Weekly!$B16&amp;Weekly!$B$3&amp;$B$2)</f>
        <v>0</v>
      </c>
      <c r="BQ16" s="2">
        <f>COUNTIF(defects!$V:$V,Weekly!BQ$3&amp;Weekly!$B16&amp;Weekly!$B$3&amp;$B$2)</f>
        <v>0</v>
      </c>
      <c r="BR16" s="2">
        <f>COUNTIF(defects!$V:$V,Weekly!BR$3&amp;Weekly!$B16&amp;Weekly!$B$3&amp;$B$2)</f>
        <v>1</v>
      </c>
      <c r="BS16" s="2">
        <f>COUNTIF(defects!$V:$V,Weekly!BS$3&amp;Weekly!$B16&amp;Weekly!$B$3&amp;$B$2)</f>
        <v>0</v>
      </c>
      <c r="BT16" s="2">
        <f>COUNTIF(defects!$V:$V,Weekly!BT$3&amp;Weekly!$B16&amp;Weekly!$B$3&amp;$B$2)</f>
        <v>0</v>
      </c>
      <c r="BU16" s="2">
        <f>COUNTIF(defects!$V:$V,Weekly!BU$3&amp;Weekly!$B16&amp;Weekly!$B$3&amp;$B$2)</f>
        <v>0</v>
      </c>
      <c r="BV16" s="2">
        <f>COUNTIF(defects!$V:$V,Weekly!BV$3&amp;Weekly!$B16&amp;Weekly!$B$3&amp;$B$2)</f>
        <v>0</v>
      </c>
      <c r="BW16" s="2">
        <f>COUNTIF(defects!$V:$V,Weekly!BW$3&amp;Weekly!$B16&amp;Weekly!$B$3&amp;$B$2)</f>
        <v>0</v>
      </c>
      <c r="BX16" s="2">
        <f>COUNTIF(defects!$V:$V,Weekly!BX$3&amp;Weekly!$B16&amp;Weekly!$B$3&amp;$B$2)</f>
        <v>0</v>
      </c>
      <c r="BY16" s="2">
        <f>COUNTIF(defects!$V:$V,Weekly!BY$3&amp;Weekly!$B16&amp;Weekly!$B$3&amp;$B$2)</f>
        <v>1</v>
      </c>
      <c r="BZ16" s="2">
        <f>COUNTIF(defects!$V:$V,Weekly!BZ$3&amp;Weekly!$B16&amp;Weekly!$B$3&amp;$B$2)</f>
        <v>1</v>
      </c>
      <c r="CA16" s="2">
        <f>COUNTIF(defects!$V:$V,Weekly!CA$3&amp;Weekly!$B16&amp;Weekly!$B$3&amp;$B$2)</f>
        <v>0</v>
      </c>
      <c r="CB16" s="2">
        <f>COUNTIF(defects!$V:$V,Weekly!CB$3&amp;Weekly!$B16&amp;Weekly!$B$3&amp;$B$2)</f>
        <v>0</v>
      </c>
      <c r="CC16" s="2">
        <f>COUNTIF(defects!$V:$V,Weekly!CC$3&amp;Weekly!$B16&amp;Weekly!$B$3&amp;$B$2)</f>
        <v>3</v>
      </c>
      <c r="CD16" s="2">
        <f>COUNTIF(defects!$V:$V,Weekly!CD$3&amp;Weekly!$B16&amp;Weekly!$B$3&amp;$B$2)</f>
        <v>3</v>
      </c>
      <c r="CE16" s="2">
        <f>COUNTIF(defects!$V:$V,Weekly!CE$3&amp;Weekly!$B16&amp;Weekly!$B$3&amp;$B$2)</f>
        <v>2</v>
      </c>
      <c r="CF16" s="2">
        <f>COUNTIF(defects!$V:$V,Weekly!CF$3&amp;Weekly!$B16&amp;Weekly!$B$3&amp;$B$2)</f>
        <v>5</v>
      </c>
      <c r="CG16" s="2">
        <f>COUNTIF(defects!$V:$V,Weekly!CG$3&amp;Weekly!$B16&amp;Weekly!$B$3&amp;$B$2)</f>
        <v>0</v>
      </c>
      <c r="CH16" s="2">
        <f>COUNTIF(defects!$V:$V,Weekly!CH$3&amp;Weekly!$B16&amp;Weekly!$B$3&amp;$B$2)</f>
        <v>0</v>
      </c>
      <c r="CI16" s="2">
        <f>COUNTIF(defects!$V:$V,Weekly!CI$3&amp;Weekly!$B16&amp;Weekly!$B$3&amp;$B$2)</f>
        <v>4</v>
      </c>
      <c r="CJ16" s="2">
        <f>COUNTIF(defects!$V:$V,Weekly!CJ$3&amp;Weekly!$B16&amp;Weekly!$B$3&amp;$B$2)</f>
        <v>1</v>
      </c>
      <c r="CK16" s="2">
        <f>COUNTIF(defects!$V:$V,Weekly!CK$3&amp;Weekly!$B16&amp;Weekly!$B$3&amp;$B$2)</f>
        <v>0</v>
      </c>
      <c r="CL16" s="2">
        <f>COUNTIF(defects!$V:$V,Weekly!CL$3&amp;Weekly!$B16&amp;Weekly!$B$3&amp;$B$2)</f>
        <v>0</v>
      </c>
      <c r="CM16" s="2">
        <f>COUNTIF(defects!$V:$V,Weekly!CM$3&amp;Weekly!$B16&amp;Weekly!$B$3&amp;$B$2)</f>
        <v>0</v>
      </c>
      <c r="CN16" s="2">
        <f>COUNTIF(defects!$V:$V,Weekly!CN$3&amp;Weekly!$B16&amp;Weekly!$B$3&amp;$B$2)</f>
        <v>0</v>
      </c>
      <c r="CO16" s="2">
        <f>COUNTIF(defects!$V:$V,Weekly!CO$3&amp;Weekly!$B16&amp;Weekly!$B$3&amp;$B$2)</f>
        <v>0</v>
      </c>
      <c r="CP16" s="2">
        <f>COUNTIF(defects!$V:$V,Weekly!CP$3&amp;Weekly!$B16&amp;Weekly!$B$3&amp;$B$2)</f>
        <v>0</v>
      </c>
      <c r="CQ16" s="2">
        <f>COUNTIF(defects!$V:$V,Weekly!CQ$3&amp;Weekly!$B16&amp;Weekly!$B$3&amp;$B$2)</f>
        <v>0</v>
      </c>
      <c r="CR16" s="2">
        <f>COUNTIF(defects!$V:$V,Weekly!CR$3&amp;Weekly!$B16&amp;Weekly!$B$3&amp;$B$2)</f>
        <v>0</v>
      </c>
      <c r="CS16" s="2">
        <f>COUNTIF(defects!$V:$V,Weekly!CS$3&amp;Weekly!$B16&amp;Weekly!$B$3&amp;$B$2)</f>
        <v>0</v>
      </c>
      <c r="CT16" s="2">
        <f>COUNTIF(defects!$V:$V,Weekly!CT$3&amp;Weekly!$B16&amp;Weekly!$B$3&amp;$B$2)</f>
        <v>0</v>
      </c>
      <c r="CU16" s="2">
        <f>COUNTIF(defects!$V:$V,Weekly!CU$3&amp;Weekly!$B16&amp;Weekly!$B$3&amp;$B$2)</f>
        <v>0</v>
      </c>
      <c r="CV16" s="2">
        <f>COUNTIF(defects!$V:$V,Weekly!CV$3&amp;Weekly!$B16&amp;Weekly!$B$3&amp;$B$2)</f>
        <v>0</v>
      </c>
      <c r="CW16" s="2">
        <f>COUNTIF(defects!$V:$V,Weekly!CW$3&amp;Weekly!$B16&amp;Weekly!$B$3&amp;$B$2)</f>
        <v>0</v>
      </c>
      <c r="CX16" s="2">
        <f>COUNTIF(defects!$V:$V,Weekly!CX$3&amp;Weekly!$B16&amp;Weekly!$B$3&amp;$B$2)</f>
        <v>0</v>
      </c>
      <c r="CY16" s="2">
        <f>COUNTIF(defects!$V:$V,Weekly!CY$3&amp;Weekly!$B16&amp;Weekly!$B$3&amp;$B$2)</f>
        <v>0</v>
      </c>
      <c r="CZ16" s="2">
        <f>COUNTIF(defects!$V:$V,Weekly!CZ$3&amp;Weekly!$B16&amp;Weekly!$B$3&amp;$B$2)</f>
        <v>0</v>
      </c>
      <c r="DA16" s="2">
        <f>COUNTIF(defects!$V:$V,Weekly!DA$3&amp;Weekly!$B16&amp;Weekly!$B$3&amp;$B$2)</f>
        <v>0</v>
      </c>
      <c r="DB16" s="2">
        <f>COUNTIF(defects!$V:$V,Weekly!DB$3&amp;Weekly!$B16&amp;Weekly!$B$3&amp;$B$2)</f>
        <v>0</v>
      </c>
      <c r="DC16" s="2">
        <f>COUNTIF(defects!$V:$V,Weekly!DC$3&amp;Weekly!$B16&amp;Weekly!$B$3&amp;$B$2)</f>
        <v>0</v>
      </c>
      <c r="DD16" s="2">
        <f>COUNTIF(defects!$V:$V,Weekly!DD$3&amp;Weekly!$B16&amp;Weekly!$B$3&amp;$B$2)</f>
        <v>0</v>
      </c>
      <c r="DE16" s="2">
        <f>COUNTIF(defects!$V:$V,Weekly!DE$3&amp;Weekly!$B16&amp;Weekly!$B$3&amp;$B$2)</f>
        <v>0</v>
      </c>
      <c r="DF16" s="2">
        <f>COUNTIF(defects!$V:$V,Weekly!DF$3&amp;Weekly!$B16&amp;Weekly!$B$3&amp;$B$2)</f>
        <v>0</v>
      </c>
      <c r="DG16" s="2">
        <f>COUNTIF(defects!$V:$V,Weekly!DG$3&amp;Weekly!$B16&amp;Weekly!$B$3&amp;$B$2)</f>
        <v>0</v>
      </c>
      <c r="DH16" s="2">
        <f>COUNTIF(defects!$V:$V,Weekly!DH$3&amp;Weekly!$B16&amp;Weekly!$B$3&amp;$B$2)</f>
        <v>0</v>
      </c>
      <c r="DI16" s="2">
        <f>COUNTIF(defects!$V:$V,Weekly!DI$3&amp;Weekly!$B16&amp;Weekly!$B$3&amp;$B$2)</f>
        <v>0</v>
      </c>
      <c r="DJ16" s="2">
        <f>COUNTIF(defects!$V:$V,Weekly!DJ$3&amp;Weekly!$B16&amp;Weekly!$B$3&amp;$B$2)</f>
        <v>0</v>
      </c>
      <c r="DK16" s="2">
        <f>COUNTIF(defects!$V:$V,Weekly!DK$3&amp;Weekly!$B16&amp;Weekly!$B$3&amp;$B$2)</f>
        <v>0</v>
      </c>
      <c r="DL16" s="2">
        <f>COUNTIF(defects!$V:$V,Weekly!DL$3&amp;Weekly!$B16&amp;Weekly!$B$3&amp;$B$2)</f>
        <v>0</v>
      </c>
      <c r="DM16" s="2">
        <f>COUNTIF(defects!$V:$V,Weekly!DM$3&amp;Weekly!$B16&amp;Weekly!$B$3&amp;$B$2)</f>
        <v>0</v>
      </c>
      <c r="DN16" s="2">
        <f>COUNTIF(defects!$V:$V,Weekly!DN$3&amp;Weekly!$B16&amp;Weekly!$B$3&amp;$B$2)</f>
        <v>0</v>
      </c>
      <c r="DO16" s="2">
        <f>COUNTIF(defects!$V:$V,Weekly!DO$3&amp;Weekly!$B16&amp;Weekly!$B$3&amp;$B$2)</f>
        <v>0</v>
      </c>
      <c r="DP16" s="2">
        <f>COUNTIF(defects!$V:$V,Weekly!DP$3&amp;Weekly!$B16&amp;Weekly!$B$3&amp;$B$2)</f>
        <v>0</v>
      </c>
      <c r="DQ16" s="2">
        <f>COUNTIF(defects!$V:$V,Weekly!DQ$3&amp;Weekly!$B16&amp;Weekly!$B$3&amp;$B$2)</f>
        <v>0</v>
      </c>
      <c r="DR16" s="2">
        <f>COUNTIF(defects!$V:$V,Weekly!DR$3&amp;Weekly!$B16&amp;Weekly!$B$3&amp;$B$2)</f>
        <v>0</v>
      </c>
      <c r="DS16" s="2">
        <f>COUNTIF(defects!$V:$V,Weekly!DS$3&amp;Weekly!$B16&amp;Weekly!$B$3&amp;$B$2)</f>
        <v>0</v>
      </c>
      <c r="DT16" s="2">
        <f>COUNTIF(defects!$V:$V,Weekly!DT$3&amp;Weekly!$B16&amp;Weekly!$B$3&amp;$B$2)</f>
        <v>0</v>
      </c>
      <c r="DU16" s="2">
        <f>COUNTIF(defects!$V:$V,Weekly!DU$3&amp;Weekly!$B16&amp;Weekly!$B$3&amp;$B$2)</f>
        <v>0</v>
      </c>
      <c r="DV16" s="2">
        <f>COUNTIF(defects!$V:$V,Weekly!DV$3&amp;Weekly!$B16&amp;Weekly!$B$3&amp;$B$2)</f>
        <v>0</v>
      </c>
      <c r="DW16" s="2">
        <f>COUNTIF(defects!$V:$V,Weekly!DW$3&amp;Weekly!$B16&amp;Weekly!$B$3&amp;$B$2)</f>
        <v>0</v>
      </c>
      <c r="DX16" s="2">
        <f>COUNTIF(defects!$V:$V,Weekly!DX$3&amp;Weekly!$B16&amp;Weekly!$B$3&amp;$B$2)</f>
        <v>0</v>
      </c>
      <c r="DY16" s="2">
        <f>COUNTIF(defects!$V:$V,Weekly!DY$3&amp;Weekly!$B16&amp;Weekly!$B$3&amp;$B$2)</f>
        <v>0</v>
      </c>
      <c r="DZ16" s="2">
        <f>COUNTIF(defects!$V:$V,Weekly!DZ$3&amp;Weekly!$B16&amp;Weekly!$B$3&amp;$B$2)</f>
        <v>0</v>
      </c>
      <c r="EA16" s="2">
        <f>COUNTIF(defects!$V:$V,Weekly!EA$3&amp;Weekly!$B16&amp;Weekly!$B$3&amp;$B$2)</f>
        <v>0</v>
      </c>
      <c r="EB16" s="2">
        <f>COUNTIF(defects!$V:$V,Weekly!EB$3&amp;Weekly!$B16&amp;Weekly!$B$3&amp;$B$2)</f>
        <v>0</v>
      </c>
      <c r="EC16" s="2">
        <f>COUNTIF(defects!$V:$V,Weekly!EC$3&amp;Weekly!$B16&amp;Weekly!$B$3&amp;$B$2)</f>
        <v>0</v>
      </c>
      <c r="ED16" s="2">
        <f>COUNTIF(defects!$V:$V,Weekly!ED$3&amp;Weekly!$B16&amp;Weekly!$B$3&amp;$B$2)</f>
        <v>0</v>
      </c>
      <c r="EE16" s="2">
        <f>COUNTIF(defects!$V:$V,Weekly!EE$3&amp;Weekly!$B16&amp;Weekly!$B$3&amp;$B$2)</f>
        <v>0</v>
      </c>
      <c r="EF16" s="2">
        <f>COUNTIF(defects!$V:$V,Weekly!EF$3&amp;Weekly!$B16&amp;Weekly!$B$3&amp;$B$2)</f>
        <v>0</v>
      </c>
      <c r="EG16" s="2">
        <f>COUNTIF(defects!$V:$V,Weekly!EG$3&amp;Weekly!$B16&amp;Weekly!$B$3&amp;$B$2)</f>
        <v>0</v>
      </c>
      <c r="EH16" s="2">
        <f>COUNTIF(defects!$V:$V,Weekly!EH$3&amp;Weekly!$B16&amp;Weekly!$B$3&amp;$B$2)</f>
        <v>0</v>
      </c>
      <c r="EI16" s="2">
        <f>COUNTIF(defects!$V:$V,Weekly!EI$3&amp;Weekly!$B16&amp;Weekly!$B$3&amp;$B$2)</f>
        <v>0</v>
      </c>
      <c r="EJ16" s="2">
        <f>COUNTIF(defects!$V:$V,Weekly!EJ$3&amp;Weekly!$B16&amp;Weekly!$B$3&amp;$B$2)</f>
        <v>0</v>
      </c>
      <c r="EK16" s="2">
        <f>COUNTIF(defects!$V:$V,Weekly!EK$3&amp;Weekly!$B16&amp;Weekly!$B$3&amp;$B$2)</f>
        <v>0</v>
      </c>
      <c r="EL16" s="2">
        <f>COUNTIF(defects!$V:$V,Weekly!EL$3&amp;Weekly!$B16&amp;Weekly!$B$3&amp;$B$2)</f>
        <v>0</v>
      </c>
      <c r="EM16" s="2">
        <f>COUNTIF(defects!$V:$V,Weekly!EM$3&amp;Weekly!$B16&amp;Weekly!$B$3&amp;$B$2)</f>
        <v>0</v>
      </c>
      <c r="EN16" s="2">
        <f>COUNTIF(defects!$V:$V,Weekly!EN$3&amp;Weekly!$B16&amp;Weekly!$B$3&amp;$B$2)</f>
        <v>0</v>
      </c>
      <c r="EO16" s="2">
        <f>COUNTIF(defects!$V:$V,Weekly!EO$3&amp;Weekly!$B16&amp;Weekly!$B$3&amp;$B$2)</f>
        <v>0</v>
      </c>
      <c r="EP16" s="2">
        <f>COUNTIF(defects!$V:$V,Weekly!EP$3&amp;Weekly!$B16&amp;Weekly!$B$3&amp;$B$2)</f>
        <v>0</v>
      </c>
      <c r="EQ16" s="2">
        <f>COUNTIF(defects!$V:$V,Weekly!EQ$3&amp;Weekly!$B16&amp;Weekly!$B$3&amp;$B$2)</f>
        <v>0</v>
      </c>
      <c r="ER16" s="2">
        <f>COUNTIF(defects!$V:$V,Weekly!ER$3&amp;Weekly!$B16&amp;Weekly!$B$3&amp;$B$2)</f>
        <v>0</v>
      </c>
      <c r="ES16" s="2">
        <f>COUNTIF(defects!$V:$V,Weekly!ES$3&amp;Weekly!$B16&amp;Weekly!$B$3&amp;$B$2)</f>
        <v>0</v>
      </c>
      <c r="ET16" s="2">
        <f>COUNTIF(defects!$V:$V,Weekly!ET$3&amp;Weekly!$B16&amp;Weekly!$B$3&amp;$B$2)</f>
        <v>0</v>
      </c>
      <c r="EU16" s="2">
        <f>COUNTIF(defects!$V:$V,Weekly!EU$3&amp;Weekly!$B16&amp;Weekly!$B$3&amp;$B$2)</f>
        <v>0</v>
      </c>
      <c r="EV16" s="2">
        <f>COUNTIF(defects!$V:$V,Weekly!EV$3&amp;Weekly!$B16&amp;Weekly!$B$3&amp;$B$2)</f>
        <v>0</v>
      </c>
      <c r="EW16" s="2">
        <f>COUNTIF(defects!$V:$V,Weekly!EW$3&amp;Weekly!$B16&amp;Weekly!$B$3&amp;$B$2)</f>
        <v>0</v>
      </c>
      <c r="EX16" s="2">
        <f>COUNTIF(defects!$V:$V,Weekly!EX$3&amp;Weekly!$B16&amp;Weekly!$B$3&amp;$B$2)</f>
        <v>0</v>
      </c>
      <c r="EY16" s="2">
        <f>COUNTIF(defects!$V:$V,Weekly!EY$3&amp;Weekly!$B16&amp;Weekly!$B$3&amp;$B$2)</f>
        <v>0</v>
      </c>
      <c r="EZ16" s="2">
        <f>COUNTIF(defects!$V:$V,Weekly!EZ$3&amp;Weekly!$B16&amp;Weekly!$B$3&amp;$B$2)</f>
        <v>0</v>
      </c>
      <c r="FA16" s="2">
        <f>COUNTIF(defects!$V:$V,Weekly!FA$3&amp;Weekly!$B16&amp;Weekly!$B$3&amp;$B$2)</f>
        <v>0</v>
      </c>
      <c r="FB16" s="2">
        <f>COUNTIF(defects!$V:$V,Weekly!FB$3&amp;Weekly!$B16&amp;Weekly!$B$3&amp;$B$2)</f>
        <v>0</v>
      </c>
      <c r="FC16" s="2">
        <f>COUNTIF(defects!$V:$V,Weekly!FC$3&amp;Weekly!$B16&amp;Weekly!$B$3&amp;$B$2)</f>
        <v>0</v>
      </c>
      <c r="FD16" s="2">
        <f>COUNTIF(defects!$V:$V,Weekly!FD$3&amp;Weekly!$B16&amp;Weekly!$B$3&amp;$B$2)</f>
        <v>0</v>
      </c>
      <c r="FE16" s="2">
        <f>COUNTIF(defects!$V:$V,Weekly!FE$3&amp;Weekly!$B16&amp;Weekly!$B$3&amp;$B$2)</f>
        <v>0</v>
      </c>
    </row>
    <row r="17" spans="2:161" x14ac:dyDescent="0.35">
      <c r="B17" s="2" t="s">
        <v>410</v>
      </c>
      <c r="C17" s="2">
        <f>COUNTIF(defects!$V:$V,Weekly!C$3&amp;Weekly!$B17&amp;Weekly!$B$3&amp;$B$2)</f>
        <v>0</v>
      </c>
      <c r="D17" s="2">
        <f>COUNTIF(defects!$V:$V,Weekly!D$3&amp;Weekly!$B17&amp;Weekly!$B$3&amp;$B$2)</f>
        <v>0</v>
      </c>
      <c r="E17" s="2">
        <f>COUNTIF(defects!$V:$V,Weekly!E$3&amp;Weekly!$B17&amp;Weekly!$B$3&amp;$B$2)</f>
        <v>0</v>
      </c>
      <c r="F17" s="2">
        <f>COUNTIF(defects!$V:$V,Weekly!F$3&amp;Weekly!$B17&amp;Weekly!$B$3&amp;$B$2)</f>
        <v>0</v>
      </c>
      <c r="G17" s="2">
        <f>COUNTIF(defects!$V:$V,Weekly!G$3&amp;Weekly!$B17&amp;Weekly!$B$3&amp;$B$2)</f>
        <v>0</v>
      </c>
      <c r="H17" s="2">
        <f>COUNTIF(defects!$V:$V,Weekly!H$3&amp;Weekly!$B17&amp;Weekly!$B$3&amp;$B$2)</f>
        <v>0</v>
      </c>
      <c r="I17" s="2">
        <f>COUNTIF(defects!$V:$V,Weekly!I$3&amp;Weekly!$B17&amp;Weekly!$B$3&amp;$B$2)</f>
        <v>0</v>
      </c>
      <c r="J17" s="2">
        <f>COUNTIF(defects!$V:$V,Weekly!J$3&amp;Weekly!$B17&amp;Weekly!$B$3&amp;$B$2)</f>
        <v>0</v>
      </c>
      <c r="K17" s="2">
        <f>COUNTIF(defects!$V:$V,Weekly!K$3&amp;Weekly!$B17&amp;Weekly!$B$3&amp;$B$2)</f>
        <v>0</v>
      </c>
      <c r="L17" s="2">
        <f>COUNTIF(defects!$V:$V,Weekly!L$3&amp;Weekly!$B17&amp;Weekly!$B$3&amp;$B$2)</f>
        <v>0</v>
      </c>
      <c r="M17" s="2">
        <f>COUNTIF(defects!$V:$V,Weekly!M$3&amp;Weekly!$B17&amp;Weekly!$B$3&amp;$B$2)</f>
        <v>0</v>
      </c>
      <c r="N17" s="2">
        <f>COUNTIF(defects!$V:$V,Weekly!N$3&amp;Weekly!$B17&amp;Weekly!$B$3&amp;$B$2)</f>
        <v>0</v>
      </c>
      <c r="O17" s="2">
        <f>COUNTIF(defects!$V:$V,Weekly!O$3&amp;Weekly!$B17&amp;Weekly!$B$3&amp;$B$2)</f>
        <v>0</v>
      </c>
      <c r="P17" s="2">
        <f>COUNTIF(defects!$V:$V,Weekly!P$3&amp;Weekly!$B17&amp;Weekly!$B$3&amp;$B$2)</f>
        <v>0</v>
      </c>
      <c r="Q17" s="2">
        <f>COUNTIF(defects!$V:$V,Weekly!Q$3&amp;Weekly!$B17&amp;Weekly!$B$3&amp;$B$2)</f>
        <v>0</v>
      </c>
      <c r="R17" s="2">
        <f>COUNTIF(defects!$V:$V,Weekly!R$3&amp;Weekly!$B17&amp;Weekly!$B$3&amp;$B$2)</f>
        <v>0</v>
      </c>
      <c r="S17" s="2">
        <f>COUNTIF(defects!$V:$V,Weekly!S$3&amp;Weekly!$B17&amp;Weekly!$B$3&amp;$B$2)</f>
        <v>0</v>
      </c>
      <c r="T17" s="2">
        <f>COUNTIF(defects!$V:$V,Weekly!T$3&amp;Weekly!$B17&amp;Weekly!$B$3&amp;$B$2)</f>
        <v>0</v>
      </c>
      <c r="U17" s="2">
        <f>COUNTIF(defects!$V:$V,Weekly!U$3&amp;Weekly!$B17&amp;Weekly!$B$3&amp;$B$2)</f>
        <v>0</v>
      </c>
      <c r="V17" s="2">
        <f>COUNTIF(defects!$V:$V,Weekly!V$3&amp;Weekly!$B17&amp;Weekly!$B$3&amp;$B$2)</f>
        <v>0</v>
      </c>
      <c r="W17" s="2">
        <f>COUNTIF(defects!$V:$V,Weekly!W$3&amp;Weekly!$B17&amp;Weekly!$B$3&amp;$B$2)</f>
        <v>0</v>
      </c>
      <c r="X17" s="2">
        <f>COUNTIF(defects!$V:$V,Weekly!X$3&amp;Weekly!$B17&amp;Weekly!$B$3&amp;$B$2)</f>
        <v>0</v>
      </c>
      <c r="Y17" s="2">
        <f>COUNTIF(defects!$V:$V,Weekly!Y$3&amp;Weekly!$B17&amp;Weekly!$B$3&amp;$B$2)</f>
        <v>0</v>
      </c>
      <c r="Z17" s="2">
        <f>COUNTIF(defects!$V:$V,Weekly!Z$3&amp;Weekly!$B17&amp;Weekly!$B$3&amp;$B$2)</f>
        <v>0</v>
      </c>
      <c r="AA17" s="2">
        <f>COUNTIF(defects!$V:$V,Weekly!AA$3&amp;Weekly!$B17&amp;Weekly!$B$3&amp;$B$2)</f>
        <v>0</v>
      </c>
      <c r="AB17" s="2">
        <f>COUNTIF(defects!$V:$V,Weekly!AB$3&amp;Weekly!$B17&amp;Weekly!$B$3&amp;$B$2)</f>
        <v>0</v>
      </c>
      <c r="AC17" s="2">
        <f>COUNTIF(defects!$V:$V,Weekly!AC$3&amp;Weekly!$B17&amp;Weekly!$B$3&amp;$B$2)</f>
        <v>0</v>
      </c>
      <c r="AD17" s="2">
        <f>COUNTIF(defects!$V:$V,Weekly!AD$3&amp;Weekly!$B17&amp;Weekly!$B$3&amp;$B$2)</f>
        <v>0</v>
      </c>
      <c r="AE17" s="2">
        <f>COUNTIF(defects!$V:$V,Weekly!AE$3&amp;Weekly!$B17&amp;Weekly!$B$3&amp;$B$2)</f>
        <v>0</v>
      </c>
      <c r="AF17" s="2">
        <f>COUNTIF(defects!$V:$V,Weekly!AF$3&amp;Weekly!$B17&amp;Weekly!$B$3&amp;$B$2)</f>
        <v>0</v>
      </c>
      <c r="AG17" s="2">
        <f>COUNTIF(defects!$V:$V,Weekly!AG$3&amp;Weekly!$B17&amp;Weekly!$B$3&amp;$B$2)</f>
        <v>0</v>
      </c>
      <c r="AH17" s="2">
        <f>COUNTIF(defects!$V:$V,Weekly!AH$3&amp;Weekly!$B17&amp;Weekly!$B$3&amp;$B$2)</f>
        <v>0</v>
      </c>
      <c r="AI17" s="2">
        <f>COUNTIF(defects!$V:$V,Weekly!AI$3&amp;Weekly!$B17&amp;Weekly!$B$3&amp;$B$2)</f>
        <v>0</v>
      </c>
      <c r="AJ17" s="2">
        <f>COUNTIF(defects!$V:$V,Weekly!AJ$3&amp;Weekly!$B17&amp;Weekly!$B$3&amp;$B$2)</f>
        <v>0</v>
      </c>
      <c r="AK17" s="2">
        <f>COUNTIF(defects!$V:$V,Weekly!AK$3&amp;Weekly!$B17&amp;Weekly!$B$3&amp;$B$2)</f>
        <v>0</v>
      </c>
      <c r="AL17" s="2">
        <f>COUNTIF(defects!$V:$V,Weekly!AL$3&amp;Weekly!$B17&amp;Weekly!$B$3&amp;$B$2)</f>
        <v>0</v>
      </c>
      <c r="AM17" s="2">
        <f>COUNTIF(defects!$V:$V,Weekly!AM$3&amp;Weekly!$B17&amp;Weekly!$B$3&amp;$B$2)</f>
        <v>0</v>
      </c>
      <c r="AN17" s="2">
        <f>COUNTIF(defects!$V:$V,Weekly!AN$3&amp;Weekly!$B17&amp;Weekly!$B$3&amp;$B$2)</f>
        <v>0</v>
      </c>
      <c r="AO17" s="2">
        <f>COUNTIF(defects!$V:$V,Weekly!AO$3&amp;Weekly!$B17&amp;Weekly!$B$3&amp;$B$2)</f>
        <v>0</v>
      </c>
      <c r="AP17" s="2">
        <f>COUNTIF(defects!$V:$V,Weekly!AP$3&amp;Weekly!$B17&amp;Weekly!$B$3&amp;$B$2)</f>
        <v>0</v>
      </c>
      <c r="AQ17" s="2">
        <f>COUNTIF(defects!$V:$V,Weekly!AQ$3&amp;Weekly!$B17&amp;Weekly!$B$3&amp;$B$2)</f>
        <v>0</v>
      </c>
      <c r="AR17" s="2">
        <f>COUNTIF(defects!$V:$V,Weekly!AR$3&amp;Weekly!$B17&amp;Weekly!$B$3&amp;$B$2)</f>
        <v>0</v>
      </c>
      <c r="AS17" s="2">
        <f>COUNTIF(defects!$V:$V,Weekly!AS$3&amp;Weekly!$B17&amp;Weekly!$B$3&amp;$B$2)</f>
        <v>0</v>
      </c>
      <c r="AT17" s="2">
        <f>COUNTIF(defects!$V:$V,Weekly!AT$3&amp;Weekly!$B17&amp;Weekly!$B$3&amp;$B$2)</f>
        <v>0</v>
      </c>
      <c r="AU17" s="2">
        <f>COUNTIF(defects!$V:$V,Weekly!AU$3&amp;Weekly!$B17&amp;Weekly!$B$3&amp;$B$2)</f>
        <v>0</v>
      </c>
      <c r="AV17" s="2">
        <f>COUNTIF(defects!$V:$V,Weekly!AV$3&amp;Weekly!$B17&amp;Weekly!$B$3&amp;$B$2)</f>
        <v>0</v>
      </c>
      <c r="AW17" s="2">
        <f>COUNTIF(defects!$V:$V,Weekly!AW$3&amp;Weekly!$B17&amp;Weekly!$B$3&amp;$B$2)</f>
        <v>0</v>
      </c>
      <c r="AX17" s="2">
        <f>COUNTIF(defects!$V:$V,Weekly!AX$3&amp;Weekly!$B17&amp;Weekly!$B$3&amp;$B$2)</f>
        <v>0</v>
      </c>
      <c r="AY17" s="2">
        <f>COUNTIF(defects!$V:$V,Weekly!AY$3&amp;Weekly!$B17&amp;Weekly!$B$3&amp;$B$2)</f>
        <v>0</v>
      </c>
      <c r="AZ17" s="2">
        <f>COUNTIF(defects!$V:$V,Weekly!AZ$3&amp;Weekly!$B17&amp;Weekly!$B$3&amp;$B$2)</f>
        <v>0</v>
      </c>
      <c r="BA17" s="2">
        <f>COUNTIF(defects!$V:$V,Weekly!BA$3&amp;Weekly!$B17&amp;Weekly!$B$3&amp;$B$2)</f>
        <v>0</v>
      </c>
      <c r="BB17" s="2">
        <f>COUNTIF(defects!$V:$V,Weekly!BB$3&amp;Weekly!$B17&amp;Weekly!$B$3&amp;$B$2)</f>
        <v>0</v>
      </c>
      <c r="BC17" s="2">
        <f>COUNTIF(defects!$V:$V,Weekly!BC$3&amp;Weekly!$B17&amp;Weekly!$B$3&amp;$B$2)</f>
        <v>0</v>
      </c>
      <c r="BD17" s="2">
        <f>COUNTIF(defects!$V:$V,Weekly!BD$3&amp;Weekly!$B17&amp;Weekly!$B$3&amp;$B$2)</f>
        <v>0</v>
      </c>
      <c r="BE17" s="2">
        <f>COUNTIF(defects!$V:$V,Weekly!BE$3&amp;Weekly!$B17&amp;Weekly!$B$3&amp;$B$2)</f>
        <v>0</v>
      </c>
      <c r="BF17" s="2">
        <f>COUNTIF(defects!$V:$V,Weekly!BF$3&amp;Weekly!$B17&amp;Weekly!$B$3&amp;$B$2)</f>
        <v>0</v>
      </c>
      <c r="BG17" s="2">
        <f>COUNTIF(defects!$V:$V,Weekly!BG$3&amp;Weekly!$B17&amp;Weekly!$B$3&amp;$B$2)</f>
        <v>0</v>
      </c>
      <c r="BH17" s="2">
        <f>COUNTIF(defects!$V:$V,Weekly!BH$3&amp;Weekly!$B17&amp;Weekly!$B$3&amp;$B$2)</f>
        <v>0</v>
      </c>
      <c r="BI17" s="2">
        <f>COUNTIF(defects!$V:$V,Weekly!BI$3&amp;Weekly!$B17&amp;Weekly!$B$3&amp;$B$2)</f>
        <v>0</v>
      </c>
      <c r="BJ17" s="2">
        <f>COUNTIF(defects!$V:$V,Weekly!BJ$3&amp;Weekly!$B17&amp;Weekly!$B$3&amp;$B$2)</f>
        <v>0</v>
      </c>
      <c r="BK17" s="2">
        <f>COUNTIF(defects!$V:$V,Weekly!BK$3&amp;Weekly!$B17&amp;Weekly!$B$3&amp;$B$2)</f>
        <v>0</v>
      </c>
      <c r="BL17" s="2">
        <f>COUNTIF(defects!$V:$V,Weekly!BL$3&amp;Weekly!$B17&amp;Weekly!$B$3&amp;$B$2)</f>
        <v>0</v>
      </c>
      <c r="BM17" s="2">
        <f>COUNTIF(defects!$V:$V,Weekly!BM$3&amp;Weekly!$B17&amp;Weekly!$B$3&amp;$B$2)</f>
        <v>0</v>
      </c>
      <c r="BN17" s="2">
        <f>COUNTIF(defects!$V:$V,Weekly!BN$3&amp;Weekly!$B17&amp;Weekly!$B$3&amp;$B$2)</f>
        <v>0</v>
      </c>
      <c r="BO17" s="2">
        <f>COUNTIF(defects!$V:$V,Weekly!BO$3&amp;Weekly!$B17&amp;Weekly!$B$3&amp;$B$2)</f>
        <v>0</v>
      </c>
      <c r="BP17" s="2">
        <f>COUNTIF(defects!$V:$V,Weekly!BP$3&amp;Weekly!$B17&amp;Weekly!$B$3&amp;$B$2)</f>
        <v>0</v>
      </c>
      <c r="BQ17" s="2">
        <f>COUNTIF(defects!$V:$V,Weekly!BQ$3&amp;Weekly!$B17&amp;Weekly!$B$3&amp;$B$2)</f>
        <v>0</v>
      </c>
      <c r="BR17" s="2">
        <f>COUNTIF(defects!$V:$V,Weekly!BR$3&amp;Weekly!$B17&amp;Weekly!$B$3&amp;$B$2)</f>
        <v>1</v>
      </c>
      <c r="BS17" s="2">
        <f>COUNTIF(defects!$V:$V,Weekly!BS$3&amp;Weekly!$B17&amp;Weekly!$B$3&amp;$B$2)</f>
        <v>1</v>
      </c>
      <c r="BT17" s="2">
        <f>COUNTIF(defects!$V:$V,Weekly!BT$3&amp;Weekly!$B17&amp;Weekly!$B$3&amp;$B$2)</f>
        <v>1</v>
      </c>
      <c r="BU17" s="2">
        <f>COUNTIF(defects!$V:$V,Weekly!BU$3&amp;Weekly!$B17&amp;Weekly!$B$3&amp;$B$2)</f>
        <v>2</v>
      </c>
      <c r="BV17" s="2">
        <f>COUNTIF(defects!$V:$V,Weekly!BV$3&amp;Weekly!$B17&amp;Weekly!$B$3&amp;$B$2)</f>
        <v>0</v>
      </c>
      <c r="BW17" s="2">
        <f>COUNTIF(defects!$V:$V,Weekly!BW$3&amp;Weekly!$B17&amp;Weekly!$B$3&amp;$B$2)</f>
        <v>0</v>
      </c>
      <c r="BX17" s="2">
        <f>COUNTIF(defects!$V:$V,Weekly!BX$3&amp;Weekly!$B17&amp;Weekly!$B$3&amp;$B$2)</f>
        <v>2</v>
      </c>
      <c r="BY17" s="2">
        <f>COUNTIF(defects!$V:$V,Weekly!BY$3&amp;Weekly!$B17&amp;Weekly!$B$3&amp;$B$2)</f>
        <v>1</v>
      </c>
      <c r="BZ17" s="2">
        <f>COUNTIF(defects!$V:$V,Weekly!BZ$3&amp;Weekly!$B17&amp;Weekly!$B$3&amp;$B$2)</f>
        <v>1</v>
      </c>
      <c r="CA17" s="2">
        <f>COUNTIF(defects!$V:$V,Weekly!CA$3&amp;Weekly!$B17&amp;Weekly!$B$3&amp;$B$2)</f>
        <v>1</v>
      </c>
      <c r="CB17" s="2">
        <f>COUNTIF(defects!$V:$V,Weekly!CB$3&amp;Weekly!$B17&amp;Weekly!$B$3&amp;$B$2)</f>
        <v>2</v>
      </c>
      <c r="CC17" s="2">
        <f>COUNTIF(defects!$V:$V,Weekly!CC$3&amp;Weekly!$B17&amp;Weekly!$B$3&amp;$B$2)</f>
        <v>2</v>
      </c>
      <c r="CD17" s="2">
        <f>COUNTIF(defects!$V:$V,Weekly!CD$3&amp;Weekly!$B17&amp;Weekly!$B$3&amp;$B$2)</f>
        <v>1</v>
      </c>
      <c r="CE17" s="2">
        <f>COUNTIF(defects!$V:$V,Weekly!CE$3&amp;Weekly!$B17&amp;Weekly!$B$3&amp;$B$2)</f>
        <v>5</v>
      </c>
      <c r="CF17" s="2">
        <f>COUNTIF(defects!$V:$V,Weekly!CF$3&amp;Weekly!$B17&amp;Weekly!$B$3&amp;$B$2)</f>
        <v>4</v>
      </c>
      <c r="CG17" s="2">
        <f>COUNTIF(defects!$V:$V,Weekly!CG$3&amp;Weekly!$B17&amp;Weekly!$B$3&amp;$B$2)</f>
        <v>3</v>
      </c>
      <c r="CH17" s="2">
        <f>COUNTIF(defects!$V:$V,Weekly!CH$3&amp;Weekly!$B17&amp;Weekly!$B$3&amp;$B$2)</f>
        <v>2</v>
      </c>
      <c r="CI17" s="2">
        <f>COUNTIF(defects!$V:$V,Weekly!CI$3&amp;Weekly!$B17&amp;Weekly!$B$3&amp;$B$2)</f>
        <v>3</v>
      </c>
      <c r="CJ17" s="2">
        <f>COUNTIF(defects!$V:$V,Weekly!CJ$3&amp;Weekly!$B17&amp;Weekly!$B$3&amp;$B$2)</f>
        <v>5</v>
      </c>
      <c r="CK17" s="2">
        <f>COUNTIF(defects!$V:$V,Weekly!CK$3&amp;Weekly!$B17&amp;Weekly!$B$3&amp;$B$2)</f>
        <v>0</v>
      </c>
      <c r="CL17" s="2">
        <f>COUNTIF(defects!$V:$V,Weekly!CL$3&amp;Weekly!$B17&amp;Weekly!$B$3&amp;$B$2)</f>
        <v>0</v>
      </c>
      <c r="CM17" s="2">
        <f>COUNTIF(defects!$V:$V,Weekly!CM$3&amp;Weekly!$B17&amp;Weekly!$B$3&amp;$B$2)</f>
        <v>0</v>
      </c>
      <c r="CN17" s="2">
        <f>COUNTIF(defects!$V:$V,Weekly!CN$3&amp;Weekly!$B17&amp;Weekly!$B$3&amp;$B$2)</f>
        <v>0</v>
      </c>
      <c r="CO17" s="2">
        <f>COUNTIF(defects!$V:$V,Weekly!CO$3&amp;Weekly!$B17&amp;Weekly!$B$3&amp;$B$2)</f>
        <v>0</v>
      </c>
      <c r="CP17" s="2">
        <f>COUNTIF(defects!$V:$V,Weekly!CP$3&amp;Weekly!$B17&amp;Weekly!$B$3&amp;$B$2)</f>
        <v>0</v>
      </c>
      <c r="CQ17" s="2">
        <f>COUNTIF(defects!$V:$V,Weekly!CQ$3&amp;Weekly!$B17&amp;Weekly!$B$3&amp;$B$2)</f>
        <v>0</v>
      </c>
      <c r="CR17" s="2">
        <f>COUNTIF(defects!$V:$V,Weekly!CR$3&amp;Weekly!$B17&amp;Weekly!$B$3&amp;$B$2)</f>
        <v>0</v>
      </c>
      <c r="CS17" s="2">
        <f>COUNTIF(defects!$V:$V,Weekly!CS$3&amp;Weekly!$B17&amp;Weekly!$B$3&amp;$B$2)</f>
        <v>0</v>
      </c>
      <c r="CT17" s="2">
        <f>COUNTIF(defects!$V:$V,Weekly!CT$3&amp;Weekly!$B17&amp;Weekly!$B$3&amp;$B$2)</f>
        <v>0</v>
      </c>
      <c r="CU17" s="2">
        <f>COUNTIF(defects!$V:$V,Weekly!CU$3&amp;Weekly!$B17&amp;Weekly!$B$3&amp;$B$2)</f>
        <v>0</v>
      </c>
      <c r="CV17" s="2">
        <f>COUNTIF(defects!$V:$V,Weekly!CV$3&amp;Weekly!$B17&amp;Weekly!$B$3&amp;$B$2)</f>
        <v>0</v>
      </c>
      <c r="CW17" s="2">
        <f>COUNTIF(defects!$V:$V,Weekly!CW$3&amp;Weekly!$B17&amp;Weekly!$B$3&amp;$B$2)</f>
        <v>0</v>
      </c>
      <c r="CX17" s="2">
        <f>COUNTIF(defects!$V:$V,Weekly!CX$3&amp;Weekly!$B17&amp;Weekly!$B$3&amp;$B$2)</f>
        <v>0</v>
      </c>
      <c r="CY17" s="2">
        <f>COUNTIF(defects!$V:$V,Weekly!CY$3&amp;Weekly!$B17&amp;Weekly!$B$3&amp;$B$2)</f>
        <v>0</v>
      </c>
      <c r="CZ17" s="2">
        <f>COUNTIF(defects!$V:$V,Weekly!CZ$3&amp;Weekly!$B17&amp;Weekly!$B$3&amp;$B$2)</f>
        <v>0</v>
      </c>
      <c r="DA17" s="2">
        <f>COUNTIF(defects!$V:$V,Weekly!DA$3&amp;Weekly!$B17&amp;Weekly!$B$3&amp;$B$2)</f>
        <v>0</v>
      </c>
      <c r="DB17" s="2">
        <f>COUNTIF(defects!$V:$V,Weekly!DB$3&amp;Weekly!$B17&amp;Weekly!$B$3&amp;$B$2)</f>
        <v>0</v>
      </c>
      <c r="DC17" s="2">
        <f>COUNTIF(defects!$V:$V,Weekly!DC$3&amp;Weekly!$B17&amp;Weekly!$B$3&amp;$B$2)</f>
        <v>0</v>
      </c>
      <c r="DD17" s="2">
        <f>COUNTIF(defects!$V:$V,Weekly!DD$3&amp;Weekly!$B17&amp;Weekly!$B$3&amp;$B$2)</f>
        <v>0</v>
      </c>
      <c r="DE17" s="2">
        <f>COUNTIF(defects!$V:$V,Weekly!DE$3&amp;Weekly!$B17&amp;Weekly!$B$3&amp;$B$2)</f>
        <v>0</v>
      </c>
      <c r="DF17" s="2">
        <f>COUNTIF(defects!$V:$V,Weekly!DF$3&amp;Weekly!$B17&amp;Weekly!$B$3&amp;$B$2)</f>
        <v>0</v>
      </c>
      <c r="DG17" s="2">
        <f>COUNTIF(defects!$V:$V,Weekly!DG$3&amp;Weekly!$B17&amp;Weekly!$B$3&amp;$B$2)</f>
        <v>0</v>
      </c>
      <c r="DH17" s="2">
        <f>COUNTIF(defects!$V:$V,Weekly!DH$3&amp;Weekly!$B17&amp;Weekly!$B$3&amp;$B$2)</f>
        <v>0</v>
      </c>
      <c r="DI17" s="2">
        <f>COUNTIF(defects!$V:$V,Weekly!DI$3&amp;Weekly!$B17&amp;Weekly!$B$3&amp;$B$2)</f>
        <v>0</v>
      </c>
      <c r="DJ17" s="2">
        <f>COUNTIF(defects!$V:$V,Weekly!DJ$3&amp;Weekly!$B17&amp;Weekly!$B$3&amp;$B$2)</f>
        <v>0</v>
      </c>
      <c r="DK17" s="2">
        <f>COUNTIF(defects!$V:$V,Weekly!DK$3&amp;Weekly!$B17&amp;Weekly!$B$3&amp;$B$2)</f>
        <v>0</v>
      </c>
      <c r="DL17" s="2">
        <f>COUNTIF(defects!$V:$V,Weekly!DL$3&amp;Weekly!$B17&amp;Weekly!$B$3&amp;$B$2)</f>
        <v>0</v>
      </c>
      <c r="DM17" s="2">
        <f>COUNTIF(defects!$V:$V,Weekly!DM$3&amp;Weekly!$B17&amp;Weekly!$B$3&amp;$B$2)</f>
        <v>0</v>
      </c>
      <c r="DN17" s="2">
        <f>COUNTIF(defects!$V:$V,Weekly!DN$3&amp;Weekly!$B17&amp;Weekly!$B$3&amp;$B$2)</f>
        <v>0</v>
      </c>
      <c r="DO17" s="2">
        <f>COUNTIF(defects!$V:$V,Weekly!DO$3&amp;Weekly!$B17&amp;Weekly!$B$3&amp;$B$2)</f>
        <v>0</v>
      </c>
      <c r="DP17" s="2">
        <f>COUNTIF(defects!$V:$V,Weekly!DP$3&amp;Weekly!$B17&amp;Weekly!$B$3&amp;$B$2)</f>
        <v>0</v>
      </c>
      <c r="DQ17" s="2">
        <f>COUNTIF(defects!$V:$V,Weekly!DQ$3&amp;Weekly!$B17&amp;Weekly!$B$3&amp;$B$2)</f>
        <v>0</v>
      </c>
      <c r="DR17" s="2">
        <f>COUNTIF(defects!$V:$V,Weekly!DR$3&amp;Weekly!$B17&amp;Weekly!$B$3&amp;$B$2)</f>
        <v>0</v>
      </c>
      <c r="DS17" s="2">
        <f>COUNTIF(defects!$V:$V,Weekly!DS$3&amp;Weekly!$B17&amp;Weekly!$B$3&amp;$B$2)</f>
        <v>0</v>
      </c>
      <c r="DT17" s="2">
        <f>COUNTIF(defects!$V:$V,Weekly!DT$3&amp;Weekly!$B17&amp;Weekly!$B$3&amp;$B$2)</f>
        <v>0</v>
      </c>
      <c r="DU17" s="2">
        <f>COUNTIF(defects!$V:$V,Weekly!DU$3&amp;Weekly!$B17&amp;Weekly!$B$3&amp;$B$2)</f>
        <v>0</v>
      </c>
      <c r="DV17" s="2">
        <f>COUNTIF(defects!$V:$V,Weekly!DV$3&amp;Weekly!$B17&amp;Weekly!$B$3&amp;$B$2)</f>
        <v>0</v>
      </c>
      <c r="DW17" s="2">
        <f>COUNTIF(defects!$V:$V,Weekly!DW$3&amp;Weekly!$B17&amp;Weekly!$B$3&amp;$B$2)</f>
        <v>0</v>
      </c>
      <c r="DX17" s="2">
        <f>COUNTIF(defects!$V:$V,Weekly!DX$3&amp;Weekly!$B17&amp;Weekly!$B$3&amp;$B$2)</f>
        <v>0</v>
      </c>
      <c r="DY17" s="2">
        <f>COUNTIF(defects!$V:$V,Weekly!DY$3&amp;Weekly!$B17&amp;Weekly!$B$3&amp;$B$2)</f>
        <v>0</v>
      </c>
      <c r="DZ17" s="2">
        <f>COUNTIF(defects!$V:$V,Weekly!DZ$3&amp;Weekly!$B17&amp;Weekly!$B$3&amp;$B$2)</f>
        <v>0</v>
      </c>
      <c r="EA17" s="2">
        <f>COUNTIF(defects!$V:$V,Weekly!EA$3&amp;Weekly!$B17&amp;Weekly!$B$3&amp;$B$2)</f>
        <v>0</v>
      </c>
      <c r="EB17" s="2">
        <f>COUNTIF(defects!$V:$V,Weekly!EB$3&amp;Weekly!$B17&amp;Weekly!$B$3&amp;$B$2)</f>
        <v>0</v>
      </c>
      <c r="EC17" s="2">
        <f>COUNTIF(defects!$V:$V,Weekly!EC$3&amp;Weekly!$B17&amp;Weekly!$B$3&amp;$B$2)</f>
        <v>0</v>
      </c>
      <c r="ED17" s="2">
        <f>COUNTIF(defects!$V:$V,Weekly!ED$3&amp;Weekly!$B17&amp;Weekly!$B$3&amp;$B$2)</f>
        <v>0</v>
      </c>
      <c r="EE17" s="2">
        <f>COUNTIF(defects!$V:$V,Weekly!EE$3&amp;Weekly!$B17&amp;Weekly!$B$3&amp;$B$2)</f>
        <v>0</v>
      </c>
      <c r="EF17" s="2">
        <f>COUNTIF(defects!$V:$V,Weekly!EF$3&amp;Weekly!$B17&amp;Weekly!$B$3&amp;$B$2)</f>
        <v>0</v>
      </c>
      <c r="EG17" s="2">
        <f>COUNTIF(defects!$V:$V,Weekly!EG$3&amp;Weekly!$B17&amp;Weekly!$B$3&amp;$B$2)</f>
        <v>0</v>
      </c>
      <c r="EH17" s="2">
        <f>COUNTIF(defects!$V:$V,Weekly!EH$3&amp;Weekly!$B17&amp;Weekly!$B$3&amp;$B$2)</f>
        <v>0</v>
      </c>
      <c r="EI17" s="2">
        <f>COUNTIF(defects!$V:$V,Weekly!EI$3&amp;Weekly!$B17&amp;Weekly!$B$3&amp;$B$2)</f>
        <v>0</v>
      </c>
      <c r="EJ17" s="2">
        <f>COUNTIF(defects!$V:$V,Weekly!EJ$3&amp;Weekly!$B17&amp;Weekly!$B$3&amp;$B$2)</f>
        <v>0</v>
      </c>
      <c r="EK17" s="2">
        <f>COUNTIF(defects!$V:$V,Weekly!EK$3&amp;Weekly!$B17&amp;Weekly!$B$3&amp;$B$2)</f>
        <v>0</v>
      </c>
      <c r="EL17" s="2">
        <f>COUNTIF(defects!$V:$V,Weekly!EL$3&amp;Weekly!$B17&amp;Weekly!$B$3&amp;$B$2)</f>
        <v>0</v>
      </c>
      <c r="EM17" s="2">
        <f>COUNTIF(defects!$V:$V,Weekly!EM$3&amp;Weekly!$B17&amp;Weekly!$B$3&amp;$B$2)</f>
        <v>0</v>
      </c>
      <c r="EN17" s="2">
        <f>COUNTIF(defects!$V:$V,Weekly!EN$3&amp;Weekly!$B17&amp;Weekly!$B$3&amp;$B$2)</f>
        <v>0</v>
      </c>
      <c r="EO17" s="2">
        <f>COUNTIF(defects!$V:$V,Weekly!EO$3&amp;Weekly!$B17&amp;Weekly!$B$3&amp;$B$2)</f>
        <v>0</v>
      </c>
      <c r="EP17" s="2">
        <f>COUNTIF(defects!$V:$V,Weekly!EP$3&amp;Weekly!$B17&amp;Weekly!$B$3&amp;$B$2)</f>
        <v>0</v>
      </c>
      <c r="EQ17" s="2">
        <f>COUNTIF(defects!$V:$V,Weekly!EQ$3&amp;Weekly!$B17&amp;Weekly!$B$3&amp;$B$2)</f>
        <v>0</v>
      </c>
      <c r="ER17" s="2">
        <f>COUNTIF(defects!$V:$V,Weekly!ER$3&amp;Weekly!$B17&amp;Weekly!$B$3&amp;$B$2)</f>
        <v>0</v>
      </c>
      <c r="ES17" s="2">
        <f>COUNTIF(defects!$V:$V,Weekly!ES$3&amp;Weekly!$B17&amp;Weekly!$B$3&amp;$B$2)</f>
        <v>0</v>
      </c>
      <c r="ET17" s="2">
        <f>COUNTIF(defects!$V:$V,Weekly!ET$3&amp;Weekly!$B17&amp;Weekly!$B$3&amp;$B$2)</f>
        <v>0</v>
      </c>
      <c r="EU17" s="2">
        <f>COUNTIF(defects!$V:$V,Weekly!EU$3&amp;Weekly!$B17&amp;Weekly!$B$3&amp;$B$2)</f>
        <v>0</v>
      </c>
      <c r="EV17" s="2">
        <f>COUNTIF(defects!$V:$V,Weekly!EV$3&amp;Weekly!$B17&amp;Weekly!$B$3&amp;$B$2)</f>
        <v>0</v>
      </c>
      <c r="EW17" s="2">
        <f>COUNTIF(defects!$V:$V,Weekly!EW$3&amp;Weekly!$B17&amp;Weekly!$B$3&amp;$B$2)</f>
        <v>0</v>
      </c>
      <c r="EX17" s="2">
        <f>COUNTIF(defects!$V:$V,Weekly!EX$3&amp;Weekly!$B17&amp;Weekly!$B$3&amp;$B$2)</f>
        <v>0</v>
      </c>
      <c r="EY17" s="2">
        <f>COUNTIF(defects!$V:$V,Weekly!EY$3&amp;Weekly!$B17&amp;Weekly!$B$3&amp;$B$2)</f>
        <v>0</v>
      </c>
      <c r="EZ17" s="2">
        <f>COUNTIF(defects!$V:$V,Weekly!EZ$3&amp;Weekly!$B17&amp;Weekly!$B$3&amp;$B$2)</f>
        <v>0</v>
      </c>
      <c r="FA17" s="2">
        <f>COUNTIF(defects!$V:$V,Weekly!FA$3&amp;Weekly!$B17&amp;Weekly!$B$3&amp;$B$2)</f>
        <v>0</v>
      </c>
      <c r="FB17" s="2">
        <f>COUNTIF(defects!$V:$V,Weekly!FB$3&amp;Weekly!$B17&amp;Weekly!$B$3&amp;$B$2)</f>
        <v>0</v>
      </c>
      <c r="FC17" s="2">
        <f>COUNTIF(defects!$V:$V,Weekly!FC$3&amp;Weekly!$B17&amp;Weekly!$B$3&amp;$B$2)</f>
        <v>0</v>
      </c>
      <c r="FD17" s="2">
        <f>COUNTIF(defects!$V:$V,Weekly!FD$3&amp;Weekly!$B17&amp;Weekly!$B$3&amp;$B$2)</f>
        <v>0</v>
      </c>
      <c r="FE17" s="2">
        <f>COUNTIF(defects!$V:$V,Weekly!FE$3&amp;Weekly!$B17&amp;Weekly!$B$3&amp;$B$2)</f>
        <v>0</v>
      </c>
    </row>
    <row r="18" spans="2:161" x14ac:dyDescent="0.35">
      <c r="B18" s="2" t="s">
        <v>1382</v>
      </c>
      <c r="C18" s="2">
        <f>COUNTIF(defects!$V:$V,Weekly!C$3&amp;Weekly!$B18&amp;Weekly!$B$3&amp;$B$2)</f>
        <v>0</v>
      </c>
      <c r="D18" s="2">
        <f>COUNTIF(defects!$V:$V,Weekly!D$3&amp;Weekly!$B18&amp;Weekly!$B$3&amp;$B$2)</f>
        <v>0</v>
      </c>
      <c r="E18" s="2">
        <f>COUNTIF(defects!$V:$V,Weekly!E$3&amp;Weekly!$B18&amp;Weekly!$B$3&amp;$B$2)</f>
        <v>0</v>
      </c>
      <c r="F18" s="2">
        <f>COUNTIF(defects!$V:$V,Weekly!F$3&amp;Weekly!$B18&amp;Weekly!$B$3&amp;$B$2)</f>
        <v>0</v>
      </c>
      <c r="G18" s="2">
        <f>COUNTIF(defects!$V:$V,Weekly!G$3&amp;Weekly!$B18&amp;Weekly!$B$3&amp;$B$2)</f>
        <v>0</v>
      </c>
      <c r="H18" s="2">
        <f>COUNTIF(defects!$V:$V,Weekly!H$3&amp;Weekly!$B18&amp;Weekly!$B$3&amp;$B$2)</f>
        <v>0</v>
      </c>
      <c r="I18" s="2">
        <f>COUNTIF(defects!$V:$V,Weekly!I$3&amp;Weekly!$B18&amp;Weekly!$B$3&amp;$B$2)</f>
        <v>0</v>
      </c>
      <c r="J18" s="2">
        <f>COUNTIF(defects!$V:$V,Weekly!J$3&amp;Weekly!$B18&amp;Weekly!$B$3&amp;$B$2)</f>
        <v>0</v>
      </c>
      <c r="K18" s="2">
        <f>COUNTIF(defects!$V:$V,Weekly!K$3&amp;Weekly!$B18&amp;Weekly!$B$3&amp;$B$2)</f>
        <v>0</v>
      </c>
      <c r="L18" s="2">
        <f>COUNTIF(defects!$V:$V,Weekly!L$3&amp;Weekly!$B18&amp;Weekly!$B$3&amp;$B$2)</f>
        <v>0</v>
      </c>
      <c r="M18" s="2">
        <f>COUNTIF(defects!$V:$V,Weekly!M$3&amp;Weekly!$B18&amp;Weekly!$B$3&amp;$B$2)</f>
        <v>0</v>
      </c>
      <c r="N18" s="2">
        <f>COUNTIF(defects!$V:$V,Weekly!N$3&amp;Weekly!$B18&amp;Weekly!$B$3&amp;$B$2)</f>
        <v>0</v>
      </c>
      <c r="O18" s="2">
        <f>COUNTIF(defects!$V:$V,Weekly!O$3&amp;Weekly!$B18&amp;Weekly!$B$3&amp;$B$2)</f>
        <v>0</v>
      </c>
      <c r="P18" s="2">
        <f>COUNTIF(defects!$V:$V,Weekly!P$3&amp;Weekly!$B18&amp;Weekly!$B$3&amp;$B$2)</f>
        <v>0</v>
      </c>
      <c r="Q18" s="2">
        <f>COUNTIF(defects!$V:$V,Weekly!Q$3&amp;Weekly!$B18&amp;Weekly!$B$3&amp;$B$2)</f>
        <v>0</v>
      </c>
      <c r="R18" s="2">
        <f>COUNTIF(defects!$V:$V,Weekly!R$3&amp;Weekly!$B18&amp;Weekly!$B$3&amp;$B$2)</f>
        <v>0</v>
      </c>
      <c r="S18" s="2">
        <f>COUNTIF(defects!$V:$V,Weekly!S$3&amp;Weekly!$B18&amp;Weekly!$B$3&amp;$B$2)</f>
        <v>0</v>
      </c>
      <c r="T18" s="2">
        <f>COUNTIF(defects!$V:$V,Weekly!T$3&amp;Weekly!$B18&amp;Weekly!$B$3&amp;$B$2)</f>
        <v>0</v>
      </c>
      <c r="U18" s="2">
        <f>COUNTIF(defects!$V:$V,Weekly!U$3&amp;Weekly!$B18&amp;Weekly!$B$3&amp;$B$2)</f>
        <v>0</v>
      </c>
      <c r="V18" s="2">
        <f>COUNTIF(defects!$V:$V,Weekly!V$3&amp;Weekly!$B18&amp;Weekly!$B$3&amp;$B$2)</f>
        <v>0</v>
      </c>
      <c r="W18" s="2">
        <f>COUNTIF(defects!$V:$V,Weekly!W$3&amp;Weekly!$B18&amp;Weekly!$B$3&amp;$B$2)</f>
        <v>0</v>
      </c>
      <c r="X18" s="2">
        <f>COUNTIF(defects!$V:$V,Weekly!X$3&amp;Weekly!$B18&amp;Weekly!$B$3&amp;$B$2)</f>
        <v>0</v>
      </c>
      <c r="Y18" s="2">
        <f>COUNTIF(defects!$V:$V,Weekly!Y$3&amp;Weekly!$B18&amp;Weekly!$B$3&amp;$B$2)</f>
        <v>0</v>
      </c>
      <c r="Z18" s="2">
        <f>COUNTIF(defects!$V:$V,Weekly!Z$3&amp;Weekly!$B18&amp;Weekly!$B$3&amp;$B$2)</f>
        <v>0</v>
      </c>
      <c r="AA18" s="2">
        <f>COUNTIF(defects!$V:$V,Weekly!AA$3&amp;Weekly!$B18&amp;Weekly!$B$3&amp;$B$2)</f>
        <v>0</v>
      </c>
      <c r="AB18" s="2">
        <f>COUNTIF(defects!$V:$V,Weekly!AB$3&amp;Weekly!$B18&amp;Weekly!$B$3&amp;$B$2)</f>
        <v>0</v>
      </c>
      <c r="AC18" s="2">
        <f>COUNTIF(defects!$V:$V,Weekly!AC$3&amp;Weekly!$B18&amp;Weekly!$B$3&amp;$B$2)</f>
        <v>0</v>
      </c>
      <c r="AD18" s="2">
        <f>COUNTIF(defects!$V:$V,Weekly!AD$3&amp;Weekly!$B18&amp;Weekly!$B$3&amp;$B$2)</f>
        <v>0</v>
      </c>
      <c r="AE18" s="2">
        <f>COUNTIF(defects!$V:$V,Weekly!AE$3&amp;Weekly!$B18&amp;Weekly!$B$3&amp;$B$2)</f>
        <v>0</v>
      </c>
      <c r="AF18" s="2">
        <f>COUNTIF(defects!$V:$V,Weekly!AF$3&amp;Weekly!$B18&amp;Weekly!$B$3&amp;$B$2)</f>
        <v>0</v>
      </c>
      <c r="AG18" s="2">
        <f>COUNTIF(defects!$V:$V,Weekly!AG$3&amp;Weekly!$B18&amp;Weekly!$B$3&amp;$B$2)</f>
        <v>0</v>
      </c>
      <c r="AH18" s="2">
        <f>COUNTIF(defects!$V:$V,Weekly!AH$3&amp;Weekly!$B18&amp;Weekly!$B$3&amp;$B$2)</f>
        <v>0</v>
      </c>
      <c r="AI18" s="2">
        <f>COUNTIF(defects!$V:$V,Weekly!AI$3&amp;Weekly!$B18&amp;Weekly!$B$3&amp;$B$2)</f>
        <v>0</v>
      </c>
      <c r="AJ18" s="2">
        <f>COUNTIF(defects!$V:$V,Weekly!AJ$3&amp;Weekly!$B18&amp;Weekly!$B$3&amp;$B$2)</f>
        <v>0</v>
      </c>
      <c r="AK18" s="2">
        <f>COUNTIF(defects!$V:$V,Weekly!AK$3&amp;Weekly!$B18&amp;Weekly!$B$3&amp;$B$2)</f>
        <v>0</v>
      </c>
      <c r="AL18" s="2">
        <f>COUNTIF(defects!$V:$V,Weekly!AL$3&amp;Weekly!$B18&amp;Weekly!$B$3&amp;$B$2)</f>
        <v>0</v>
      </c>
      <c r="AM18" s="2">
        <f>COUNTIF(defects!$V:$V,Weekly!AM$3&amp;Weekly!$B18&amp;Weekly!$B$3&amp;$B$2)</f>
        <v>0</v>
      </c>
      <c r="AN18" s="2">
        <f>COUNTIF(defects!$V:$V,Weekly!AN$3&amp;Weekly!$B18&amp;Weekly!$B$3&amp;$B$2)</f>
        <v>0</v>
      </c>
      <c r="AO18" s="2">
        <f>COUNTIF(defects!$V:$V,Weekly!AO$3&amp;Weekly!$B18&amp;Weekly!$B$3&amp;$B$2)</f>
        <v>0</v>
      </c>
      <c r="AP18" s="2">
        <f>COUNTIF(defects!$V:$V,Weekly!AP$3&amp;Weekly!$B18&amp;Weekly!$B$3&amp;$B$2)</f>
        <v>0</v>
      </c>
      <c r="AQ18" s="2">
        <f>COUNTIF(defects!$V:$V,Weekly!AQ$3&amp;Weekly!$B18&amp;Weekly!$B$3&amp;$B$2)</f>
        <v>0</v>
      </c>
      <c r="AR18" s="2">
        <f>COUNTIF(defects!$V:$V,Weekly!AR$3&amp;Weekly!$B18&amp;Weekly!$B$3&amp;$B$2)</f>
        <v>0</v>
      </c>
      <c r="AS18" s="2">
        <f>COUNTIF(defects!$V:$V,Weekly!AS$3&amp;Weekly!$B18&amp;Weekly!$B$3&amp;$B$2)</f>
        <v>0</v>
      </c>
      <c r="AT18" s="2">
        <f>COUNTIF(defects!$V:$V,Weekly!AT$3&amp;Weekly!$B18&amp;Weekly!$B$3&amp;$B$2)</f>
        <v>0</v>
      </c>
      <c r="AU18" s="2">
        <f>COUNTIF(defects!$V:$V,Weekly!AU$3&amp;Weekly!$B18&amp;Weekly!$B$3&amp;$B$2)</f>
        <v>0</v>
      </c>
      <c r="AV18" s="2">
        <f>COUNTIF(defects!$V:$V,Weekly!AV$3&amp;Weekly!$B18&amp;Weekly!$B$3&amp;$B$2)</f>
        <v>0</v>
      </c>
      <c r="AW18" s="2">
        <f>COUNTIF(defects!$V:$V,Weekly!AW$3&amp;Weekly!$B18&amp;Weekly!$B$3&amp;$B$2)</f>
        <v>0</v>
      </c>
      <c r="AX18" s="2">
        <f>COUNTIF(defects!$V:$V,Weekly!AX$3&amp;Weekly!$B18&amp;Weekly!$B$3&amp;$B$2)</f>
        <v>0</v>
      </c>
      <c r="AY18" s="2">
        <f>COUNTIF(defects!$V:$V,Weekly!AY$3&amp;Weekly!$B18&amp;Weekly!$B$3&amp;$B$2)</f>
        <v>0</v>
      </c>
      <c r="AZ18" s="2">
        <f>COUNTIF(defects!$V:$V,Weekly!AZ$3&amp;Weekly!$B18&amp;Weekly!$B$3&amp;$B$2)</f>
        <v>0</v>
      </c>
      <c r="BA18" s="2">
        <f>COUNTIF(defects!$V:$V,Weekly!BA$3&amp;Weekly!$B18&amp;Weekly!$B$3&amp;$B$2)</f>
        <v>0</v>
      </c>
      <c r="BB18" s="2">
        <f>COUNTIF(defects!$V:$V,Weekly!BB$3&amp;Weekly!$B18&amp;Weekly!$B$3&amp;$B$2)</f>
        <v>0</v>
      </c>
      <c r="BC18" s="2">
        <f>COUNTIF(defects!$V:$V,Weekly!BC$3&amp;Weekly!$B18&amp;Weekly!$B$3&amp;$B$2)</f>
        <v>0</v>
      </c>
      <c r="BD18" s="2">
        <f>COUNTIF(defects!$V:$V,Weekly!BD$3&amp;Weekly!$B18&amp;Weekly!$B$3&amp;$B$2)</f>
        <v>0</v>
      </c>
      <c r="BE18" s="2">
        <f>COUNTIF(defects!$V:$V,Weekly!BE$3&amp;Weekly!$B18&amp;Weekly!$B$3&amp;$B$2)</f>
        <v>0</v>
      </c>
      <c r="BF18" s="2">
        <f>COUNTIF(defects!$V:$V,Weekly!BF$3&amp;Weekly!$B18&amp;Weekly!$B$3&amp;$B$2)</f>
        <v>0</v>
      </c>
      <c r="BG18" s="2">
        <f>COUNTIF(defects!$V:$V,Weekly!BG$3&amp;Weekly!$B18&amp;Weekly!$B$3&amp;$B$2)</f>
        <v>0</v>
      </c>
      <c r="BH18" s="2">
        <f>COUNTIF(defects!$V:$V,Weekly!BH$3&amp;Weekly!$B18&amp;Weekly!$B$3&amp;$B$2)</f>
        <v>0</v>
      </c>
      <c r="BI18" s="2">
        <f>COUNTIF(defects!$V:$V,Weekly!BI$3&amp;Weekly!$B18&amp;Weekly!$B$3&amp;$B$2)</f>
        <v>0</v>
      </c>
      <c r="BJ18" s="2">
        <f>COUNTIF(defects!$V:$V,Weekly!BJ$3&amp;Weekly!$B18&amp;Weekly!$B$3&amp;$B$2)</f>
        <v>0</v>
      </c>
      <c r="BK18" s="2">
        <f>COUNTIF(defects!$V:$V,Weekly!BK$3&amp;Weekly!$B18&amp;Weekly!$B$3&amp;$B$2)</f>
        <v>0</v>
      </c>
      <c r="BL18" s="2">
        <f>COUNTIF(defects!$V:$V,Weekly!BL$3&amp;Weekly!$B18&amp;Weekly!$B$3&amp;$B$2)</f>
        <v>0</v>
      </c>
      <c r="BM18" s="2">
        <f>COUNTIF(defects!$V:$V,Weekly!BM$3&amp;Weekly!$B18&amp;Weekly!$B$3&amp;$B$2)</f>
        <v>0</v>
      </c>
      <c r="BN18" s="2">
        <f>COUNTIF(defects!$V:$V,Weekly!BN$3&amp;Weekly!$B18&amp;Weekly!$B$3&amp;$B$2)</f>
        <v>0</v>
      </c>
      <c r="BO18" s="2">
        <f>COUNTIF(defects!$V:$V,Weekly!BO$3&amp;Weekly!$B18&amp;Weekly!$B$3&amp;$B$2)</f>
        <v>0</v>
      </c>
      <c r="BP18" s="2">
        <f>COUNTIF(defects!$V:$V,Weekly!BP$3&amp;Weekly!$B18&amp;Weekly!$B$3&amp;$B$2)</f>
        <v>0</v>
      </c>
      <c r="BQ18" s="2">
        <f>COUNTIF(defects!$V:$V,Weekly!BQ$3&amp;Weekly!$B18&amp;Weekly!$B$3&amp;$B$2)</f>
        <v>0</v>
      </c>
      <c r="BR18" s="2">
        <f>COUNTIF(defects!$V:$V,Weekly!BR$3&amp;Weekly!$B18&amp;Weekly!$B$3&amp;$B$2)</f>
        <v>0</v>
      </c>
      <c r="BS18" s="2">
        <f>COUNTIF(defects!$V:$V,Weekly!BS$3&amp;Weekly!$B18&amp;Weekly!$B$3&amp;$B$2)</f>
        <v>0</v>
      </c>
      <c r="BT18" s="2">
        <f>COUNTIF(defects!$V:$V,Weekly!BT$3&amp;Weekly!$B18&amp;Weekly!$B$3&amp;$B$2)</f>
        <v>0</v>
      </c>
      <c r="BU18" s="2">
        <f>COUNTIF(defects!$V:$V,Weekly!BU$3&amp;Weekly!$B18&amp;Weekly!$B$3&amp;$B$2)</f>
        <v>0</v>
      </c>
      <c r="BV18" s="2">
        <f>COUNTIF(defects!$V:$V,Weekly!BV$3&amp;Weekly!$B18&amp;Weekly!$B$3&amp;$B$2)</f>
        <v>0</v>
      </c>
      <c r="BW18" s="2">
        <f>COUNTIF(defects!$V:$V,Weekly!BW$3&amp;Weekly!$B18&amp;Weekly!$B$3&amp;$B$2)</f>
        <v>0</v>
      </c>
      <c r="BX18" s="2">
        <f>COUNTIF(defects!$V:$V,Weekly!BX$3&amp;Weekly!$B18&amp;Weekly!$B$3&amp;$B$2)</f>
        <v>0</v>
      </c>
      <c r="BY18" s="2">
        <f>COUNTIF(defects!$V:$V,Weekly!BY$3&amp;Weekly!$B18&amp;Weekly!$B$3&amp;$B$2)</f>
        <v>0</v>
      </c>
      <c r="BZ18" s="2">
        <f>COUNTIF(defects!$V:$V,Weekly!BZ$3&amp;Weekly!$B18&amp;Weekly!$B$3&amp;$B$2)</f>
        <v>0</v>
      </c>
      <c r="CA18" s="2">
        <f>COUNTIF(defects!$V:$V,Weekly!CA$3&amp;Weekly!$B18&amp;Weekly!$B$3&amp;$B$2)</f>
        <v>0</v>
      </c>
      <c r="CB18" s="2">
        <f>COUNTIF(defects!$V:$V,Weekly!CB$3&amp;Weekly!$B18&amp;Weekly!$B$3&amp;$B$2)</f>
        <v>0</v>
      </c>
      <c r="CC18" s="2">
        <f>COUNTIF(defects!$V:$V,Weekly!CC$3&amp;Weekly!$B18&amp;Weekly!$B$3&amp;$B$2)</f>
        <v>0</v>
      </c>
      <c r="CD18" s="2">
        <f>COUNTIF(defects!$V:$V,Weekly!CD$3&amp;Weekly!$B18&amp;Weekly!$B$3&amp;$B$2)</f>
        <v>0</v>
      </c>
      <c r="CE18" s="2">
        <f>COUNTIF(defects!$V:$V,Weekly!CE$3&amp;Weekly!$B18&amp;Weekly!$B$3&amp;$B$2)</f>
        <v>0</v>
      </c>
      <c r="CF18" s="2">
        <f>COUNTIF(defects!$V:$V,Weekly!CF$3&amp;Weekly!$B18&amp;Weekly!$B$3&amp;$B$2)</f>
        <v>0</v>
      </c>
      <c r="CG18" s="2">
        <f>COUNTIF(defects!$V:$V,Weekly!CG$3&amp;Weekly!$B18&amp;Weekly!$B$3&amp;$B$2)</f>
        <v>0</v>
      </c>
      <c r="CH18" s="2">
        <f>COUNTIF(defects!$V:$V,Weekly!CH$3&amp;Weekly!$B18&amp;Weekly!$B$3&amp;$B$2)</f>
        <v>0</v>
      </c>
      <c r="CI18" s="2">
        <f>COUNTIF(defects!$V:$V,Weekly!CI$3&amp;Weekly!$B18&amp;Weekly!$B$3&amp;$B$2)</f>
        <v>0</v>
      </c>
      <c r="CJ18" s="2">
        <f>COUNTIF(defects!$V:$V,Weekly!CJ$3&amp;Weekly!$B18&amp;Weekly!$B$3&amp;$B$2)</f>
        <v>0</v>
      </c>
      <c r="CK18" s="2">
        <f>COUNTIF(defects!$V:$V,Weekly!CK$3&amp;Weekly!$B18&amp;Weekly!$B$3&amp;$B$2)</f>
        <v>0</v>
      </c>
      <c r="CL18" s="2">
        <f>COUNTIF(defects!$V:$V,Weekly!CL$3&amp;Weekly!$B18&amp;Weekly!$B$3&amp;$B$2)</f>
        <v>0</v>
      </c>
      <c r="CM18" s="2">
        <f>COUNTIF(defects!$V:$V,Weekly!CM$3&amp;Weekly!$B18&amp;Weekly!$B$3&amp;$B$2)</f>
        <v>0</v>
      </c>
      <c r="CN18" s="2">
        <f>COUNTIF(defects!$V:$V,Weekly!CN$3&amp;Weekly!$B18&amp;Weekly!$B$3&amp;$B$2)</f>
        <v>0</v>
      </c>
      <c r="CO18" s="2">
        <f>COUNTIF(defects!$V:$V,Weekly!CO$3&amp;Weekly!$B18&amp;Weekly!$B$3&amp;$B$2)</f>
        <v>0</v>
      </c>
      <c r="CP18" s="2">
        <f>COUNTIF(defects!$V:$V,Weekly!CP$3&amp;Weekly!$B18&amp;Weekly!$B$3&amp;$B$2)</f>
        <v>0</v>
      </c>
      <c r="CQ18" s="2">
        <f>COUNTIF(defects!$V:$V,Weekly!CQ$3&amp;Weekly!$B18&amp;Weekly!$B$3&amp;$B$2)</f>
        <v>0</v>
      </c>
      <c r="CR18" s="2">
        <f>COUNTIF(defects!$V:$V,Weekly!CR$3&amp;Weekly!$B18&amp;Weekly!$B$3&amp;$B$2)</f>
        <v>0</v>
      </c>
      <c r="CS18" s="2">
        <f>COUNTIF(defects!$V:$V,Weekly!CS$3&amp;Weekly!$B18&amp;Weekly!$B$3&amp;$B$2)</f>
        <v>0</v>
      </c>
      <c r="CT18" s="2">
        <f>COUNTIF(defects!$V:$V,Weekly!CT$3&amp;Weekly!$B18&amp;Weekly!$B$3&amp;$B$2)</f>
        <v>0</v>
      </c>
      <c r="CU18" s="2">
        <f>COUNTIF(defects!$V:$V,Weekly!CU$3&amp;Weekly!$B18&amp;Weekly!$B$3&amp;$B$2)</f>
        <v>0</v>
      </c>
      <c r="CV18" s="2">
        <f>COUNTIF(defects!$V:$V,Weekly!CV$3&amp;Weekly!$B18&amp;Weekly!$B$3&amp;$B$2)</f>
        <v>0</v>
      </c>
      <c r="CW18" s="2">
        <f>COUNTIF(defects!$V:$V,Weekly!CW$3&amp;Weekly!$B18&amp;Weekly!$B$3&amp;$B$2)</f>
        <v>0</v>
      </c>
      <c r="CX18" s="2">
        <f>COUNTIF(defects!$V:$V,Weekly!CX$3&amp;Weekly!$B18&amp;Weekly!$B$3&amp;$B$2)</f>
        <v>0</v>
      </c>
      <c r="CY18" s="2">
        <f>COUNTIF(defects!$V:$V,Weekly!CY$3&amp;Weekly!$B18&amp;Weekly!$B$3&amp;$B$2)</f>
        <v>0</v>
      </c>
      <c r="CZ18" s="2">
        <f>COUNTIF(defects!$V:$V,Weekly!CZ$3&amp;Weekly!$B18&amp;Weekly!$B$3&amp;$B$2)</f>
        <v>0</v>
      </c>
      <c r="DA18" s="2">
        <f>COUNTIF(defects!$V:$V,Weekly!DA$3&amp;Weekly!$B18&amp;Weekly!$B$3&amp;$B$2)</f>
        <v>0</v>
      </c>
      <c r="DB18" s="2">
        <f>COUNTIF(defects!$V:$V,Weekly!DB$3&amp;Weekly!$B18&amp;Weekly!$B$3&amp;$B$2)</f>
        <v>0</v>
      </c>
      <c r="DC18" s="2">
        <f>COUNTIF(defects!$V:$V,Weekly!DC$3&amp;Weekly!$B18&amp;Weekly!$B$3&amp;$B$2)</f>
        <v>0</v>
      </c>
      <c r="DD18" s="2">
        <f>COUNTIF(defects!$V:$V,Weekly!DD$3&amp;Weekly!$B18&amp;Weekly!$B$3&amp;$B$2)</f>
        <v>0</v>
      </c>
      <c r="DE18" s="2">
        <f>COUNTIF(defects!$V:$V,Weekly!DE$3&amp;Weekly!$B18&amp;Weekly!$B$3&amp;$B$2)</f>
        <v>0</v>
      </c>
      <c r="DF18" s="2">
        <f>COUNTIF(defects!$V:$V,Weekly!DF$3&amp;Weekly!$B18&amp;Weekly!$B$3&amp;$B$2)</f>
        <v>0</v>
      </c>
      <c r="DG18" s="2">
        <f>COUNTIF(defects!$V:$V,Weekly!DG$3&amp;Weekly!$B18&amp;Weekly!$B$3&amp;$B$2)</f>
        <v>0</v>
      </c>
      <c r="DH18" s="2">
        <f>COUNTIF(defects!$V:$V,Weekly!DH$3&amp;Weekly!$B18&amp;Weekly!$B$3&amp;$B$2)</f>
        <v>0</v>
      </c>
      <c r="DI18" s="2">
        <f>COUNTIF(defects!$V:$V,Weekly!DI$3&amp;Weekly!$B18&amp;Weekly!$B$3&amp;$B$2)</f>
        <v>0</v>
      </c>
      <c r="DJ18" s="2">
        <f>COUNTIF(defects!$V:$V,Weekly!DJ$3&amp;Weekly!$B18&amp;Weekly!$B$3&amp;$B$2)</f>
        <v>0</v>
      </c>
      <c r="DK18" s="2">
        <f>COUNTIF(defects!$V:$V,Weekly!DK$3&amp;Weekly!$B18&amp;Weekly!$B$3&amp;$B$2)</f>
        <v>0</v>
      </c>
      <c r="DL18" s="2">
        <f>COUNTIF(defects!$V:$V,Weekly!DL$3&amp;Weekly!$B18&amp;Weekly!$B$3&amp;$B$2)</f>
        <v>0</v>
      </c>
      <c r="DM18" s="2">
        <f>COUNTIF(defects!$V:$V,Weekly!DM$3&amp;Weekly!$B18&amp;Weekly!$B$3&amp;$B$2)</f>
        <v>0</v>
      </c>
      <c r="DN18" s="2">
        <f>COUNTIF(defects!$V:$V,Weekly!DN$3&amp;Weekly!$B18&amp;Weekly!$B$3&amp;$B$2)</f>
        <v>0</v>
      </c>
      <c r="DO18" s="2">
        <f>COUNTIF(defects!$V:$V,Weekly!DO$3&amp;Weekly!$B18&amp;Weekly!$B$3&amp;$B$2)</f>
        <v>0</v>
      </c>
      <c r="DP18" s="2">
        <f>COUNTIF(defects!$V:$V,Weekly!DP$3&amp;Weekly!$B18&amp;Weekly!$B$3&amp;$B$2)</f>
        <v>0</v>
      </c>
      <c r="DQ18" s="2">
        <f>COUNTIF(defects!$V:$V,Weekly!DQ$3&amp;Weekly!$B18&amp;Weekly!$B$3&amp;$B$2)</f>
        <v>0</v>
      </c>
      <c r="DR18" s="2">
        <f>COUNTIF(defects!$V:$V,Weekly!DR$3&amp;Weekly!$B18&amp;Weekly!$B$3&amp;$B$2)</f>
        <v>0</v>
      </c>
      <c r="DS18" s="2">
        <f>COUNTIF(defects!$V:$V,Weekly!DS$3&amp;Weekly!$B18&amp;Weekly!$B$3&amp;$B$2)</f>
        <v>0</v>
      </c>
      <c r="DT18" s="2">
        <f>COUNTIF(defects!$V:$V,Weekly!DT$3&amp;Weekly!$B18&amp;Weekly!$B$3&amp;$B$2)</f>
        <v>0</v>
      </c>
      <c r="DU18" s="2">
        <f>COUNTIF(defects!$V:$V,Weekly!DU$3&amp;Weekly!$B18&amp;Weekly!$B$3&amp;$B$2)</f>
        <v>0</v>
      </c>
      <c r="DV18" s="2">
        <f>COUNTIF(defects!$V:$V,Weekly!DV$3&amp;Weekly!$B18&amp;Weekly!$B$3&amp;$B$2)</f>
        <v>0</v>
      </c>
      <c r="DW18" s="2">
        <f>COUNTIF(defects!$V:$V,Weekly!DW$3&amp;Weekly!$B18&amp;Weekly!$B$3&amp;$B$2)</f>
        <v>0</v>
      </c>
      <c r="DX18" s="2">
        <f>COUNTIF(defects!$V:$V,Weekly!DX$3&amp;Weekly!$B18&amp;Weekly!$B$3&amp;$B$2)</f>
        <v>0</v>
      </c>
      <c r="DY18" s="2">
        <f>COUNTIF(defects!$V:$V,Weekly!DY$3&amp;Weekly!$B18&amp;Weekly!$B$3&amp;$B$2)</f>
        <v>0</v>
      </c>
      <c r="DZ18" s="2">
        <f>COUNTIF(defects!$V:$V,Weekly!DZ$3&amp;Weekly!$B18&amp;Weekly!$B$3&amp;$B$2)</f>
        <v>0</v>
      </c>
      <c r="EA18" s="2">
        <f>COUNTIF(defects!$V:$V,Weekly!EA$3&amp;Weekly!$B18&amp;Weekly!$B$3&amp;$B$2)</f>
        <v>0</v>
      </c>
      <c r="EB18" s="2">
        <f>COUNTIF(defects!$V:$V,Weekly!EB$3&amp;Weekly!$B18&amp;Weekly!$B$3&amp;$B$2)</f>
        <v>0</v>
      </c>
      <c r="EC18" s="2">
        <f>COUNTIF(defects!$V:$V,Weekly!EC$3&amp;Weekly!$B18&amp;Weekly!$B$3&amp;$B$2)</f>
        <v>0</v>
      </c>
      <c r="ED18" s="2">
        <f>COUNTIF(defects!$V:$V,Weekly!ED$3&amp;Weekly!$B18&amp;Weekly!$B$3&amp;$B$2)</f>
        <v>0</v>
      </c>
      <c r="EE18" s="2">
        <f>COUNTIF(defects!$V:$V,Weekly!EE$3&amp;Weekly!$B18&amp;Weekly!$B$3&amp;$B$2)</f>
        <v>0</v>
      </c>
      <c r="EF18" s="2">
        <f>COUNTIF(defects!$V:$V,Weekly!EF$3&amp;Weekly!$B18&amp;Weekly!$B$3&amp;$B$2)</f>
        <v>0</v>
      </c>
      <c r="EG18" s="2">
        <f>COUNTIF(defects!$V:$V,Weekly!EG$3&amp;Weekly!$B18&amp;Weekly!$B$3&amp;$B$2)</f>
        <v>0</v>
      </c>
      <c r="EH18" s="2">
        <f>COUNTIF(defects!$V:$V,Weekly!EH$3&amp;Weekly!$B18&amp;Weekly!$B$3&amp;$B$2)</f>
        <v>0</v>
      </c>
      <c r="EI18" s="2">
        <f>COUNTIF(defects!$V:$V,Weekly!EI$3&amp;Weekly!$B18&amp;Weekly!$B$3&amp;$B$2)</f>
        <v>0</v>
      </c>
      <c r="EJ18" s="2">
        <f>COUNTIF(defects!$V:$V,Weekly!EJ$3&amp;Weekly!$B18&amp;Weekly!$B$3&amp;$B$2)</f>
        <v>0</v>
      </c>
      <c r="EK18" s="2">
        <f>COUNTIF(defects!$V:$V,Weekly!EK$3&amp;Weekly!$B18&amp;Weekly!$B$3&amp;$B$2)</f>
        <v>0</v>
      </c>
      <c r="EL18" s="2">
        <f>COUNTIF(defects!$V:$V,Weekly!EL$3&amp;Weekly!$B18&amp;Weekly!$B$3&amp;$B$2)</f>
        <v>0</v>
      </c>
      <c r="EM18" s="2">
        <f>COUNTIF(defects!$V:$V,Weekly!EM$3&amp;Weekly!$B18&amp;Weekly!$B$3&amp;$B$2)</f>
        <v>0</v>
      </c>
      <c r="EN18" s="2">
        <f>COUNTIF(defects!$V:$V,Weekly!EN$3&amp;Weekly!$B18&amp;Weekly!$B$3&amp;$B$2)</f>
        <v>0</v>
      </c>
      <c r="EO18" s="2">
        <f>COUNTIF(defects!$V:$V,Weekly!EO$3&amp;Weekly!$B18&amp;Weekly!$B$3&amp;$B$2)</f>
        <v>0</v>
      </c>
      <c r="EP18" s="2">
        <f>COUNTIF(defects!$V:$V,Weekly!EP$3&amp;Weekly!$B18&amp;Weekly!$B$3&amp;$B$2)</f>
        <v>0</v>
      </c>
      <c r="EQ18" s="2">
        <f>COUNTIF(defects!$V:$V,Weekly!EQ$3&amp;Weekly!$B18&amp;Weekly!$B$3&amp;$B$2)</f>
        <v>0</v>
      </c>
      <c r="ER18" s="2">
        <f>COUNTIF(defects!$V:$V,Weekly!ER$3&amp;Weekly!$B18&amp;Weekly!$B$3&amp;$B$2)</f>
        <v>0</v>
      </c>
      <c r="ES18" s="2">
        <f>COUNTIF(defects!$V:$V,Weekly!ES$3&amp;Weekly!$B18&amp;Weekly!$B$3&amp;$B$2)</f>
        <v>0</v>
      </c>
      <c r="ET18" s="2">
        <f>COUNTIF(defects!$V:$V,Weekly!ET$3&amp;Weekly!$B18&amp;Weekly!$B$3&amp;$B$2)</f>
        <v>0</v>
      </c>
      <c r="EU18" s="2">
        <f>COUNTIF(defects!$V:$V,Weekly!EU$3&amp;Weekly!$B18&amp;Weekly!$B$3&amp;$B$2)</f>
        <v>0</v>
      </c>
      <c r="EV18" s="2">
        <f>COUNTIF(defects!$V:$V,Weekly!EV$3&amp;Weekly!$B18&amp;Weekly!$B$3&amp;$B$2)</f>
        <v>0</v>
      </c>
      <c r="EW18" s="2">
        <f>COUNTIF(defects!$V:$V,Weekly!EW$3&amp;Weekly!$B18&amp;Weekly!$B$3&amp;$B$2)</f>
        <v>0</v>
      </c>
      <c r="EX18" s="2">
        <f>COUNTIF(defects!$V:$V,Weekly!EX$3&amp;Weekly!$B18&amp;Weekly!$B$3&amp;$B$2)</f>
        <v>0</v>
      </c>
      <c r="EY18" s="2">
        <f>COUNTIF(defects!$V:$V,Weekly!EY$3&amp;Weekly!$B18&amp;Weekly!$B$3&amp;$B$2)</f>
        <v>0</v>
      </c>
      <c r="EZ18" s="2">
        <f>COUNTIF(defects!$V:$V,Weekly!EZ$3&amp;Weekly!$B18&amp;Weekly!$B$3&amp;$B$2)</f>
        <v>0</v>
      </c>
      <c r="FA18" s="2">
        <f>COUNTIF(defects!$V:$V,Weekly!FA$3&amp;Weekly!$B18&amp;Weekly!$B$3&amp;$B$2)</f>
        <v>0</v>
      </c>
      <c r="FB18" s="2">
        <f>COUNTIF(defects!$V:$V,Weekly!FB$3&amp;Weekly!$B18&amp;Weekly!$B$3&amp;$B$2)</f>
        <v>0</v>
      </c>
      <c r="FC18" s="2">
        <f>COUNTIF(defects!$V:$V,Weekly!FC$3&amp;Weekly!$B18&amp;Weekly!$B$3&amp;$B$2)</f>
        <v>0</v>
      </c>
      <c r="FD18" s="2">
        <f>COUNTIF(defects!$V:$V,Weekly!FD$3&amp;Weekly!$B18&amp;Weekly!$B$3&amp;$B$2)</f>
        <v>0</v>
      </c>
      <c r="FE18" s="2">
        <f>COUNTIF(defects!$V:$V,Weekly!FE$3&amp;Weekly!$B18&amp;Weekly!$B$3&amp;$B$2)</f>
        <v>0</v>
      </c>
    </row>
    <row r="19" spans="2:161" x14ac:dyDescent="0.35">
      <c r="B19" s="2" t="s">
        <v>1278</v>
      </c>
      <c r="C19" s="2">
        <f>COUNTIF(defects!$V:$V,Weekly!C$3&amp;Weekly!$B19&amp;Weekly!$B$3&amp;$B$2)</f>
        <v>0</v>
      </c>
      <c r="D19" s="2">
        <f>COUNTIF(defects!$V:$V,Weekly!D$3&amp;Weekly!$B19&amp;Weekly!$B$3&amp;$B$2)</f>
        <v>0</v>
      </c>
      <c r="E19" s="2">
        <f>COUNTIF(defects!$V:$V,Weekly!E$3&amp;Weekly!$B19&amp;Weekly!$B$3&amp;$B$2)</f>
        <v>0</v>
      </c>
      <c r="F19" s="2">
        <f>COUNTIF(defects!$V:$V,Weekly!F$3&amp;Weekly!$B19&amp;Weekly!$B$3&amp;$B$2)</f>
        <v>0</v>
      </c>
      <c r="G19" s="2">
        <f>COUNTIF(defects!$V:$V,Weekly!G$3&amp;Weekly!$B19&amp;Weekly!$B$3&amp;$B$2)</f>
        <v>0</v>
      </c>
      <c r="H19" s="2">
        <f>COUNTIF(defects!$V:$V,Weekly!H$3&amp;Weekly!$B19&amp;Weekly!$B$3&amp;$B$2)</f>
        <v>0</v>
      </c>
      <c r="I19" s="2">
        <f>COUNTIF(defects!$V:$V,Weekly!I$3&amp;Weekly!$B19&amp;Weekly!$B$3&amp;$B$2)</f>
        <v>0</v>
      </c>
      <c r="J19" s="2">
        <f>COUNTIF(defects!$V:$V,Weekly!J$3&amp;Weekly!$B19&amp;Weekly!$B$3&amp;$B$2)</f>
        <v>0</v>
      </c>
      <c r="K19" s="2">
        <f>COUNTIF(defects!$V:$V,Weekly!K$3&amp;Weekly!$B19&amp;Weekly!$B$3&amp;$B$2)</f>
        <v>0</v>
      </c>
      <c r="L19" s="2">
        <f>COUNTIF(defects!$V:$V,Weekly!L$3&amp;Weekly!$B19&amp;Weekly!$B$3&amp;$B$2)</f>
        <v>0</v>
      </c>
      <c r="M19" s="2">
        <f>COUNTIF(defects!$V:$V,Weekly!M$3&amp;Weekly!$B19&amp;Weekly!$B$3&amp;$B$2)</f>
        <v>0</v>
      </c>
      <c r="N19" s="2">
        <f>COUNTIF(defects!$V:$V,Weekly!N$3&amp;Weekly!$B19&amp;Weekly!$B$3&amp;$B$2)</f>
        <v>0</v>
      </c>
      <c r="O19" s="2">
        <f>COUNTIF(defects!$V:$V,Weekly!O$3&amp;Weekly!$B19&amp;Weekly!$B$3&amp;$B$2)</f>
        <v>0</v>
      </c>
      <c r="P19" s="2">
        <f>COUNTIF(defects!$V:$V,Weekly!P$3&amp;Weekly!$B19&amp;Weekly!$B$3&amp;$B$2)</f>
        <v>0</v>
      </c>
      <c r="Q19" s="2">
        <f>COUNTIF(defects!$V:$V,Weekly!Q$3&amp;Weekly!$B19&amp;Weekly!$B$3&amp;$B$2)</f>
        <v>0</v>
      </c>
      <c r="R19" s="2">
        <f>COUNTIF(defects!$V:$V,Weekly!R$3&amp;Weekly!$B19&amp;Weekly!$B$3&amp;$B$2)</f>
        <v>0</v>
      </c>
      <c r="S19" s="2">
        <f>COUNTIF(defects!$V:$V,Weekly!S$3&amp;Weekly!$B19&amp;Weekly!$B$3&amp;$B$2)</f>
        <v>0</v>
      </c>
      <c r="T19" s="2">
        <f>COUNTIF(defects!$V:$V,Weekly!T$3&amp;Weekly!$B19&amp;Weekly!$B$3&amp;$B$2)</f>
        <v>0</v>
      </c>
      <c r="U19" s="2">
        <f>COUNTIF(defects!$V:$V,Weekly!U$3&amp;Weekly!$B19&amp;Weekly!$B$3&amp;$B$2)</f>
        <v>0</v>
      </c>
      <c r="V19" s="2">
        <f>COUNTIF(defects!$V:$V,Weekly!V$3&amp;Weekly!$B19&amp;Weekly!$B$3&amp;$B$2)</f>
        <v>0</v>
      </c>
      <c r="W19" s="2">
        <f>COUNTIF(defects!$V:$V,Weekly!W$3&amp;Weekly!$B19&amp;Weekly!$B$3&amp;$B$2)</f>
        <v>0</v>
      </c>
      <c r="X19" s="2">
        <f>COUNTIF(defects!$V:$V,Weekly!X$3&amp;Weekly!$B19&amp;Weekly!$B$3&amp;$B$2)</f>
        <v>0</v>
      </c>
      <c r="Y19" s="2">
        <f>COUNTIF(defects!$V:$V,Weekly!Y$3&amp;Weekly!$B19&amp;Weekly!$B$3&amp;$B$2)</f>
        <v>0</v>
      </c>
      <c r="Z19" s="2">
        <f>COUNTIF(defects!$V:$V,Weekly!Z$3&amp;Weekly!$B19&amp;Weekly!$B$3&amp;$B$2)</f>
        <v>0</v>
      </c>
      <c r="AA19" s="2">
        <f>COUNTIF(defects!$V:$V,Weekly!AA$3&amp;Weekly!$B19&amp;Weekly!$B$3&amp;$B$2)</f>
        <v>0</v>
      </c>
      <c r="AB19" s="2">
        <f>COUNTIF(defects!$V:$V,Weekly!AB$3&amp;Weekly!$B19&amp;Weekly!$B$3&amp;$B$2)</f>
        <v>0</v>
      </c>
      <c r="AC19" s="2">
        <f>COUNTIF(defects!$V:$V,Weekly!AC$3&amp;Weekly!$B19&amp;Weekly!$B$3&amp;$B$2)</f>
        <v>0</v>
      </c>
      <c r="AD19" s="2">
        <f>COUNTIF(defects!$V:$V,Weekly!AD$3&amp;Weekly!$B19&amp;Weekly!$B$3&amp;$B$2)</f>
        <v>0</v>
      </c>
      <c r="AE19" s="2">
        <f>COUNTIF(defects!$V:$V,Weekly!AE$3&amp;Weekly!$B19&amp;Weekly!$B$3&amp;$B$2)</f>
        <v>0</v>
      </c>
      <c r="AF19" s="2">
        <f>COUNTIF(defects!$V:$V,Weekly!AF$3&amp;Weekly!$B19&amp;Weekly!$B$3&amp;$B$2)</f>
        <v>0</v>
      </c>
      <c r="AG19" s="2">
        <f>COUNTIF(defects!$V:$V,Weekly!AG$3&amp;Weekly!$B19&amp;Weekly!$B$3&amp;$B$2)</f>
        <v>0</v>
      </c>
      <c r="AH19" s="2">
        <f>COUNTIF(defects!$V:$V,Weekly!AH$3&amp;Weekly!$B19&amp;Weekly!$B$3&amp;$B$2)</f>
        <v>0</v>
      </c>
      <c r="AI19" s="2">
        <f>COUNTIF(defects!$V:$V,Weekly!AI$3&amp;Weekly!$B19&amp;Weekly!$B$3&amp;$B$2)</f>
        <v>0</v>
      </c>
      <c r="AJ19" s="2">
        <f>COUNTIF(defects!$V:$V,Weekly!AJ$3&amp;Weekly!$B19&amp;Weekly!$B$3&amp;$B$2)</f>
        <v>0</v>
      </c>
      <c r="AK19" s="2">
        <f>COUNTIF(defects!$V:$V,Weekly!AK$3&amp;Weekly!$B19&amp;Weekly!$B$3&amp;$B$2)</f>
        <v>0</v>
      </c>
      <c r="AL19" s="2">
        <f>COUNTIF(defects!$V:$V,Weekly!AL$3&amp;Weekly!$B19&amp;Weekly!$B$3&amp;$B$2)</f>
        <v>0</v>
      </c>
      <c r="AM19" s="2">
        <f>COUNTIF(defects!$V:$V,Weekly!AM$3&amp;Weekly!$B19&amp;Weekly!$B$3&amp;$B$2)</f>
        <v>0</v>
      </c>
      <c r="AN19" s="2">
        <f>COUNTIF(defects!$V:$V,Weekly!AN$3&amp;Weekly!$B19&amp;Weekly!$B$3&amp;$B$2)</f>
        <v>0</v>
      </c>
      <c r="AO19" s="2">
        <f>COUNTIF(defects!$V:$V,Weekly!AO$3&amp;Weekly!$B19&amp;Weekly!$B$3&amp;$B$2)</f>
        <v>0</v>
      </c>
      <c r="AP19" s="2">
        <f>COUNTIF(defects!$V:$V,Weekly!AP$3&amp;Weekly!$B19&amp;Weekly!$B$3&amp;$B$2)</f>
        <v>0</v>
      </c>
      <c r="AQ19" s="2">
        <f>COUNTIF(defects!$V:$V,Weekly!AQ$3&amp;Weekly!$B19&amp;Weekly!$B$3&amp;$B$2)</f>
        <v>0</v>
      </c>
      <c r="AR19" s="2">
        <f>COUNTIF(defects!$V:$V,Weekly!AR$3&amp;Weekly!$B19&amp;Weekly!$B$3&amp;$B$2)</f>
        <v>0</v>
      </c>
      <c r="AS19" s="2">
        <f>COUNTIF(defects!$V:$V,Weekly!AS$3&amp;Weekly!$B19&amp;Weekly!$B$3&amp;$B$2)</f>
        <v>0</v>
      </c>
      <c r="AT19" s="2">
        <f>COUNTIF(defects!$V:$V,Weekly!AT$3&amp;Weekly!$B19&amp;Weekly!$B$3&amp;$B$2)</f>
        <v>0</v>
      </c>
      <c r="AU19" s="2">
        <f>COUNTIF(defects!$V:$V,Weekly!AU$3&amp;Weekly!$B19&amp;Weekly!$B$3&amp;$B$2)</f>
        <v>0</v>
      </c>
      <c r="AV19" s="2">
        <f>COUNTIF(defects!$V:$V,Weekly!AV$3&amp;Weekly!$B19&amp;Weekly!$B$3&amp;$B$2)</f>
        <v>0</v>
      </c>
      <c r="AW19" s="2">
        <f>COUNTIF(defects!$V:$V,Weekly!AW$3&amp;Weekly!$B19&amp;Weekly!$B$3&amp;$B$2)</f>
        <v>0</v>
      </c>
      <c r="AX19" s="2">
        <f>COUNTIF(defects!$V:$V,Weekly!AX$3&amp;Weekly!$B19&amp;Weekly!$B$3&amp;$B$2)</f>
        <v>0</v>
      </c>
      <c r="AY19" s="2">
        <f>COUNTIF(defects!$V:$V,Weekly!AY$3&amp;Weekly!$B19&amp;Weekly!$B$3&amp;$B$2)</f>
        <v>0</v>
      </c>
      <c r="AZ19" s="2">
        <f>COUNTIF(defects!$V:$V,Weekly!AZ$3&amp;Weekly!$B19&amp;Weekly!$B$3&amp;$B$2)</f>
        <v>0</v>
      </c>
      <c r="BA19" s="2">
        <f>COUNTIF(defects!$V:$V,Weekly!BA$3&amp;Weekly!$B19&amp;Weekly!$B$3&amp;$B$2)</f>
        <v>0</v>
      </c>
      <c r="BB19" s="2">
        <f>COUNTIF(defects!$V:$V,Weekly!BB$3&amp;Weekly!$B19&amp;Weekly!$B$3&amp;$B$2)</f>
        <v>0</v>
      </c>
      <c r="BC19" s="2">
        <f>COUNTIF(defects!$V:$V,Weekly!BC$3&amp;Weekly!$B19&amp;Weekly!$B$3&amp;$B$2)</f>
        <v>0</v>
      </c>
      <c r="BD19" s="2">
        <f>COUNTIF(defects!$V:$V,Weekly!BD$3&amp;Weekly!$B19&amp;Weekly!$B$3&amp;$B$2)</f>
        <v>0</v>
      </c>
      <c r="BE19" s="2">
        <f>COUNTIF(defects!$V:$V,Weekly!BE$3&amp;Weekly!$B19&amp;Weekly!$B$3&amp;$B$2)</f>
        <v>0</v>
      </c>
      <c r="BF19" s="2">
        <f>COUNTIF(defects!$V:$V,Weekly!BF$3&amp;Weekly!$B19&amp;Weekly!$B$3&amp;$B$2)</f>
        <v>0</v>
      </c>
      <c r="BG19" s="2">
        <f>COUNTIF(defects!$V:$V,Weekly!BG$3&amp;Weekly!$B19&amp;Weekly!$B$3&amp;$B$2)</f>
        <v>0</v>
      </c>
      <c r="BH19" s="2">
        <f>COUNTIF(defects!$V:$V,Weekly!BH$3&amp;Weekly!$B19&amp;Weekly!$B$3&amp;$B$2)</f>
        <v>0</v>
      </c>
      <c r="BI19" s="2">
        <f>COUNTIF(defects!$V:$V,Weekly!BI$3&amp;Weekly!$B19&amp;Weekly!$B$3&amp;$B$2)</f>
        <v>0</v>
      </c>
      <c r="BJ19" s="2">
        <f>COUNTIF(defects!$V:$V,Weekly!BJ$3&amp;Weekly!$B19&amp;Weekly!$B$3&amp;$B$2)</f>
        <v>0</v>
      </c>
      <c r="BK19" s="2">
        <f>COUNTIF(defects!$V:$V,Weekly!BK$3&amp;Weekly!$B19&amp;Weekly!$B$3&amp;$B$2)</f>
        <v>0</v>
      </c>
      <c r="BL19" s="2">
        <f>COUNTIF(defects!$V:$V,Weekly!BL$3&amp;Weekly!$B19&amp;Weekly!$B$3&amp;$B$2)</f>
        <v>0</v>
      </c>
      <c r="BM19" s="2">
        <f>COUNTIF(defects!$V:$V,Weekly!BM$3&amp;Weekly!$B19&amp;Weekly!$B$3&amp;$B$2)</f>
        <v>0</v>
      </c>
      <c r="BN19" s="2">
        <f>COUNTIF(defects!$V:$V,Weekly!BN$3&amp;Weekly!$B19&amp;Weekly!$B$3&amp;$B$2)</f>
        <v>0</v>
      </c>
      <c r="BO19" s="2">
        <f>COUNTIF(defects!$V:$V,Weekly!BO$3&amp;Weekly!$B19&amp;Weekly!$B$3&amp;$B$2)</f>
        <v>0</v>
      </c>
      <c r="BP19" s="2">
        <f>COUNTIF(defects!$V:$V,Weekly!BP$3&amp;Weekly!$B19&amp;Weekly!$B$3&amp;$B$2)</f>
        <v>0</v>
      </c>
      <c r="BQ19" s="2">
        <f>COUNTIF(defects!$V:$V,Weekly!BQ$3&amp;Weekly!$B19&amp;Weekly!$B$3&amp;$B$2)</f>
        <v>0</v>
      </c>
      <c r="BR19" s="2">
        <f>COUNTIF(defects!$V:$V,Weekly!BR$3&amp;Weekly!$B19&amp;Weekly!$B$3&amp;$B$2)</f>
        <v>0</v>
      </c>
      <c r="BS19" s="2">
        <f>COUNTIF(defects!$V:$V,Weekly!BS$3&amp;Weekly!$B19&amp;Weekly!$B$3&amp;$B$2)</f>
        <v>0</v>
      </c>
      <c r="BT19" s="2">
        <f>COUNTIF(defects!$V:$V,Weekly!BT$3&amp;Weekly!$B19&amp;Weekly!$B$3&amp;$B$2)</f>
        <v>0</v>
      </c>
      <c r="BU19" s="2">
        <f>COUNTIF(defects!$V:$V,Weekly!BU$3&amp;Weekly!$B19&amp;Weekly!$B$3&amp;$B$2)</f>
        <v>0</v>
      </c>
      <c r="BV19" s="2">
        <f>COUNTIF(defects!$V:$V,Weekly!BV$3&amp;Weekly!$B19&amp;Weekly!$B$3&amp;$B$2)</f>
        <v>0</v>
      </c>
      <c r="BW19" s="2">
        <f>COUNTIF(defects!$V:$V,Weekly!BW$3&amp;Weekly!$B19&amp;Weekly!$B$3&amp;$B$2)</f>
        <v>1</v>
      </c>
      <c r="BX19" s="2">
        <f>COUNTIF(defects!$V:$V,Weekly!BX$3&amp;Weekly!$B19&amp;Weekly!$B$3&amp;$B$2)</f>
        <v>0</v>
      </c>
      <c r="BY19" s="2">
        <f>COUNTIF(defects!$V:$V,Weekly!BY$3&amp;Weekly!$B19&amp;Weekly!$B$3&amp;$B$2)</f>
        <v>0</v>
      </c>
      <c r="BZ19" s="2">
        <f>COUNTIF(defects!$V:$V,Weekly!BZ$3&amp;Weekly!$B19&amp;Weekly!$B$3&amp;$B$2)</f>
        <v>2</v>
      </c>
      <c r="CA19" s="2">
        <f>COUNTIF(defects!$V:$V,Weekly!CA$3&amp;Weekly!$B19&amp;Weekly!$B$3&amp;$B$2)</f>
        <v>0</v>
      </c>
      <c r="CB19" s="2">
        <f>COUNTIF(defects!$V:$V,Weekly!CB$3&amp;Weekly!$B19&amp;Weekly!$B$3&amp;$B$2)</f>
        <v>0</v>
      </c>
      <c r="CC19" s="2">
        <f>COUNTIF(defects!$V:$V,Weekly!CC$3&amp;Weekly!$B19&amp;Weekly!$B$3&amp;$B$2)</f>
        <v>2</v>
      </c>
      <c r="CD19" s="2">
        <f>COUNTIF(defects!$V:$V,Weekly!CD$3&amp;Weekly!$B19&amp;Weekly!$B$3&amp;$B$2)</f>
        <v>0</v>
      </c>
      <c r="CE19" s="2">
        <f>COUNTIF(defects!$V:$V,Weekly!CE$3&amp;Weekly!$B19&amp;Weekly!$B$3&amp;$B$2)</f>
        <v>0</v>
      </c>
      <c r="CF19" s="2">
        <f>COUNTIF(defects!$V:$V,Weekly!CF$3&amp;Weekly!$B19&amp;Weekly!$B$3&amp;$B$2)</f>
        <v>1</v>
      </c>
      <c r="CG19" s="2">
        <f>COUNTIF(defects!$V:$V,Weekly!CG$3&amp;Weekly!$B19&amp;Weekly!$B$3&amp;$B$2)</f>
        <v>1</v>
      </c>
      <c r="CH19" s="2">
        <f>COUNTIF(defects!$V:$V,Weekly!CH$3&amp;Weekly!$B19&amp;Weekly!$B$3&amp;$B$2)</f>
        <v>1</v>
      </c>
      <c r="CI19" s="2">
        <f>COUNTIF(defects!$V:$V,Weekly!CI$3&amp;Weekly!$B19&amp;Weekly!$B$3&amp;$B$2)</f>
        <v>1</v>
      </c>
      <c r="CJ19" s="2">
        <f>COUNTIF(defects!$V:$V,Weekly!CJ$3&amp;Weekly!$B19&amp;Weekly!$B$3&amp;$B$2)</f>
        <v>1</v>
      </c>
      <c r="CK19" s="2">
        <f>COUNTIF(defects!$V:$V,Weekly!CK$3&amp;Weekly!$B19&amp;Weekly!$B$3&amp;$B$2)</f>
        <v>0</v>
      </c>
      <c r="CL19" s="2">
        <f>COUNTIF(defects!$V:$V,Weekly!CL$3&amp;Weekly!$B19&amp;Weekly!$B$3&amp;$B$2)</f>
        <v>0</v>
      </c>
      <c r="CM19" s="2">
        <f>COUNTIF(defects!$V:$V,Weekly!CM$3&amp;Weekly!$B19&amp;Weekly!$B$3&amp;$B$2)</f>
        <v>0</v>
      </c>
      <c r="CN19" s="2">
        <f>COUNTIF(defects!$V:$V,Weekly!CN$3&amp;Weekly!$B19&amp;Weekly!$B$3&amp;$B$2)</f>
        <v>0</v>
      </c>
      <c r="CO19" s="2">
        <f>COUNTIF(defects!$V:$V,Weekly!CO$3&amp;Weekly!$B19&amp;Weekly!$B$3&amp;$B$2)</f>
        <v>0</v>
      </c>
      <c r="CP19" s="2">
        <f>COUNTIF(defects!$V:$V,Weekly!CP$3&amp;Weekly!$B19&amp;Weekly!$B$3&amp;$B$2)</f>
        <v>0</v>
      </c>
      <c r="CQ19" s="2">
        <f>COUNTIF(defects!$V:$V,Weekly!CQ$3&amp;Weekly!$B19&amp;Weekly!$B$3&amp;$B$2)</f>
        <v>0</v>
      </c>
      <c r="CR19" s="2">
        <f>COUNTIF(defects!$V:$V,Weekly!CR$3&amp;Weekly!$B19&amp;Weekly!$B$3&amp;$B$2)</f>
        <v>0</v>
      </c>
      <c r="CS19" s="2">
        <f>COUNTIF(defects!$V:$V,Weekly!CS$3&amp;Weekly!$B19&amp;Weekly!$B$3&amp;$B$2)</f>
        <v>0</v>
      </c>
      <c r="CT19" s="2">
        <f>COUNTIF(defects!$V:$V,Weekly!CT$3&amp;Weekly!$B19&amp;Weekly!$B$3&amp;$B$2)</f>
        <v>0</v>
      </c>
      <c r="CU19" s="2">
        <f>COUNTIF(defects!$V:$V,Weekly!CU$3&amp;Weekly!$B19&amp;Weekly!$B$3&amp;$B$2)</f>
        <v>0</v>
      </c>
      <c r="CV19" s="2">
        <f>COUNTIF(defects!$V:$V,Weekly!CV$3&amp;Weekly!$B19&amp;Weekly!$B$3&amp;$B$2)</f>
        <v>0</v>
      </c>
      <c r="CW19" s="2">
        <f>COUNTIF(defects!$V:$V,Weekly!CW$3&amp;Weekly!$B19&amp;Weekly!$B$3&amp;$B$2)</f>
        <v>0</v>
      </c>
      <c r="CX19" s="2">
        <f>COUNTIF(defects!$V:$V,Weekly!CX$3&amp;Weekly!$B19&amp;Weekly!$B$3&amp;$B$2)</f>
        <v>0</v>
      </c>
      <c r="CY19" s="2">
        <f>COUNTIF(defects!$V:$V,Weekly!CY$3&amp;Weekly!$B19&amp;Weekly!$B$3&amp;$B$2)</f>
        <v>0</v>
      </c>
      <c r="CZ19" s="2">
        <f>COUNTIF(defects!$V:$V,Weekly!CZ$3&amp;Weekly!$B19&amp;Weekly!$B$3&amp;$B$2)</f>
        <v>0</v>
      </c>
      <c r="DA19" s="2">
        <f>COUNTIF(defects!$V:$V,Weekly!DA$3&amp;Weekly!$B19&amp;Weekly!$B$3&amp;$B$2)</f>
        <v>0</v>
      </c>
      <c r="DB19" s="2">
        <f>COUNTIF(defects!$V:$V,Weekly!DB$3&amp;Weekly!$B19&amp;Weekly!$B$3&amp;$B$2)</f>
        <v>0</v>
      </c>
      <c r="DC19" s="2">
        <f>COUNTIF(defects!$V:$V,Weekly!DC$3&amp;Weekly!$B19&amp;Weekly!$B$3&amp;$B$2)</f>
        <v>0</v>
      </c>
      <c r="DD19" s="2">
        <f>COUNTIF(defects!$V:$V,Weekly!DD$3&amp;Weekly!$B19&amp;Weekly!$B$3&amp;$B$2)</f>
        <v>0</v>
      </c>
      <c r="DE19" s="2">
        <f>COUNTIF(defects!$V:$V,Weekly!DE$3&amp;Weekly!$B19&amp;Weekly!$B$3&amp;$B$2)</f>
        <v>0</v>
      </c>
      <c r="DF19" s="2">
        <f>COUNTIF(defects!$V:$V,Weekly!DF$3&amp;Weekly!$B19&amp;Weekly!$B$3&amp;$B$2)</f>
        <v>0</v>
      </c>
      <c r="DG19" s="2">
        <f>COUNTIF(defects!$V:$V,Weekly!DG$3&amp;Weekly!$B19&amp;Weekly!$B$3&amp;$B$2)</f>
        <v>0</v>
      </c>
      <c r="DH19" s="2">
        <f>COUNTIF(defects!$V:$V,Weekly!DH$3&amp;Weekly!$B19&amp;Weekly!$B$3&amp;$B$2)</f>
        <v>0</v>
      </c>
      <c r="DI19" s="2">
        <f>COUNTIF(defects!$V:$V,Weekly!DI$3&amp;Weekly!$B19&amp;Weekly!$B$3&amp;$B$2)</f>
        <v>0</v>
      </c>
      <c r="DJ19" s="2">
        <f>COUNTIF(defects!$V:$V,Weekly!DJ$3&amp;Weekly!$B19&amp;Weekly!$B$3&amp;$B$2)</f>
        <v>0</v>
      </c>
      <c r="DK19" s="2">
        <f>COUNTIF(defects!$V:$V,Weekly!DK$3&amp;Weekly!$B19&amp;Weekly!$B$3&amp;$B$2)</f>
        <v>0</v>
      </c>
      <c r="DL19" s="2">
        <f>COUNTIF(defects!$V:$V,Weekly!DL$3&amp;Weekly!$B19&amp;Weekly!$B$3&amp;$B$2)</f>
        <v>0</v>
      </c>
      <c r="DM19" s="2">
        <f>COUNTIF(defects!$V:$V,Weekly!DM$3&amp;Weekly!$B19&amp;Weekly!$B$3&amp;$B$2)</f>
        <v>0</v>
      </c>
      <c r="DN19" s="2">
        <f>COUNTIF(defects!$V:$V,Weekly!DN$3&amp;Weekly!$B19&amp;Weekly!$B$3&amp;$B$2)</f>
        <v>0</v>
      </c>
      <c r="DO19" s="2">
        <f>COUNTIF(defects!$V:$V,Weekly!DO$3&amp;Weekly!$B19&amp;Weekly!$B$3&amp;$B$2)</f>
        <v>0</v>
      </c>
      <c r="DP19" s="2">
        <f>COUNTIF(defects!$V:$V,Weekly!DP$3&amp;Weekly!$B19&amp;Weekly!$B$3&amp;$B$2)</f>
        <v>0</v>
      </c>
      <c r="DQ19" s="2">
        <f>COUNTIF(defects!$V:$V,Weekly!DQ$3&amp;Weekly!$B19&amp;Weekly!$B$3&amp;$B$2)</f>
        <v>0</v>
      </c>
      <c r="DR19" s="2">
        <f>COUNTIF(defects!$V:$V,Weekly!DR$3&amp;Weekly!$B19&amp;Weekly!$B$3&amp;$B$2)</f>
        <v>0</v>
      </c>
      <c r="DS19" s="2">
        <f>COUNTIF(defects!$V:$V,Weekly!DS$3&amp;Weekly!$B19&amp;Weekly!$B$3&amp;$B$2)</f>
        <v>0</v>
      </c>
      <c r="DT19" s="2">
        <f>COUNTIF(defects!$V:$V,Weekly!DT$3&amp;Weekly!$B19&amp;Weekly!$B$3&amp;$B$2)</f>
        <v>0</v>
      </c>
      <c r="DU19" s="2">
        <f>COUNTIF(defects!$V:$V,Weekly!DU$3&amp;Weekly!$B19&amp;Weekly!$B$3&amp;$B$2)</f>
        <v>0</v>
      </c>
      <c r="DV19" s="2">
        <f>COUNTIF(defects!$V:$V,Weekly!DV$3&amp;Weekly!$B19&amp;Weekly!$B$3&amp;$B$2)</f>
        <v>0</v>
      </c>
      <c r="DW19" s="2">
        <f>COUNTIF(defects!$V:$V,Weekly!DW$3&amp;Weekly!$B19&amp;Weekly!$B$3&amp;$B$2)</f>
        <v>0</v>
      </c>
      <c r="DX19" s="2">
        <f>COUNTIF(defects!$V:$V,Weekly!DX$3&amp;Weekly!$B19&amp;Weekly!$B$3&amp;$B$2)</f>
        <v>0</v>
      </c>
      <c r="DY19" s="2">
        <f>COUNTIF(defects!$V:$V,Weekly!DY$3&amp;Weekly!$B19&amp;Weekly!$B$3&amp;$B$2)</f>
        <v>0</v>
      </c>
      <c r="DZ19" s="2">
        <f>COUNTIF(defects!$V:$V,Weekly!DZ$3&amp;Weekly!$B19&amp;Weekly!$B$3&amp;$B$2)</f>
        <v>0</v>
      </c>
      <c r="EA19" s="2">
        <f>COUNTIF(defects!$V:$V,Weekly!EA$3&amp;Weekly!$B19&amp;Weekly!$B$3&amp;$B$2)</f>
        <v>0</v>
      </c>
      <c r="EB19" s="2">
        <f>COUNTIF(defects!$V:$V,Weekly!EB$3&amp;Weekly!$B19&amp;Weekly!$B$3&amp;$B$2)</f>
        <v>0</v>
      </c>
      <c r="EC19" s="2">
        <f>COUNTIF(defects!$V:$V,Weekly!EC$3&amp;Weekly!$B19&amp;Weekly!$B$3&amp;$B$2)</f>
        <v>0</v>
      </c>
      <c r="ED19" s="2">
        <f>COUNTIF(defects!$V:$V,Weekly!ED$3&amp;Weekly!$B19&amp;Weekly!$B$3&amp;$B$2)</f>
        <v>0</v>
      </c>
      <c r="EE19" s="2">
        <f>COUNTIF(defects!$V:$V,Weekly!EE$3&amp;Weekly!$B19&amp;Weekly!$B$3&amp;$B$2)</f>
        <v>0</v>
      </c>
      <c r="EF19" s="2">
        <f>COUNTIF(defects!$V:$V,Weekly!EF$3&amp;Weekly!$B19&amp;Weekly!$B$3&amp;$B$2)</f>
        <v>0</v>
      </c>
      <c r="EG19" s="2">
        <f>COUNTIF(defects!$V:$V,Weekly!EG$3&amp;Weekly!$B19&amp;Weekly!$B$3&amp;$B$2)</f>
        <v>0</v>
      </c>
      <c r="EH19" s="2">
        <f>COUNTIF(defects!$V:$V,Weekly!EH$3&amp;Weekly!$B19&amp;Weekly!$B$3&amp;$B$2)</f>
        <v>0</v>
      </c>
      <c r="EI19" s="2">
        <f>COUNTIF(defects!$V:$V,Weekly!EI$3&amp;Weekly!$B19&amp;Weekly!$B$3&amp;$B$2)</f>
        <v>0</v>
      </c>
      <c r="EJ19" s="2">
        <f>COUNTIF(defects!$V:$V,Weekly!EJ$3&amp;Weekly!$B19&amp;Weekly!$B$3&amp;$B$2)</f>
        <v>0</v>
      </c>
      <c r="EK19" s="2">
        <f>COUNTIF(defects!$V:$V,Weekly!EK$3&amp;Weekly!$B19&amp;Weekly!$B$3&amp;$B$2)</f>
        <v>0</v>
      </c>
      <c r="EL19" s="2">
        <f>COUNTIF(defects!$V:$V,Weekly!EL$3&amp;Weekly!$B19&amp;Weekly!$B$3&amp;$B$2)</f>
        <v>0</v>
      </c>
      <c r="EM19" s="2">
        <f>COUNTIF(defects!$V:$V,Weekly!EM$3&amp;Weekly!$B19&amp;Weekly!$B$3&amp;$B$2)</f>
        <v>0</v>
      </c>
      <c r="EN19" s="2">
        <f>COUNTIF(defects!$V:$V,Weekly!EN$3&amp;Weekly!$B19&amp;Weekly!$B$3&amp;$B$2)</f>
        <v>0</v>
      </c>
      <c r="EO19" s="2">
        <f>COUNTIF(defects!$V:$V,Weekly!EO$3&amp;Weekly!$B19&amp;Weekly!$B$3&amp;$B$2)</f>
        <v>0</v>
      </c>
      <c r="EP19" s="2">
        <f>COUNTIF(defects!$V:$V,Weekly!EP$3&amp;Weekly!$B19&amp;Weekly!$B$3&amp;$B$2)</f>
        <v>0</v>
      </c>
      <c r="EQ19" s="2">
        <f>COUNTIF(defects!$V:$V,Weekly!EQ$3&amp;Weekly!$B19&amp;Weekly!$B$3&amp;$B$2)</f>
        <v>0</v>
      </c>
      <c r="ER19" s="2">
        <f>COUNTIF(defects!$V:$V,Weekly!ER$3&amp;Weekly!$B19&amp;Weekly!$B$3&amp;$B$2)</f>
        <v>0</v>
      </c>
      <c r="ES19" s="2">
        <f>COUNTIF(defects!$V:$V,Weekly!ES$3&amp;Weekly!$B19&amp;Weekly!$B$3&amp;$B$2)</f>
        <v>0</v>
      </c>
      <c r="ET19" s="2">
        <f>COUNTIF(defects!$V:$V,Weekly!ET$3&amp;Weekly!$B19&amp;Weekly!$B$3&amp;$B$2)</f>
        <v>0</v>
      </c>
      <c r="EU19" s="2">
        <f>COUNTIF(defects!$V:$V,Weekly!EU$3&amp;Weekly!$B19&amp;Weekly!$B$3&amp;$B$2)</f>
        <v>0</v>
      </c>
      <c r="EV19" s="2">
        <f>COUNTIF(defects!$V:$V,Weekly!EV$3&amp;Weekly!$B19&amp;Weekly!$B$3&amp;$B$2)</f>
        <v>0</v>
      </c>
      <c r="EW19" s="2">
        <f>COUNTIF(defects!$V:$V,Weekly!EW$3&amp;Weekly!$B19&amp;Weekly!$B$3&amp;$B$2)</f>
        <v>0</v>
      </c>
      <c r="EX19" s="2">
        <f>COUNTIF(defects!$V:$V,Weekly!EX$3&amp;Weekly!$B19&amp;Weekly!$B$3&amp;$B$2)</f>
        <v>0</v>
      </c>
      <c r="EY19" s="2">
        <f>COUNTIF(defects!$V:$V,Weekly!EY$3&amp;Weekly!$B19&amp;Weekly!$B$3&amp;$B$2)</f>
        <v>0</v>
      </c>
      <c r="EZ19" s="2">
        <f>COUNTIF(defects!$V:$V,Weekly!EZ$3&amp;Weekly!$B19&amp;Weekly!$B$3&amp;$B$2)</f>
        <v>0</v>
      </c>
      <c r="FA19" s="2">
        <f>COUNTIF(defects!$V:$V,Weekly!FA$3&amp;Weekly!$B19&amp;Weekly!$B$3&amp;$B$2)</f>
        <v>0</v>
      </c>
      <c r="FB19" s="2">
        <f>COUNTIF(defects!$V:$V,Weekly!FB$3&amp;Weekly!$B19&amp;Weekly!$B$3&amp;$B$2)</f>
        <v>0</v>
      </c>
      <c r="FC19" s="2">
        <f>COUNTIF(defects!$V:$V,Weekly!FC$3&amp;Weekly!$B19&amp;Weekly!$B$3&amp;$B$2)</f>
        <v>0</v>
      </c>
      <c r="FD19" s="2">
        <f>COUNTIF(defects!$V:$V,Weekly!FD$3&amp;Weekly!$B19&amp;Weekly!$B$3&amp;$B$2)</f>
        <v>0</v>
      </c>
      <c r="FE19" s="2">
        <f>COUNTIF(defects!$V:$V,Weekly!FE$3&amp;Weekly!$B19&amp;Weekly!$B$3&amp;$B$2)</f>
        <v>0</v>
      </c>
    </row>
    <row r="20" spans="2:161" x14ac:dyDescent="0.35">
      <c r="B20" s="3" t="s">
        <v>1383</v>
      </c>
      <c r="C20" s="2">
        <f>COUNTIF(defects!$V:$V,Weekly!C$3&amp;Weekly!$B20&amp;Weekly!$B$3&amp;$B$2)</f>
        <v>0</v>
      </c>
      <c r="D20" s="2">
        <f>COUNTIF(defects!$V:$V,Weekly!D$3&amp;Weekly!$B20&amp;Weekly!$B$3&amp;$B$2)</f>
        <v>0</v>
      </c>
      <c r="E20" s="2">
        <f>COUNTIF(defects!$V:$V,Weekly!E$3&amp;Weekly!$B20&amp;Weekly!$B$3&amp;$B$2)</f>
        <v>0</v>
      </c>
      <c r="F20" s="2">
        <f>COUNTIF(defects!$V:$V,Weekly!F$3&amp;Weekly!$B20&amp;Weekly!$B$3&amp;$B$2)</f>
        <v>0</v>
      </c>
      <c r="G20" s="2">
        <f>COUNTIF(defects!$V:$V,Weekly!G$3&amp;Weekly!$B20&amp;Weekly!$B$3&amp;$B$2)</f>
        <v>0</v>
      </c>
      <c r="H20" s="2">
        <f>COUNTIF(defects!$V:$V,Weekly!H$3&amp;Weekly!$B20&amp;Weekly!$B$3&amp;$B$2)</f>
        <v>0</v>
      </c>
      <c r="I20" s="2">
        <f>COUNTIF(defects!$V:$V,Weekly!I$3&amp;Weekly!$B20&amp;Weekly!$B$3&amp;$B$2)</f>
        <v>0</v>
      </c>
      <c r="J20" s="2">
        <f>COUNTIF(defects!$V:$V,Weekly!J$3&amp;Weekly!$B20&amp;Weekly!$B$3&amp;$B$2)</f>
        <v>0</v>
      </c>
      <c r="K20" s="2">
        <f>COUNTIF(defects!$V:$V,Weekly!K$3&amp;Weekly!$B20&amp;Weekly!$B$3&amp;$B$2)</f>
        <v>0</v>
      </c>
      <c r="L20" s="2">
        <f>COUNTIF(defects!$V:$V,Weekly!L$3&amp;Weekly!$B20&amp;Weekly!$B$3&amp;$B$2)</f>
        <v>0</v>
      </c>
      <c r="M20" s="2">
        <f>COUNTIF(defects!$V:$V,Weekly!M$3&amp;Weekly!$B20&amp;Weekly!$B$3&amp;$B$2)</f>
        <v>0</v>
      </c>
      <c r="N20" s="2">
        <f>COUNTIF(defects!$V:$V,Weekly!N$3&amp;Weekly!$B20&amp;Weekly!$B$3&amp;$B$2)</f>
        <v>0</v>
      </c>
      <c r="O20" s="2">
        <f>COUNTIF(defects!$V:$V,Weekly!O$3&amp;Weekly!$B20&amp;Weekly!$B$3&amp;$B$2)</f>
        <v>0</v>
      </c>
      <c r="P20" s="2">
        <f>COUNTIF(defects!$V:$V,Weekly!P$3&amp;Weekly!$B20&amp;Weekly!$B$3&amp;$B$2)</f>
        <v>0</v>
      </c>
      <c r="Q20" s="2">
        <f>COUNTIF(defects!$V:$V,Weekly!Q$3&amp;Weekly!$B20&amp;Weekly!$B$3&amp;$B$2)</f>
        <v>0</v>
      </c>
      <c r="R20" s="2">
        <f>COUNTIF(defects!$V:$V,Weekly!R$3&amp;Weekly!$B20&amp;Weekly!$B$3&amp;$B$2)</f>
        <v>0</v>
      </c>
      <c r="S20" s="2">
        <f>COUNTIF(defects!$V:$V,Weekly!S$3&amp;Weekly!$B20&amp;Weekly!$B$3&amp;$B$2)</f>
        <v>0</v>
      </c>
      <c r="T20" s="2">
        <f>COUNTIF(defects!$V:$V,Weekly!T$3&amp;Weekly!$B20&amp;Weekly!$B$3&amp;$B$2)</f>
        <v>0</v>
      </c>
      <c r="U20" s="2">
        <f>COUNTIF(defects!$V:$V,Weekly!U$3&amp;Weekly!$B20&amp;Weekly!$B$3&amp;$B$2)</f>
        <v>0</v>
      </c>
      <c r="V20" s="2">
        <f>COUNTIF(defects!$V:$V,Weekly!V$3&amp;Weekly!$B20&amp;Weekly!$B$3&amp;$B$2)</f>
        <v>0</v>
      </c>
      <c r="W20" s="2">
        <f>COUNTIF(defects!$V:$V,Weekly!W$3&amp;Weekly!$B20&amp;Weekly!$B$3&amp;$B$2)</f>
        <v>0</v>
      </c>
      <c r="X20" s="2">
        <f>COUNTIF(defects!$V:$V,Weekly!X$3&amp;Weekly!$B20&amp;Weekly!$B$3&amp;$B$2)</f>
        <v>0</v>
      </c>
      <c r="Y20" s="2">
        <f>COUNTIF(defects!$V:$V,Weekly!Y$3&amp;Weekly!$B20&amp;Weekly!$B$3&amp;$B$2)</f>
        <v>0</v>
      </c>
      <c r="Z20" s="2">
        <f>COUNTIF(defects!$V:$V,Weekly!Z$3&amp;Weekly!$B20&amp;Weekly!$B$3&amp;$B$2)</f>
        <v>0</v>
      </c>
      <c r="AA20" s="2">
        <f>COUNTIF(defects!$V:$V,Weekly!AA$3&amp;Weekly!$B20&amp;Weekly!$B$3&amp;$B$2)</f>
        <v>0</v>
      </c>
      <c r="AB20" s="2">
        <f>COUNTIF(defects!$V:$V,Weekly!AB$3&amp;Weekly!$B20&amp;Weekly!$B$3&amp;$B$2)</f>
        <v>0</v>
      </c>
      <c r="AC20" s="2">
        <f>COUNTIF(defects!$V:$V,Weekly!AC$3&amp;Weekly!$B20&amp;Weekly!$B$3&amp;$B$2)</f>
        <v>0</v>
      </c>
      <c r="AD20" s="2">
        <f>COUNTIF(defects!$V:$V,Weekly!AD$3&amp;Weekly!$B20&amp;Weekly!$B$3&amp;$B$2)</f>
        <v>0</v>
      </c>
      <c r="AE20" s="2">
        <f>COUNTIF(defects!$V:$V,Weekly!AE$3&amp;Weekly!$B20&amp;Weekly!$B$3&amp;$B$2)</f>
        <v>0</v>
      </c>
      <c r="AF20" s="2">
        <f>COUNTIF(defects!$V:$V,Weekly!AF$3&amp;Weekly!$B20&amp;Weekly!$B$3&amp;$B$2)</f>
        <v>0</v>
      </c>
      <c r="AG20" s="2">
        <f>COUNTIF(defects!$V:$V,Weekly!AG$3&amp;Weekly!$B20&amp;Weekly!$B$3&amp;$B$2)</f>
        <v>0</v>
      </c>
      <c r="AH20" s="2">
        <f>COUNTIF(defects!$V:$V,Weekly!AH$3&amp;Weekly!$B20&amp;Weekly!$B$3&amp;$B$2)</f>
        <v>0</v>
      </c>
      <c r="AI20" s="2">
        <f>COUNTIF(defects!$V:$V,Weekly!AI$3&amp;Weekly!$B20&amp;Weekly!$B$3&amp;$B$2)</f>
        <v>0</v>
      </c>
      <c r="AJ20" s="2">
        <f>COUNTIF(defects!$V:$V,Weekly!AJ$3&amp;Weekly!$B20&amp;Weekly!$B$3&amp;$B$2)</f>
        <v>0</v>
      </c>
      <c r="AK20" s="2">
        <f>COUNTIF(defects!$V:$V,Weekly!AK$3&amp;Weekly!$B20&amp;Weekly!$B$3&amp;$B$2)</f>
        <v>0</v>
      </c>
      <c r="AL20" s="2">
        <f>COUNTIF(defects!$V:$V,Weekly!AL$3&amp;Weekly!$B20&amp;Weekly!$B$3&amp;$B$2)</f>
        <v>0</v>
      </c>
      <c r="AM20" s="2">
        <f>COUNTIF(defects!$V:$V,Weekly!AM$3&amp;Weekly!$B20&amp;Weekly!$B$3&amp;$B$2)</f>
        <v>0</v>
      </c>
      <c r="AN20" s="2">
        <f>COUNTIF(defects!$V:$V,Weekly!AN$3&amp;Weekly!$B20&amp;Weekly!$B$3&amp;$B$2)</f>
        <v>0</v>
      </c>
      <c r="AO20" s="2">
        <f>COUNTIF(defects!$V:$V,Weekly!AO$3&amp;Weekly!$B20&amp;Weekly!$B$3&amp;$B$2)</f>
        <v>0</v>
      </c>
      <c r="AP20" s="2">
        <f>COUNTIF(defects!$V:$V,Weekly!AP$3&amp;Weekly!$B20&amp;Weekly!$B$3&amp;$B$2)</f>
        <v>0</v>
      </c>
      <c r="AQ20" s="2">
        <f>COUNTIF(defects!$V:$V,Weekly!AQ$3&amp;Weekly!$B20&amp;Weekly!$B$3&amp;$B$2)</f>
        <v>0</v>
      </c>
      <c r="AR20" s="2">
        <f>COUNTIF(defects!$V:$V,Weekly!AR$3&amp;Weekly!$B20&amp;Weekly!$B$3&amp;$B$2)</f>
        <v>0</v>
      </c>
      <c r="AS20" s="2">
        <f>COUNTIF(defects!$V:$V,Weekly!AS$3&amp;Weekly!$B20&amp;Weekly!$B$3&amp;$B$2)</f>
        <v>0</v>
      </c>
      <c r="AT20" s="2">
        <f>COUNTIF(defects!$V:$V,Weekly!AT$3&amp;Weekly!$B20&amp;Weekly!$B$3&amp;$B$2)</f>
        <v>0</v>
      </c>
      <c r="AU20" s="2">
        <f>COUNTIF(defects!$V:$V,Weekly!AU$3&amp;Weekly!$B20&amp;Weekly!$B$3&amp;$B$2)</f>
        <v>0</v>
      </c>
      <c r="AV20" s="2">
        <f>COUNTIF(defects!$V:$V,Weekly!AV$3&amp;Weekly!$B20&amp;Weekly!$B$3&amp;$B$2)</f>
        <v>0</v>
      </c>
      <c r="AW20" s="2">
        <f>COUNTIF(defects!$V:$V,Weekly!AW$3&amp;Weekly!$B20&amp;Weekly!$B$3&amp;$B$2)</f>
        <v>0</v>
      </c>
      <c r="AX20" s="2">
        <f>COUNTIF(defects!$V:$V,Weekly!AX$3&amp;Weekly!$B20&amp;Weekly!$B$3&amp;$B$2)</f>
        <v>0</v>
      </c>
      <c r="AY20" s="2">
        <f>COUNTIF(defects!$V:$V,Weekly!AY$3&amp;Weekly!$B20&amp;Weekly!$B$3&amp;$B$2)</f>
        <v>0</v>
      </c>
      <c r="AZ20" s="2">
        <f>COUNTIF(defects!$V:$V,Weekly!AZ$3&amp;Weekly!$B20&amp;Weekly!$B$3&amp;$B$2)</f>
        <v>0</v>
      </c>
      <c r="BA20" s="2">
        <f>COUNTIF(defects!$V:$V,Weekly!BA$3&amp;Weekly!$B20&amp;Weekly!$B$3&amp;$B$2)</f>
        <v>0</v>
      </c>
      <c r="BB20" s="2">
        <f>COUNTIF(defects!$V:$V,Weekly!BB$3&amp;Weekly!$B20&amp;Weekly!$B$3&amp;$B$2)</f>
        <v>0</v>
      </c>
      <c r="BC20" s="2">
        <f>COUNTIF(defects!$V:$V,Weekly!BC$3&amp;Weekly!$B20&amp;Weekly!$B$3&amp;$B$2)</f>
        <v>0</v>
      </c>
      <c r="BD20" s="2">
        <f>COUNTIF(defects!$V:$V,Weekly!BD$3&amp;Weekly!$B20&amp;Weekly!$B$3&amp;$B$2)</f>
        <v>0</v>
      </c>
      <c r="BE20" s="2">
        <f>COUNTIF(defects!$V:$V,Weekly!BE$3&amp;Weekly!$B20&amp;Weekly!$B$3&amp;$B$2)</f>
        <v>0</v>
      </c>
      <c r="BF20" s="2">
        <f>COUNTIF(defects!$V:$V,Weekly!BF$3&amp;Weekly!$B20&amp;Weekly!$B$3&amp;$B$2)</f>
        <v>0</v>
      </c>
      <c r="BG20" s="2">
        <f>COUNTIF(defects!$V:$V,Weekly!BG$3&amp;Weekly!$B20&amp;Weekly!$B$3&amp;$B$2)</f>
        <v>0</v>
      </c>
      <c r="BH20" s="2">
        <f>COUNTIF(defects!$V:$V,Weekly!BH$3&amp;Weekly!$B20&amp;Weekly!$B$3&amp;$B$2)</f>
        <v>0</v>
      </c>
      <c r="BI20" s="2">
        <f>COUNTIF(defects!$V:$V,Weekly!BI$3&amp;Weekly!$B20&amp;Weekly!$B$3&amp;$B$2)</f>
        <v>0</v>
      </c>
      <c r="BJ20" s="2">
        <f>COUNTIF(defects!$V:$V,Weekly!BJ$3&amp;Weekly!$B20&amp;Weekly!$B$3&amp;$B$2)</f>
        <v>0</v>
      </c>
      <c r="BK20" s="2">
        <f>COUNTIF(defects!$V:$V,Weekly!BK$3&amp;Weekly!$B20&amp;Weekly!$B$3&amp;$B$2)</f>
        <v>0</v>
      </c>
      <c r="BL20" s="2">
        <f>COUNTIF(defects!$V:$V,Weekly!BL$3&amp;Weekly!$B20&amp;Weekly!$B$3&amp;$B$2)</f>
        <v>0</v>
      </c>
      <c r="BM20" s="2">
        <f>COUNTIF(defects!$V:$V,Weekly!BM$3&amp;Weekly!$B20&amp;Weekly!$B$3&amp;$B$2)</f>
        <v>0</v>
      </c>
      <c r="BN20" s="2">
        <f>COUNTIF(defects!$V:$V,Weekly!BN$3&amp;Weekly!$B20&amp;Weekly!$B$3&amp;$B$2)</f>
        <v>0</v>
      </c>
      <c r="BO20" s="2">
        <f>COUNTIF(defects!$V:$V,Weekly!BO$3&amp;Weekly!$B20&amp;Weekly!$B$3&amp;$B$2)</f>
        <v>0</v>
      </c>
      <c r="BP20" s="2">
        <f>COUNTIF(defects!$V:$V,Weekly!BP$3&amp;Weekly!$B20&amp;Weekly!$B$3&amp;$B$2)</f>
        <v>0</v>
      </c>
      <c r="BQ20" s="2">
        <f>COUNTIF(defects!$V:$V,Weekly!BQ$3&amp;Weekly!$B20&amp;Weekly!$B$3&amp;$B$2)</f>
        <v>0</v>
      </c>
      <c r="BR20" s="2">
        <f>COUNTIF(defects!$V:$V,Weekly!BR$3&amp;Weekly!$B20&amp;Weekly!$B$3&amp;$B$2)</f>
        <v>0</v>
      </c>
      <c r="BS20" s="2">
        <f>COUNTIF(defects!$V:$V,Weekly!BS$3&amp;Weekly!$B20&amp;Weekly!$B$3&amp;$B$2)</f>
        <v>0</v>
      </c>
      <c r="BT20" s="2">
        <f>COUNTIF(defects!$V:$V,Weekly!BT$3&amp;Weekly!$B20&amp;Weekly!$B$3&amp;$B$2)</f>
        <v>0</v>
      </c>
      <c r="BU20" s="2">
        <f>COUNTIF(defects!$V:$V,Weekly!BU$3&amp;Weekly!$B20&amp;Weekly!$B$3&amp;$B$2)</f>
        <v>0</v>
      </c>
      <c r="BV20" s="2">
        <f>COUNTIF(defects!$V:$V,Weekly!BV$3&amp;Weekly!$B20&amp;Weekly!$B$3&amp;$B$2)</f>
        <v>0</v>
      </c>
      <c r="BW20" s="2">
        <f>COUNTIF(defects!$V:$V,Weekly!BW$3&amp;Weekly!$B20&amp;Weekly!$B$3&amp;$B$2)</f>
        <v>0</v>
      </c>
      <c r="BX20" s="2">
        <f>COUNTIF(defects!$V:$V,Weekly!BX$3&amp;Weekly!$B20&amp;Weekly!$B$3&amp;$B$2)</f>
        <v>0</v>
      </c>
      <c r="BY20" s="2">
        <f>COUNTIF(defects!$V:$V,Weekly!BY$3&amp;Weekly!$B20&amp;Weekly!$B$3&amp;$B$2)</f>
        <v>0</v>
      </c>
      <c r="BZ20" s="2">
        <f>COUNTIF(defects!$V:$V,Weekly!BZ$3&amp;Weekly!$B20&amp;Weekly!$B$3&amp;$B$2)</f>
        <v>0</v>
      </c>
      <c r="CA20" s="2">
        <f>COUNTIF(defects!$V:$V,Weekly!CA$3&amp;Weekly!$B20&amp;Weekly!$B$3&amp;$B$2)</f>
        <v>0</v>
      </c>
      <c r="CB20" s="2">
        <f>COUNTIF(defects!$V:$V,Weekly!CB$3&amp;Weekly!$B20&amp;Weekly!$B$3&amp;$B$2)</f>
        <v>0</v>
      </c>
      <c r="CC20" s="2">
        <f>COUNTIF(defects!$V:$V,Weekly!CC$3&amp;Weekly!$B20&amp;Weekly!$B$3&amp;$B$2)</f>
        <v>0</v>
      </c>
      <c r="CD20" s="2">
        <f>COUNTIF(defects!$V:$V,Weekly!CD$3&amp;Weekly!$B20&amp;Weekly!$B$3&amp;$B$2)</f>
        <v>0</v>
      </c>
      <c r="CE20" s="2">
        <f>COUNTIF(defects!$V:$V,Weekly!CE$3&amp;Weekly!$B20&amp;Weekly!$B$3&amp;$B$2)</f>
        <v>0</v>
      </c>
      <c r="CF20" s="2">
        <f>COUNTIF(defects!$V:$V,Weekly!CF$3&amp;Weekly!$B20&amp;Weekly!$B$3&amp;$B$2)</f>
        <v>0</v>
      </c>
      <c r="CG20" s="2">
        <f>COUNTIF(defects!$V:$V,Weekly!CG$3&amp;Weekly!$B20&amp;Weekly!$B$3&amp;$B$2)</f>
        <v>0</v>
      </c>
      <c r="CH20" s="2">
        <f>COUNTIF(defects!$V:$V,Weekly!CH$3&amp;Weekly!$B20&amp;Weekly!$B$3&amp;$B$2)</f>
        <v>0</v>
      </c>
      <c r="CI20" s="2">
        <f>COUNTIF(defects!$V:$V,Weekly!CI$3&amp;Weekly!$B20&amp;Weekly!$B$3&amp;$B$2)</f>
        <v>0</v>
      </c>
      <c r="CJ20" s="2">
        <f>COUNTIF(defects!$V:$V,Weekly!CJ$3&amp;Weekly!$B20&amp;Weekly!$B$3&amp;$B$2)</f>
        <v>0</v>
      </c>
      <c r="CK20" s="2">
        <f>COUNTIF(defects!$V:$V,Weekly!CK$3&amp;Weekly!$B20&amp;Weekly!$B$3&amp;$B$2)</f>
        <v>0</v>
      </c>
      <c r="CL20" s="2">
        <f>COUNTIF(defects!$V:$V,Weekly!CL$3&amp;Weekly!$B20&amp;Weekly!$B$3&amp;$B$2)</f>
        <v>0</v>
      </c>
      <c r="CM20" s="2">
        <f>COUNTIF(defects!$V:$V,Weekly!CM$3&amp;Weekly!$B20&amp;Weekly!$B$3&amp;$B$2)</f>
        <v>0</v>
      </c>
      <c r="CN20" s="2">
        <f>COUNTIF(defects!$V:$V,Weekly!CN$3&amp;Weekly!$B20&amp;Weekly!$B$3&amp;$B$2)</f>
        <v>0</v>
      </c>
      <c r="CO20" s="2">
        <f>COUNTIF(defects!$V:$V,Weekly!CO$3&amp;Weekly!$B20&amp;Weekly!$B$3&amp;$B$2)</f>
        <v>0</v>
      </c>
      <c r="CP20" s="2">
        <f>COUNTIF(defects!$V:$V,Weekly!CP$3&amp;Weekly!$B20&amp;Weekly!$B$3&amp;$B$2)</f>
        <v>0</v>
      </c>
      <c r="CQ20" s="2">
        <f>COUNTIF(defects!$V:$V,Weekly!CQ$3&amp;Weekly!$B20&amp;Weekly!$B$3&amp;$B$2)</f>
        <v>0</v>
      </c>
      <c r="CR20" s="2">
        <f>COUNTIF(defects!$V:$V,Weekly!CR$3&amp;Weekly!$B20&amp;Weekly!$B$3&amp;$B$2)</f>
        <v>0</v>
      </c>
      <c r="CS20" s="2">
        <f>COUNTIF(defects!$V:$V,Weekly!CS$3&amp;Weekly!$B20&amp;Weekly!$B$3&amp;$B$2)</f>
        <v>0</v>
      </c>
      <c r="CT20" s="2">
        <f>COUNTIF(defects!$V:$V,Weekly!CT$3&amp;Weekly!$B20&amp;Weekly!$B$3&amp;$B$2)</f>
        <v>0</v>
      </c>
      <c r="CU20" s="2">
        <f>COUNTIF(defects!$V:$V,Weekly!CU$3&amp;Weekly!$B20&amp;Weekly!$B$3&amp;$B$2)</f>
        <v>0</v>
      </c>
      <c r="CV20" s="2">
        <f>COUNTIF(defects!$V:$V,Weekly!CV$3&amp;Weekly!$B20&amp;Weekly!$B$3&amp;$B$2)</f>
        <v>0</v>
      </c>
      <c r="CW20" s="2">
        <f>COUNTIF(defects!$V:$V,Weekly!CW$3&amp;Weekly!$B20&amp;Weekly!$B$3&amp;$B$2)</f>
        <v>0</v>
      </c>
      <c r="CX20" s="2">
        <f>COUNTIF(defects!$V:$V,Weekly!CX$3&amp;Weekly!$B20&amp;Weekly!$B$3&amp;$B$2)</f>
        <v>0</v>
      </c>
      <c r="CY20" s="2">
        <f>COUNTIF(defects!$V:$V,Weekly!CY$3&amp;Weekly!$B20&amp;Weekly!$B$3&amp;$B$2)</f>
        <v>0</v>
      </c>
      <c r="CZ20" s="2">
        <f>COUNTIF(defects!$V:$V,Weekly!CZ$3&amp;Weekly!$B20&amp;Weekly!$B$3&amp;$B$2)</f>
        <v>0</v>
      </c>
      <c r="DA20" s="2">
        <f>COUNTIF(defects!$V:$V,Weekly!DA$3&amp;Weekly!$B20&amp;Weekly!$B$3&amp;$B$2)</f>
        <v>0</v>
      </c>
      <c r="DB20" s="2">
        <f>COUNTIF(defects!$V:$V,Weekly!DB$3&amp;Weekly!$B20&amp;Weekly!$B$3&amp;$B$2)</f>
        <v>0</v>
      </c>
      <c r="DC20" s="2">
        <f>COUNTIF(defects!$V:$V,Weekly!DC$3&amp;Weekly!$B20&amp;Weekly!$B$3&amp;$B$2)</f>
        <v>0</v>
      </c>
      <c r="DD20" s="2">
        <f>COUNTIF(defects!$V:$V,Weekly!DD$3&amp;Weekly!$B20&amp;Weekly!$B$3&amp;$B$2)</f>
        <v>0</v>
      </c>
      <c r="DE20" s="2">
        <f>COUNTIF(defects!$V:$V,Weekly!DE$3&amp;Weekly!$B20&amp;Weekly!$B$3&amp;$B$2)</f>
        <v>0</v>
      </c>
      <c r="DF20" s="2">
        <f>COUNTIF(defects!$V:$V,Weekly!DF$3&amp;Weekly!$B20&amp;Weekly!$B$3&amp;$B$2)</f>
        <v>0</v>
      </c>
      <c r="DG20" s="2">
        <f>COUNTIF(defects!$V:$V,Weekly!DG$3&amp;Weekly!$B20&amp;Weekly!$B$3&amp;$B$2)</f>
        <v>0</v>
      </c>
      <c r="DH20" s="2">
        <f>COUNTIF(defects!$V:$V,Weekly!DH$3&amp;Weekly!$B20&amp;Weekly!$B$3&amp;$B$2)</f>
        <v>0</v>
      </c>
      <c r="DI20" s="2">
        <f>COUNTIF(defects!$V:$V,Weekly!DI$3&amp;Weekly!$B20&amp;Weekly!$B$3&amp;$B$2)</f>
        <v>0</v>
      </c>
      <c r="DJ20" s="2">
        <f>COUNTIF(defects!$V:$V,Weekly!DJ$3&amp;Weekly!$B20&amp;Weekly!$B$3&amp;$B$2)</f>
        <v>0</v>
      </c>
      <c r="DK20" s="2">
        <f>COUNTIF(defects!$V:$V,Weekly!DK$3&amp;Weekly!$B20&amp;Weekly!$B$3&amp;$B$2)</f>
        <v>0</v>
      </c>
      <c r="DL20" s="2">
        <f>COUNTIF(defects!$V:$V,Weekly!DL$3&amp;Weekly!$B20&amp;Weekly!$B$3&amp;$B$2)</f>
        <v>0</v>
      </c>
      <c r="DM20" s="2">
        <f>COUNTIF(defects!$V:$V,Weekly!DM$3&amp;Weekly!$B20&amp;Weekly!$B$3&amp;$B$2)</f>
        <v>0</v>
      </c>
      <c r="DN20" s="2">
        <f>COUNTIF(defects!$V:$V,Weekly!DN$3&amp;Weekly!$B20&amp;Weekly!$B$3&amp;$B$2)</f>
        <v>0</v>
      </c>
      <c r="DO20" s="2">
        <f>COUNTIF(defects!$V:$V,Weekly!DO$3&amp;Weekly!$B20&amp;Weekly!$B$3&amp;$B$2)</f>
        <v>0</v>
      </c>
      <c r="DP20" s="2">
        <f>COUNTIF(defects!$V:$V,Weekly!DP$3&amp;Weekly!$B20&amp;Weekly!$B$3&amp;$B$2)</f>
        <v>0</v>
      </c>
      <c r="DQ20" s="2">
        <f>COUNTIF(defects!$V:$V,Weekly!DQ$3&amp;Weekly!$B20&amp;Weekly!$B$3&amp;$B$2)</f>
        <v>0</v>
      </c>
      <c r="DR20" s="2">
        <f>COUNTIF(defects!$V:$V,Weekly!DR$3&amp;Weekly!$B20&amp;Weekly!$B$3&amp;$B$2)</f>
        <v>0</v>
      </c>
      <c r="DS20" s="2">
        <f>COUNTIF(defects!$V:$V,Weekly!DS$3&amp;Weekly!$B20&amp;Weekly!$B$3&amp;$B$2)</f>
        <v>0</v>
      </c>
      <c r="DT20" s="2">
        <f>COUNTIF(defects!$V:$V,Weekly!DT$3&amp;Weekly!$B20&amp;Weekly!$B$3&amp;$B$2)</f>
        <v>0</v>
      </c>
      <c r="DU20" s="2">
        <f>COUNTIF(defects!$V:$V,Weekly!DU$3&amp;Weekly!$B20&amp;Weekly!$B$3&amp;$B$2)</f>
        <v>0</v>
      </c>
      <c r="DV20" s="2">
        <f>COUNTIF(defects!$V:$V,Weekly!DV$3&amp;Weekly!$B20&amp;Weekly!$B$3&amp;$B$2)</f>
        <v>0</v>
      </c>
      <c r="DW20" s="2">
        <f>COUNTIF(defects!$V:$V,Weekly!DW$3&amp;Weekly!$B20&amp;Weekly!$B$3&amp;$B$2)</f>
        <v>0</v>
      </c>
      <c r="DX20" s="2">
        <f>COUNTIF(defects!$V:$V,Weekly!DX$3&amp;Weekly!$B20&amp;Weekly!$B$3&amp;$B$2)</f>
        <v>0</v>
      </c>
      <c r="DY20" s="2">
        <f>COUNTIF(defects!$V:$V,Weekly!DY$3&amp;Weekly!$B20&amp;Weekly!$B$3&amp;$B$2)</f>
        <v>0</v>
      </c>
      <c r="DZ20" s="2">
        <f>COUNTIF(defects!$V:$V,Weekly!DZ$3&amp;Weekly!$B20&amp;Weekly!$B$3&amp;$B$2)</f>
        <v>0</v>
      </c>
      <c r="EA20" s="2">
        <f>COUNTIF(defects!$V:$V,Weekly!EA$3&amp;Weekly!$B20&amp;Weekly!$B$3&amp;$B$2)</f>
        <v>0</v>
      </c>
      <c r="EB20" s="2">
        <f>COUNTIF(defects!$V:$V,Weekly!EB$3&amp;Weekly!$B20&amp;Weekly!$B$3&amp;$B$2)</f>
        <v>0</v>
      </c>
      <c r="EC20" s="2">
        <f>COUNTIF(defects!$V:$V,Weekly!EC$3&amp;Weekly!$B20&amp;Weekly!$B$3&amp;$B$2)</f>
        <v>0</v>
      </c>
      <c r="ED20" s="2">
        <f>COUNTIF(defects!$V:$V,Weekly!ED$3&amp;Weekly!$B20&amp;Weekly!$B$3&amp;$B$2)</f>
        <v>0</v>
      </c>
      <c r="EE20" s="2">
        <f>COUNTIF(defects!$V:$V,Weekly!EE$3&amp;Weekly!$B20&amp;Weekly!$B$3&amp;$B$2)</f>
        <v>0</v>
      </c>
      <c r="EF20" s="2">
        <f>COUNTIF(defects!$V:$V,Weekly!EF$3&amp;Weekly!$B20&amp;Weekly!$B$3&amp;$B$2)</f>
        <v>0</v>
      </c>
      <c r="EG20" s="2">
        <f>COUNTIF(defects!$V:$V,Weekly!EG$3&amp;Weekly!$B20&amp;Weekly!$B$3&amp;$B$2)</f>
        <v>0</v>
      </c>
      <c r="EH20" s="2">
        <f>COUNTIF(defects!$V:$V,Weekly!EH$3&amp;Weekly!$B20&amp;Weekly!$B$3&amp;$B$2)</f>
        <v>0</v>
      </c>
      <c r="EI20" s="2">
        <f>COUNTIF(defects!$V:$V,Weekly!EI$3&amp;Weekly!$B20&amp;Weekly!$B$3&amp;$B$2)</f>
        <v>0</v>
      </c>
      <c r="EJ20" s="2">
        <f>COUNTIF(defects!$V:$V,Weekly!EJ$3&amp;Weekly!$B20&amp;Weekly!$B$3&amp;$B$2)</f>
        <v>0</v>
      </c>
      <c r="EK20" s="2">
        <f>COUNTIF(defects!$V:$V,Weekly!EK$3&amp;Weekly!$B20&amp;Weekly!$B$3&amp;$B$2)</f>
        <v>0</v>
      </c>
      <c r="EL20" s="2">
        <f>COUNTIF(defects!$V:$V,Weekly!EL$3&amp;Weekly!$B20&amp;Weekly!$B$3&amp;$B$2)</f>
        <v>0</v>
      </c>
      <c r="EM20" s="2">
        <f>COUNTIF(defects!$V:$V,Weekly!EM$3&amp;Weekly!$B20&amp;Weekly!$B$3&amp;$B$2)</f>
        <v>0</v>
      </c>
      <c r="EN20" s="2">
        <f>COUNTIF(defects!$V:$V,Weekly!EN$3&amp;Weekly!$B20&amp;Weekly!$B$3&amp;$B$2)</f>
        <v>0</v>
      </c>
      <c r="EO20" s="2">
        <f>COUNTIF(defects!$V:$V,Weekly!EO$3&amp;Weekly!$B20&amp;Weekly!$B$3&amp;$B$2)</f>
        <v>0</v>
      </c>
      <c r="EP20" s="2">
        <f>COUNTIF(defects!$V:$V,Weekly!EP$3&amp;Weekly!$B20&amp;Weekly!$B$3&amp;$B$2)</f>
        <v>0</v>
      </c>
      <c r="EQ20" s="2">
        <f>COUNTIF(defects!$V:$V,Weekly!EQ$3&amp;Weekly!$B20&amp;Weekly!$B$3&amp;$B$2)</f>
        <v>0</v>
      </c>
      <c r="ER20" s="2">
        <f>COUNTIF(defects!$V:$V,Weekly!ER$3&amp;Weekly!$B20&amp;Weekly!$B$3&amp;$B$2)</f>
        <v>0</v>
      </c>
      <c r="ES20" s="2">
        <f>COUNTIF(defects!$V:$V,Weekly!ES$3&amp;Weekly!$B20&amp;Weekly!$B$3&amp;$B$2)</f>
        <v>0</v>
      </c>
      <c r="ET20" s="2">
        <f>COUNTIF(defects!$V:$V,Weekly!ET$3&amp;Weekly!$B20&amp;Weekly!$B$3&amp;$B$2)</f>
        <v>0</v>
      </c>
      <c r="EU20" s="2">
        <f>COUNTIF(defects!$V:$V,Weekly!EU$3&amp;Weekly!$B20&amp;Weekly!$B$3&amp;$B$2)</f>
        <v>0</v>
      </c>
      <c r="EV20" s="2">
        <f>COUNTIF(defects!$V:$V,Weekly!EV$3&amp;Weekly!$B20&amp;Weekly!$B$3&amp;$B$2)</f>
        <v>0</v>
      </c>
      <c r="EW20" s="2">
        <f>COUNTIF(defects!$V:$V,Weekly!EW$3&amp;Weekly!$B20&amp;Weekly!$B$3&amp;$B$2)</f>
        <v>0</v>
      </c>
      <c r="EX20" s="2">
        <f>COUNTIF(defects!$V:$V,Weekly!EX$3&amp;Weekly!$B20&amp;Weekly!$B$3&amp;$B$2)</f>
        <v>0</v>
      </c>
      <c r="EY20" s="2">
        <f>COUNTIF(defects!$V:$V,Weekly!EY$3&amp;Weekly!$B20&amp;Weekly!$B$3&amp;$B$2)</f>
        <v>0</v>
      </c>
      <c r="EZ20" s="2">
        <f>COUNTIF(defects!$V:$V,Weekly!EZ$3&amp;Weekly!$B20&amp;Weekly!$B$3&amp;$B$2)</f>
        <v>0</v>
      </c>
      <c r="FA20" s="2">
        <f>COUNTIF(defects!$V:$V,Weekly!FA$3&amp;Weekly!$B20&amp;Weekly!$B$3&amp;$B$2)</f>
        <v>0</v>
      </c>
      <c r="FB20" s="2">
        <f>COUNTIF(defects!$V:$V,Weekly!FB$3&amp;Weekly!$B20&amp;Weekly!$B$3&amp;$B$2)</f>
        <v>0</v>
      </c>
      <c r="FC20" s="2">
        <f>COUNTIF(defects!$V:$V,Weekly!FC$3&amp;Weekly!$B20&amp;Weekly!$B$3&amp;$B$2)</f>
        <v>0</v>
      </c>
      <c r="FD20" s="2">
        <f>COUNTIF(defects!$V:$V,Weekly!FD$3&amp;Weekly!$B20&amp;Weekly!$B$3&amp;$B$2)</f>
        <v>0</v>
      </c>
      <c r="FE20" s="2">
        <f>COUNTIF(defects!$V:$V,Weekly!FE$3&amp;Weekly!$B20&amp;Weekly!$B$3&amp;$B$2)</f>
        <v>0</v>
      </c>
    </row>
    <row r="21" spans="2:161" x14ac:dyDescent="0.35">
      <c r="B21" s="3" t="s">
        <v>1339</v>
      </c>
      <c r="C21" s="2">
        <f>COUNTIF(defects!$V:$V,Weekly!C$3&amp;Weekly!$B21&amp;Weekly!$B$3&amp;$B$2)</f>
        <v>0</v>
      </c>
      <c r="D21" s="2">
        <f>COUNTIF(defects!$V:$V,Weekly!D$3&amp;Weekly!$B21&amp;Weekly!$B$3&amp;$B$2)</f>
        <v>0</v>
      </c>
      <c r="E21" s="2">
        <f>COUNTIF(defects!$V:$V,Weekly!E$3&amp;Weekly!$B21&amp;Weekly!$B$3&amp;$B$2)</f>
        <v>0</v>
      </c>
      <c r="F21" s="2">
        <f>COUNTIF(defects!$V:$V,Weekly!F$3&amp;Weekly!$B21&amp;Weekly!$B$3&amp;$B$2)</f>
        <v>0</v>
      </c>
      <c r="G21" s="2">
        <f>COUNTIF(defects!$V:$V,Weekly!G$3&amp;Weekly!$B21&amp;Weekly!$B$3&amp;$B$2)</f>
        <v>0</v>
      </c>
      <c r="H21" s="2">
        <f>COUNTIF(defects!$V:$V,Weekly!H$3&amp;Weekly!$B21&amp;Weekly!$B$3&amp;$B$2)</f>
        <v>0</v>
      </c>
      <c r="I21" s="2">
        <f>COUNTIF(defects!$V:$V,Weekly!I$3&amp;Weekly!$B21&amp;Weekly!$B$3&amp;$B$2)</f>
        <v>0</v>
      </c>
      <c r="J21" s="2">
        <f>COUNTIF(defects!$V:$V,Weekly!J$3&amp;Weekly!$B21&amp;Weekly!$B$3&amp;$B$2)</f>
        <v>0</v>
      </c>
      <c r="K21" s="2">
        <f>COUNTIF(defects!$V:$V,Weekly!K$3&amp;Weekly!$B21&amp;Weekly!$B$3&amp;$B$2)</f>
        <v>0</v>
      </c>
      <c r="L21" s="2">
        <f>COUNTIF(defects!$V:$V,Weekly!L$3&amp;Weekly!$B21&amp;Weekly!$B$3&amp;$B$2)</f>
        <v>0</v>
      </c>
      <c r="M21" s="2">
        <f>COUNTIF(defects!$V:$V,Weekly!M$3&amp;Weekly!$B21&amp;Weekly!$B$3&amp;$B$2)</f>
        <v>0</v>
      </c>
      <c r="N21" s="2">
        <f>COUNTIF(defects!$V:$V,Weekly!N$3&amp;Weekly!$B21&amp;Weekly!$B$3&amp;$B$2)</f>
        <v>0</v>
      </c>
      <c r="O21" s="2">
        <f>COUNTIF(defects!$V:$V,Weekly!O$3&amp;Weekly!$B21&amp;Weekly!$B$3&amp;$B$2)</f>
        <v>0</v>
      </c>
      <c r="P21" s="2">
        <f>COUNTIF(defects!$V:$V,Weekly!P$3&amp;Weekly!$B21&amp;Weekly!$B$3&amp;$B$2)</f>
        <v>0</v>
      </c>
      <c r="Q21" s="2">
        <f>COUNTIF(defects!$V:$V,Weekly!Q$3&amp;Weekly!$B21&amp;Weekly!$B$3&amp;$B$2)</f>
        <v>0</v>
      </c>
      <c r="R21" s="2">
        <f>COUNTIF(defects!$V:$V,Weekly!R$3&amp;Weekly!$B21&amp;Weekly!$B$3&amp;$B$2)</f>
        <v>0</v>
      </c>
      <c r="S21" s="2">
        <f>COUNTIF(defects!$V:$V,Weekly!S$3&amp;Weekly!$B21&amp;Weekly!$B$3&amp;$B$2)</f>
        <v>0</v>
      </c>
      <c r="T21" s="2">
        <f>COUNTIF(defects!$V:$V,Weekly!T$3&amp;Weekly!$B21&amp;Weekly!$B$3&amp;$B$2)</f>
        <v>0</v>
      </c>
      <c r="U21" s="2">
        <f>COUNTIF(defects!$V:$V,Weekly!U$3&amp;Weekly!$B21&amp;Weekly!$B$3&amp;$B$2)</f>
        <v>0</v>
      </c>
      <c r="V21" s="2">
        <f>COUNTIF(defects!$V:$V,Weekly!V$3&amp;Weekly!$B21&amp;Weekly!$B$3&amp;$B$2)</f>
        <v>0</v>
      </c>
      <c r="W21" s="2">
        <f>COUNTIF(defects!$V:$V,Weekly!W$3&amp;Weekly!$B21&amp;Weekly!$B$3&amp;$B$2)</f>
        <v>0</v>
      </c>
      <c r="X21" s="2">
        <f>COUNTIF(defects!$V:$V,Weekly!X$3&amp;Weekly!$B21&amp;Weekly!$B$3&amp;$B$2)</f>
        <v>0</v>
      </c>
      <c r="Y21" s="2">
        <f>COUNTIF(defects!$V:$V,Weekly!Y$3&amp;Weekly!$B21&amp;Weekly!$B$3&amp;$B$2)</f>
        <v>0</v>
      </c>
      <c r="Z21" s="2">
        <f>COUNTIF(defects!$V:$V,Weekly!Z$3&amp;Weekly!$B21&amp;Weekly!$B$3&amp;$B$2)</f>
        <v>0</v>
      </c>
      <c r="AA21" s="2">
        <f>COUNTIF(defects!$V:$V,Weekly!AA$3&amp;Weekly!$B21&amp;Weekly!$B$3&amp;$B$2)</f>
        <v>0</v>
      </c>
      <c r="AB21" s="2">
        <f>COUNTIF(defects!$V:$V,Weekly!AB$3&amp;Weekly!$B21&amp;Weekly!$B$3&amp;$B$2)</f>
        <v>0</v>
      </c>
      <c r="AC21" s="2">
        <f>COUNTIF(defects!$V:$V,Weekly!AC$3&amp;Weekly!$B21&amp;Weekly!$B$3&amp;$B$2)</f>
        <v>0</v>
      </c>
      <c r="AD21" s="2">
        <f>COUNTIF(defects!$V:$V,Weekly!AD$3&amp;Weekly!$B21&amp;Weekly!$B$3&amp;$B$2)</f>
        <v>0</v>
      </c>
      <c r="AE21" s="2">
        <f>COUNTIF(defects!$V:$V,Weekly!AE$3&amp;Weekly!$B21&amp;Weekly!$B$3&amp;$B$2)</f>
        <v>0</v>
      </c>
      <c r="AF21" s="2">
        <f>COUNTIF(defects!$V:$V,Weekly!AF$3&amp;Weekly!$B21&amp;Weekly!$B$3&amp;$B$2)</f>
        <v>0</v>
      </c>
      <c r="AG21" s="2">
        <f>COUNTIF(defects!$V:$V,Weekly!AG$3&amp;Weekly!$B21&amp;Weekly!$B$3&amp;$B$2)</f>
        <v>0</v>
      </c>
      <c r="AH21" s="2">
        <f>COUNTIF(defects!$V:$V,Weekly!AH$3&amp;Weekly!$B21&amp;Weekly!$B$3&amp;$B$2)</f>
        <v>0</v>
      </c>
      <c r="AI21" s="2">
        <f>COUNTIF(defects!$V:$V,Weekly!AI$3&amp;Weekly!$B21&amp;Weekly!$B$3&amp;$B$2)</f>
        <v>0</v>
      </c>
      <c r="AJ21" s="2">
        <f>COUNTIF(defects!$V:$V,Weekly!AJ$3&amp;Weekly!$B21&amp;Weekly!$B$3&amp;$B$2)</f>
        <v>0</v>
      </c>
      <c r="AK21" s="2">
        <f>COUNTIF(defects!$V:$V,Weekly!AK$3&amp;Weekly!$B21&amp;Weekly!$B$3&amp;$B$2)</f>
        <v>0</v>
      </c>
      <c r="AL21" s="2">
        <f>COUNTIF(defects!$V:$V,Weekly!AL$3&amp;Weekly!$B21&amp;Weekly!$B$3&amp;$B$2)</f>
        <v>0</v>
      </c>
      <c r="AM21" s="2">
        <f>COUNTIF(defects!$V:$V,Weekly!AM$3&amp;Weekly!$B21&amp;Weekly!$B$3&amp;$B$2)</f>
        <v>0</v>
      </c>
      <c r="AN21" s="2">
        <f>COUNTIF(defects!$V:$V,Weekly!AN$3&amp;Weekly!$B21&amp;Weekly!$B$3&amp;$B$2)</f>
        <v>0</v>
      </c>
      <c r="AO21" s="2">
        <f>COUNTIF(defects!$V:$V,Weekly!AO$3&amp;Weekly!$B21&amp;Weekly!$B$3&amp;$B$2)</f>
        <v>0</v>
      </c>
      <c r="AP21" s="2">
        <f>COUNTIF(defects!$V:$V,Weekly!AP$3&amp;Weekly!$B21&amp;Weekly!$B$3&amp;$B$2)</f>
        <v>0</v>
      </c>
      <c r="AQ21" s="2">
        <f>COUNTIF(defects!$V:$V,Weekly!AQ$3&amp;Weekly!$B21&amp;Weekly!$B$3&amp;$B$2)</f>
        <v>0</v>
      </c>
      <c r="AR21" s="2">
        <f>COUNTIF(defects!$V:$V,Weekly!AR$3&amp;Weekly!$B21&amp;Weekly!$B$3&amp;$B$2)</f>
        <v>0</v>
      </c>
      <c r="AS21" s="2">
        <f>COUNTIF(defects!$V:$V,Weekly!AS$3&amp;Weekly!$B21&amp;Weekly!$B$3&amp;$B$2)</f>
        <v>0</v>
      </c>
      <c r="AT21" s="2">
        <f>COUNTIF(defects!$V:$V,Weekly!AT$3&amp;Weekly!$B21&amp;Weekly!$B$3&amp;$B$2)</f>
        <v>0</v>
      </c>
      <c r="AU21" s="2">
        <f>COUNTIF(defects!$V:$V,Weekly!AU$3&amp;Weekly!$B21&amp;Weekly!$B$3&amp;$B$2)</f>
        <v>0</v>
      </c>
      <c r="AV21" s="2">
        <f>COUNTIF(defects!$V:$V,Weekly!AV$3&amp;Weekly!$B21&amp;Weekly!$B$3&amp;$B$2)</f>
        <v>0</v>
      </c>
      <c r="AW21" s="2">
        <f>COUNTIF(defects!$V:$V,Weekly!AW$3&amp;Weekly!$B21&amp;Weekly!$B$3&amp;$B$2)</f>
        <v>0</v>
      </c>
      <c r="AX21" s="2">
        <f>COUNTIF(defects!$V:$V,Weekly!AX$3&amp;Weekly!$B21&amp;Weekly!$B$3&amp;$B$2)</f>
        <v>0</v>
      </c>
      <c r="AY21" s="2">
        <f>COUNTIF(defects!$V:$V,Weekly!AY$3&amp;Weekly!$B21&amp;Weekly!$B$3&amp;$B$2)</f>
        <v>0</v>
      </c>
      <c r="AZ21" s="2">
        <f>COUNTIF(defects!$V:$V,Weekly!AZ$3&amp;Weekly!$B21&amp;Weekly!$B$3&amp;$B$2)</f>
        <v>0</v>
      </c>
      <c r="BA21" s="2">
        <f>COUNTIF(defects!$V:$V,Weekly!BA$3&amp;Weekly!$B21&amp;Weekly!$B$3&amp;$B$2)</f>
        <v>0</v>
      </c>
      <c r="BB21" s="2">
        <f>COUNTIF(defects!$V:$V,Weekly!BB$3&amp;Weekly!$B21&amp;Weekly!$B$3&amp;$B$2)</f>
        <v>0</v>
      </c>
      <c r="BC21" s="2">
        <f>COUNTIF(defects!$V:$V,Weekly!BC$3&amp;Weekly!$B21&amp;Weekly!$B$3&amp;$B$2)</f>
        <v>0</v>
      </c>
      <c r="BD21" s="2">
        <f>COUNTIF(defects!$V:$V,Weekly!BD$3&amp;Weekly!$B21&amp;Weekly!$B$3&amp;$B$2)</f>
        <v>0</v>
      </c>
      <c r="BE21" s="2">
        <f>COUNTIF(defects!$V:$V,Weekly!BE$3&amp;Weekly!$B21&amp;Weekly!$B$3&amp;$B$2)</f>
        <v>0</v>
      </c>
      <c r="BF21" s="2">
        <f>COUNTIF(defects!$V:$V,Weekly!BF$3&amp;Weekly!$B21&amp;Weekly!$B$3&amp;$B$2)</f>
        <v>0</v>
      </c>
      <c r="BG21" s="2">
        <f>COUNTIF(defects!$V:$V,Weekly!BG$3&amp;Weekly!$B21&amp;Weekly!$B$3&amp;$B$2)</f>
        <v>0</v>
      </c>
      <c r="BH21" s="2">
        <f>COUNTIF(defects!$V:$V,Weekly!BH$3&amp;Weekly!$B21&amp;Weekly!$B$3&amp;$B$2)</f>
        <v>0</v>
      </c>
      <c r="BI21" s="2">
        <f>COUNTIF(defects!$V:$V,Weekly!BI$3&amp;Weekly!$B21&amp;Weekly!$B$3&amp;$B$2)</f>
        <v>0</v>
      </c>
      <c r="BJ21" s="2">
        <f>COUNTIF(defects!$V:$V,Weekly!BJ$3&amp;Weekly!$B21&amp;Weekly!$B$3&amp;$B$2)</f>
        <v>0</v>
      </c>
      <c r="BK21" s="2">
        <f>COUNTIF(defects!$V:$V,Weekly!BK$3&amp;Weekly!$B21&amp;Weekly!$B$3&amp;$B$2)</f>
        <v>0</v>
      </c>
      <c r="BL21" s="2">
        <f>COUNTIF(defects!$V:$V,Weekly!BL$3&amp;Weekly!$B21&amp;Weekly!$B$3&amp;$B$2)</f>
        <v>0</v>
      </c>
      <c r="BM21" s="2">
        <f>COUNTIF(defects!$V:$V,Weekly!BM$3&amp;Weekly!$B21&amp;Weekly!$B$3&amp;$B$2)</f>
        <v>0</v>
      </c>
      <c r="BN21" s="2">
        <f>COUNTIF(defects!$V:$V,Weekly!BN$3&amp;Weekly!$B21&amp;Weekly!$B$3&amp;$B$2)</f>
        <v>0</v>
      </c>
      <c r="BO21" s="2">
        <f>COUNTIF(defects!$V:$V,Weekly!BO$3&amp;Weekly!$B21&amp;Weekly!$B$3&amp;$B$2)</f>
        <v>0</v>
      </c>
      <c r="BP21" s="2">
        <f>COUNTIF(defects!$V:$V,Weekly!BP$3&amp;Weekly!$B21&amp;Weekly!$B$3&amp;$B$2)</f>
        <v>0</v>
      </c>
      <c r="BQ21" s="2">
        <f>COUNTIF(defects!$V:$V,Weekly!BQ$3&amp;Weekly!$B21&amp;Weekly!$B$3&amp;$B$2)</f>
        <v>0</v>
      </c>
      <c r="BR21" s="2">
        <f>COUNTIF(defects!$V:$V,Weekly!BR$3&amp;Weekly!$B21&amp;Weekly!$B$3&amp;$B$2)</f>
        <v>0</v>
      </c>
      <c r="BS21" s="2">
        <f>COUNTIF(defects!$V:$V,Weekly!BS$3&amp;Weekly!$B21&amp;Weekly!$B$3&amp;$B$2)</f>
        <v>0</v>
      </c>
      <c r="BT21" s="2">
        <f>COUNTIF(defects!$V:$V,Weekly!BT$3&amp;Weekly!$B21&amp;Weekly!$B$3&amp;$B$2)</f>
        <v>0</v>
      </c>
      <c r="BU21" s="2">
        <f>COUNTIF(defects!$V:$V,Weekly!BU$3&amp;Weekly!$B21&amp;Weekly!$B$3&amp;$B$2)</f>
        <v>0</v>
      </c>
      <c r="BV21" s="2">
        <f>COUNTIF(defects!$V:$V,Weekly!BV$3&amp;Weekly!$B21&amp;Weekly!$B$3&amp;$B$2)</f>
        <v>0</v>
      </c>
      <c r="BW21" s="2">
        <f>COUNTIF(defects!$V:$V,Weekly!BW$3&amp;Weekly!$B21&amp;Weekly!$B$3&amp;$B$2)</f>
        <v>1</v>
      </c>
      <c r="BX21" s="2">
        <f>COUNTIF(defects!$V:$V,Weekly!BX$3&amp;Weekly!$B21&amp;Weekly!$B$3&amp;$B$2)</f>
        <v>0</v>
      </c>
      <c r="BY21" s="2">
        <f>COUNTIF(defects!$V:$V,Weekly!BY$3&amp;Weekly!$B21&amp;Weekly!$B$3&amp;$B$2)</f>
        <v>0</v>
      </c>
      <c r="BZ21" s="2">
        <f>COUNTIF(defects!$V:$V,Weekly!BZ$3&amp;Weekly!$B21&amp;Weekly!$B$3&amp;$B$2)</f>
        <v>0</v>
      </c>
      <c r="CA21" s="2">
        <f>COUNTIF(defects!$V:$V,Weekly!CA$3&amp;Weekly!$B21&amp;Weekly!$B$3&amp;$B$2)</f>
        <v>0</v>
      </c>
      <c r="CB21" s="2">
        <f>COUNTIF(defects!$V:$V,Weekly!CB$3&amp;Weekly!$B21&amp;Weekly!$B$3&amp;$B$2)</f>
        <v>0</v>
      </c>
      <c r="CC21" s="2">
        <f>COUNTIF(defects!$V:$V,Weekly!CC$3&amp;Weekly!$B21&amp;Weekly!$B$3&amp;$B$2)</f>
        <v>0</v>
      </c>
      <c r="CD21" s="2">
        <f>COUNTIF(defects!$V:$V,Weekly!CD$3&amp;Weekly!$B21&amp;Weekly!$B$3&amp;$B$2)</f>
        <v>0</v>
      </c>
      <c r="CE21" s="2">
        <f>COUNTIF(defects!$V:$V,Weekly!CE$3&amp;Weekly!$B21&amp;Weekly!$B$3&amp;$B$2)</f>
        <v>0</v>
      </c>
      <c r="CF21" s="2">
        <f>COUNTIF(defects!$V:$V,Weekly!CF$3&amp;Weekly!$B21&amp;Weekly!$B$3&amp;$B$2)</f>
        <v>0</v>
      </c>
      <c r="CG21" s="2">
        <f>COUNTIF(defects!$V:$V,Weekly!CG$3&amp;Weekly!$B21&amp;Weekly!$B$3&amp;$B$2)</f>
        <v>1</v>
      </c>
      <c r="CH21" s="2">
        <f>COUNTIF(defects!$V:$V,Weekly!CH$3&amp;Weekly!$B21&amp;Weekly!$B$3&amp;$B$2)</f>
        <v>0</v>
      </c>
      <c r="CI21" s="2">
        <f>COUNTIF(defects!$V:$V,Weekly!CI$3&amp;Weekly!$B21&amp;Weekly!$B$3&amp;$B$2)</f>
        <v>0</v>
      </c>
      <c r="CJ21" s="2">
        <f>COUNTIF(defects!$V:$V,Weekly!CJ$3&amp;Weekly!$B21&amp;Weekly!$B$3&amp;$B$2)</f>
        <v>1</v>
      </c>
      <c r="CK21" s="2">
        <f>COUNTIF(defects!$V:$V,Weekly!CK$3&amp;Weekly!$B21&amp;Weekly!$B$3&amp;$B$2)</f>
        <v>0</v>
      </c>
      <c r="CL21" s="2">
        <f>COUNTIF(defects!$V:$V,Weekly!CL$3&amp;Weekly!$B21&amp;Weekly!$B$3&amp;$B$2)</f>
        <v>0</v>
      </c>
      <c r="CM21" s="2">
        <f>COUNTIF(defects!$V:$V,Weekly!CM$3&amp;Weekly!$B21&amp;Weekly!$B$3&amp;$B$2)</f>
        <v>0</v>
      </c>
      <c r="CN21" s="2">
        <f>COUNTIF(defects!$V:$V,Weekly!CN$3&amp;Weekly!$B21&amp;Weekly!$B$3&amp;$B$2)</f>
        <v>0</v>
      </c>
      <c r="CO21" s="2">
        <f>COUNTIF(defects!$V:$V,Weekly!CO$3&amp;Weekly!$B21&amp;Weekly!$B$3&amp;$B$2)</f>
        <v>0</v>
      </c>
      <c r="CP21" s="2">
        <f>COUNTIF(defects!$V:$V,Weekly!CP$3&amp;Weekly!$B21&amp;Weekly!$B$3&amp;$B$2)</f>
        <v>0</v>
      </c>
      <c r="CQ21" s="2">
        <f>COUNTIF(defects!$V:$V,Weekly!CQ$3&amp;Weekly!$B21&amp;Weekly!$B$3&amp;$B$2)</f>
        <v>0</v>
      </c>
      <c r="CR21" s="2">
        <f>COUNTIF(defects!$V:$V,Weekly!CR$3&amp;Weekly!$B21&amp;Weekly!$B$3&amp;$B$2)</f>
        <v>0</v>
      </c>
      <c r="CS21" s="2">
        <f>COUNTIF(defects!$V:$V,Weekly!CS$3&amp;Weekly!$B21&amp;Weekly!$B$3&amp;$B$2)</f>
        <v>0</v>
      </c>
      <c r="CT21" s="2">
        <f>COUNTIF(defects!$V:$V,Weekly!CT$3&amp;Weekly!$B21&amp;Weekly!$B$3&amp;$B$2)</f>
        <v>0</v>
      </c>
      <c r="CU21" s="2">
        <f>COUNTIF(defects!$V:$V,Weekly!CU$3&amp;Weekly!$B21&amp;Weekly!$B$3&amp;$B$2)</f>
        <v>0</v>
      </c>
      <c r="CV21" s="2">
        <f>COUNTIF(defects!$V:$V,Weekly!CV$3&amp;Weekly!$B21&amp;Weekly!$B$3&amp;$B$2)</f>
        <v>0</v>
      </c>
      <c r="CW21" s="2">
        <f>COUNTIF(defects!$V:$V,Weekly!CW$3&amp;Weekly!$B21&amp;Weekly!$B$3&amp;$B$2)</f>
        <v>0</v>
      </c>
      <c r="CX21" s="2">
        <f>COUNTIF(defects!$V:$V,Weekly!CX$3&amp;Weekly!$B21&amp;Weekly!$B$3&amp;$B$2)</f>
        <v>0</v>
      </c>
      <c r="CY21" s="2">
        <f>COUNTIF(defects!$V:$V,Weekly!CY$3&amp;Weekly!$B21&amp;Weekly!$B$3&amp;$B$2)</f>
        <v>0</v>
      </c>
      <c r="CZ21" s="2">
        <f>COUNTIF(defects!$V:$V,Weekly!CZ$3&amp;Weekly!$B21&amp;Weekly!$B$3&amp;$B$2)</f>
        <v>0</v>
      </c>
      <c r="DA21" s="2">
        <f>COUNTIF(defects!$V:$V,Weekly!DA$3&amp;Weekly!$B21&amp;Weekly!$B$3&amp;$B$2)</f>
        <v>0</v>
      </c>
      <c r="DB21" s="2">
        <f>COUNTIF(defects!$V:$V,Weekly!DB$3&amp;Weekly!$B21&amp;Weekly!$B$3&amp;$B$2)</f>
        <v>0</v>
      </c>
      <c r="DC21" s="2">
        <f>COUNTIF(defects!$V:$V,Weekly!DC$3&amp;Weekly!$B21&amp;Weekly!$B$3&amp;$B$2)</f>
        <v>0</v>
      </c>
      <c r="DD21" s="2">
        <f>COUNTIF(defects!$V:$V,Weekly!DD$3&amp;Weekly!$B21&amp;Weekly!$B$3&amp;$B$2)</f>
        <v>0</v>
      </c>
      <c r="DE21" s="2">
        <f>COUNTIF(defects!$V:$V,Weekly!DE$3&amp;Weekly!$B21&amp;Weekly!$B$3&amp;$B$2)</f>
        <v>0</v>
      </c>
      <c r="DF21" s="2">
        <f>COUNTIF(defects!$V:$V,Weekly!DF$3&amp;Weekly!$B21&amp;Weekly!$B$3&amp;$B$2)</f>
        <v>0</v>
      </c>
      <c r="DG21" s="2">
        <f>COUNTIF(defects!$V:$V,Weekly!DG$3&amp;Weekly!$B21&amp;Weekly!$B$3&amp;$B$2)</f>
        <v>0</v>
      </c>
      <c r="DH21" s="2">
        <f>COUNTIF(defects!$V:$V,Weekly!DH$3&amp;Weekly!$B21&amp;Weekly!$B$3&amp;$B$2)</f>
        <v>0</v>
      </c>
      <c r="DI21" s="2">
        <f>COUNTIF(defects!$V:$V,Weekly!DI$3&amp;Weekly!$B21&amp;Weekly!$B$3&amp;$B$2)</f>
        <v>0</v>
      </c>
      <c r="DJ21" s="2">
        <f>COUNTIF(defects!$V:$V,Weekly!DJ$3&amp;Weekly!$B21&amp;Weekly!$B$3&amp;$B$2)</f>
        <v>0</v>
      </c>
      <c r="DK21" s="2">
        <f>COUNTIF(defects!$V:$V,Weekly!DK$3&amp;Weekly!$B21&amp;Weekly!$B$3&amp;$B$2)</f>
        <v>0</v>
      </c>
      <c r="DL21" s="2">
        <f>COUNTIF(defects!$V:$V,Weekly!DL$3&amp;Weekly!$B21&amp;Weekly!$B$3&amp;$B$2)</f>
        <v>0</v>
      </c>
      <c r="DM21" s="2">
        <f>COUNTIF(defects!$V:$V,Weekly!DM$3&amp;Weekly!$B21&amp;Weekly!$B$3&amp;$B$2)</f>
        <v>0</v>
      </c>
      <c r="DN21" s="2">
        <f>COUNTIF(defects!$V:$V,Weekly!DN$3&amp;Weekly!$B21&amp;Weekly!$B$3&amp;$B$2)</f>
        <v>0</v>
      </c>
      <c r="DO21" s="2">
        <f>COUNTIF(defects!$V:$V,Weekly!DO$3&amp;Weekly!$B21&amp;Weekly!$B$3&amp;$B$2)</f>
        <v>0</v>
      </c>
      <c r="DP21" s="2">
        <f>COUNTIF(defects!$V:$V,Weekly!DP$3&amp;Weekly!$B21&amp;Weekly!$B$3&amp;$B$2)</f>
        <v>0</v>
      </c>
      <c r="DQ21" s="2">
        <f>COUNTIF(defects!$V:$V,Weekly!DQ$3&amp;Weekly!$B21&amp;Weekly!$B$3&amp;$B$2)</f>
        <v>0</v>
      </c>
      <c r="DR21" s="2">
        <f>COUNTIF(defects!$V:$V,Weekly!DR$3&amp;Weekly!$B21&amp;Weekly!$B$3&amp;$B$2)</f>
        <v>0</v>
      </c>
      <c r="DS21" s="2">
        <f>COUNTIF(defects!$V:$V,Weekly!DS$3&amp;Weekly!$B21&amp;Weekly!$B$3&amp;$B$2)</f>
        <v>0</v>
      </c>
      <c r="DT21" s="2">
        <f>COUNTIF(defects!$V:$V,Weekly!DT$3&amp;Weekly!$B21&amp;Weekly!$B$3&amp;$B$2)</f>
        <v>0</v>
      </c>
      <c r="DU21" s="2">
        <f>COUNTIF(defects!$V:$V,Weekly!DU$3&amp;Weekly!$B21&amp;Weekly!$B$3&amp;$B$2)</f>
        <v>0</v>
      </c>
      <c r="DV21" s="2">
        <f>COUNTIF(defects!$V:$V,Weekly!DV$3&amp;Weekly!$B21&amp;Weekly!$B$3&amp;$B$2)</f>
        <v>0</v>
      </c>
      <c r="DW21" s="2">
        <f>COUNTIF(defects!$V:$V,Weekly!DW$3&amp;Weekly!$B21&amp;Weekly!$B$3&amp;$B$2)</f>
        <v>0</v>
      </c>
      <c r="DX21" s="2">
        <f>COUNTIF(defects!$V:$V,Weekly!DX$3&amp;Weekly!$B21&amp;Weekly!$B$3&amp;$B$2)</f>
        <v>0</v>
      </c>
      <c r="DY21" s="2">
        <f>COUNTIF(defects!$V:$V,Weekly!DY$3&amp;Weekly!$B21&amp;Weekly!$B$3&amp;$B$2)</f>
        <v>0</v>
      </c>
      <c r="DZ21" s="2">
        <f>COUNTIF(defects!$V:$V,Weekly!DZ$3&amp;Weekly!$B21&amp;Weekly!$B$3&amp;$B$2)</f>
        <v>0</v>
      </c>
      <c r="EA21" s="2">
        <f>COUNTIF(defects!$V:$V,Weekly!EA$3&amp;Weekly!$B21&amp;Weekly!$B$3&amp;$B$2)</f>
        <v>0</v>
      </c>
      <c r="EB21" s="2">
        <f>COUNTIF(defects!$V:$V,Weekly!EB$3&amp;Weekly!$B21&amp;Weekly!$B$3&amp;$B$2)</f>
        <v>0</v>
      </c>
      <c r="EC21" s="2">
        <f>COUNTIF(defects!$V:$V,Weekly!EC$3&amp;Weekly!$B21&amp;Weekly!$B$3&amp;$B$2)</f>
        <v>0</v>
      </c>
      <c r="ED21" s="2">
        <f>COUNTIF(defects!$V:$V,Weekly!ED$3&amp;Weekly!$B21&amp;Weekly!$B$3&amp;$B$2)</f>
        <v>0</v>
      </c>
      <c r="EE21" s="2">
        <f>COUNTIF(defects!$V:$V,Weekly!EE$3&amp;Weekly!$B21&amp;Weekly!$B$3&amp;$B$2)</f>
        <v>0</v>
      </c>
      <c r="EF21" s="2">
        <f>COUNTIF(defects!$V:$V,Weekly!EF$3&amp;Weekly!$B21&amp;Weekly!$B$3&amp;$B$2)</f>
        <v>0</v>
      </c>
      <c r="EG21" s="2">
        <f>COUNTIF(defects!$V:$V,Weekly!EG$3&amp;Weekly!$B21&amp;Weekly!$B$3&amp;$B$2)</f>
        <v>0</v>
      </c>
      <c r="EH21" s="2">
        <f>COUNTIF(defects!$V:$V,Weekly!EH$3&amp;Weekly!$B21&amp;Weekly!$B$3&amp;$B$2)</f>
        <v>0</v>
      </c>
      <c r="EI21" s="2">
        <f>COUNTIF(defects!$V:$V,Weekly!EI$3&amp;Weekly!$B21&amp;Weekly!$B$3&amp;$B$2)</f>
        <v>0</v>
      </c>
      <c r="EJ21" s="2">
        <f>COUNTIF(defects!$V:$V,Weekly!EJ$3&amp;Weekly!$B21&amp;Weekly!$B$3&amp;$B$2)</f>
        <v>0</v>
      </c>
      <c r="EK21" s="2">
        <f>COUNTIF(defects!$V:$V,Weekly!EK$3&amp;Weekly!$B21&amp;Weekly!$B$3&amp;$B$2)</f>
        <v>0</v>
      </c>
      <c r="EL21" s="2">
        <f>COUNTIF(defects!$V:$V,Weekly!EL$3&amp;Weekly!$B21&amp;Weekly!$B$3&amp;$B$2)</f>
        <v>0</v>
      </c>
      <c r="EM21" s="2">
        <f>COUNTIF(defects!$V:$V,Weekly!EM$3&amp;Weekly!$B21&amp;Weekly!$B$3&amp;$B$2)</f>
        <v>0</v>
      </c>
      <c r="EN21" s="2">
        <f>COUNTIF(defects!$V:$V,Weekly!EN$3&amp;Weekly!$B21&amp;Weekly!$B$3&amp;$B$2)</f>
        <v>0</v>
      </c>
      <c r="EO21" s="2">
        <f>COUNTIF(defects!$V:$V,Weekly!EO$3&amp;Weekly!$B21&amp;Weekly!$B$3&amp;$B$2)</f>
        <v>0</v>
      </c>
      <c r="EP21" s="2">
        <f>COUNTIF(defects!$V:$V,Weekly!EP$3&amp;Weekly!$B21&amp;Weekly!$B$3&amp;$B$2)</f>
        <v>0</v>
      </c>
      <c r="EQ21" s="2">
        <f>COUNTIF(defects!$V:$V,Weekly!EQ$3&amp;Weekly!$B21&amp;Weekly!$B$3&amp;$B$2)</f>
        <v>0</v>
      </c>
      <c r="ER21" s="2">
        <f>COUNTIF(defects!$V:$V,Weekly!ER$3&amp;Weekly!$B21&amp;Weekly!$B$3&amp;$B$2)</f>
        <v>0</v>
      </c>
      <c r="ES21" s="2">
        <f>COUNTIF(defects!$V:$V,Weekly!ES$3&amp;Weekly!$B21&amp;Weekly!$B$3&amp;$B$2)</f>
        <v>0</v>
      </c>
      <c r="ET21" s="2">
        <f>COUNTIF(defects!$V:$V,Weekly!ET$3&amp;Weekly!$B21&amp;Weekly!$B$3&amp;$B$2)</f>
        <v>0</v>
      </c>
      <c r="EU21" s="2">
        <f>COUNTIF(defects!$V:$V,Weekly!EU$3&amp;Weekly!$B21&amp;Weekly!$B$3&amp;$B$2)</f>
        <v>0</v>
      </c>
      <c r="EV21" s="2">
        <f>COUNTIF(defects!$V:$V,Weekly!EV$3&amp;Weekly!$B21&amp;Weekly!$B$3&amp;$B$2)</f>
        <v>0</v>
      </c>
      <c r="EW21" s="2">
        <f>COUNTIF(defects!$V:$V,Weekly!EW$3&amp;Weekly!$B21&amp;Weekly!$B$3&amp;$B$2)</f>
        <v>0</v>
      </c>
      <c r="EX21" s="2">
        <f>COUNTIF(defects!$V:$V,Weekly!EX$3&amp;Weekly!$B21&amp;Weekly!$B$3&amp;$B$2)</f>
        <v>0</v>
      </c>
      <c r="EY21" s="2">
        <f>COUNTIF(defects!$V:$V,Weekly!EY$3&amp;Weekly!$B21&amp;Weekly!$B$3&amp;$B$2)</f>
        <v>0</v>
      </c>
      <c r="EZ21" s="2">
        <f>COUNTIF(defects!$V:$V,Weekly!EZ$3&amp;Weekly!$B21&amp;Weekly!$B$3&amp;$B$2)</f>
        <v>0</v>
      </c>
      <c r="FA21" s="2">
        <f>COUNTIF(defects!$V:$V,Weekly!FA$3&amp;Weekly!$B21&amp;Weekly!$B$3&amp;$B$2)</f>
        <v>0</v>
      </c>
      <c r="FB21" s="2">
        <f>COUNTIF(defects!$V:$V,Weekly!FB$3&amp;Weekly!$B21&amp;Weekly!$B$3&amp;$B$2)</f>
        <v>0</v>
      </c>
      <c r="FC21" s="2">
        <f>COUNTIF(defects!$V:$V,Weekly!FC$3&amp;Weekly!$B21&amp;Weekly!$B$3&amp;$B$2)</f>
        <v>0</v>
      </c>
      <c r="FD21" s="2">
        <f>COUNTIF(defects!$V:$V,Weekly!FD$3&amp;Weekly!$B21&amp;Weekly!$B$3&amp;$B$2)</f>
        <v>0</v>
      </c>
      <c r="FE21" s="2">
        <f>COUNTIF(defects!$V:$V,Weekly!FE$3&amp;Weekly!$B21&amp;Weekly!$B$3&amp;$B$2)</f>
        <v>0</v>
      </c>
    </row>
    <row r="22" spans="2:161" x14ac:dyDescent="0.35">
      <c r="B22" s="3" t="s">
        <v>1335</v>
      </c>
      <c r="C22" s="2">
        <f>COUNTIF(defects!$V:$V,Weekly!C$3&amp;Weekly!$B22&amp;Weekly!$B$3&amp;$B$2)</f>
        <v>0</v>
      </c>
      <c r="D22" s="2">
        <f>COUNTIF(defects!$V:$V,Weekly!D$3&amp;Weekly!$B22&amp;Weekly!$B$3&amp;$B$2)</f>
        <v>0</v>
      </c>
      <c r="E22" s="2">
        <f>COUNTIF(defects!$V:$V,Weekly!E$3&amp;Weekly!$B22&amp;Weekly!$B$3&amp;$B$2)</f>
        <v>0</v>
      </c>
      <c r="F22" s="2">
        <f>COUNTIF(defects!$V:$V,Weekly!F$3&amp;Weekly!$B22&amp;Weekly!$B$3&amp;$B$2)</f>
        <v>0</v>
      </c>
      <c r="G22" s="2">
        <f>COUNTIF(defects!$V:$V,Weekly!G$3&amp;Weekly!$B22&amp;Weekly!$B$3&amp;$B$2)</f>
        <v>0</v>
      </c>
      <c r="H22" s="2">
        <f>COUNTIF(defects!$V:$V,Weekly!H$3&amp;Weekly!$B22&amp;Weekly!$B$3&amp;$B$2)</f>
        <v>0</v>
      </c>
      <c r="I22" s="2">
        <f>COUNTIF(defects!$V:$V,Weekly!I$3&amp;Weekly!$B22&amp;Weekly!$B$3&amp;$B$2)</f>
        <v>0</v>
      </c>
      <c r="J22" s="2">
        <f>COUNTIF(defects!$V:$V,Weekly!J$3&amp;Weekly!$B22&amp;Weekly!$B$3&amp;$B$2)</f>
        <v>0</v>
      </c>
      <c r="K22" s="2">
        <f>COUNTIF(defects!$V:$V,Weekly!K$3&amp;Weekly!$B22&amp;Weekly!$B$3&amp;$B$2)</f>
        <v>0</v>
      </c>
      <c r="L22" s="2">
        <f>COUNTIF(defects!$V:$V,Weekly!L$3&amp;Weekly!$B22&amp;Weekly!$B$3&amp;$B$2)</f>
        <v>0</v>
      </c>
      <c r="M22" s="2">
        <f>COUNTIF(defects!$V:$V,Weekly!M$3&amp;Weekly!$B22&amp;Weekly!$B$3&amp;$B$2)</f>
        <v>0</v>
      </c>
      <c r="N22" s="2">
        <f>COUNTIF(defects!$V:$V,Weekly!N$3&amp;Weekly!$B22&amp;Weekly!$B$3&amp;$B$2)</f>
        <v>0</v>
      </c>
      <c r="O22" s="2">
        <f>COUNTIF(defects!$V:$V,Weekly!O$3&amp;Weekly!$B22&amp;Weekly!$B$3&amp;$B$2)</f>
        <v>0</v>
      </c>
      <c r="P22" s="2">
        <f>COUNTIF(defects!$V:$V,Weekly!P$3&amp;Weekly!$B22&amp;Weekly!$B$3&amp;$B$2)</f>
        <v>0</v>
      </c>
      <c r="Q22" s="2">
        <f>COUNTIF(defects!$V:$V,Weekly!Q$3&amp;Weekly!$B22&amp;Weekly!$B$3&amp;$B$2)</f>
        <v>0</v>
      </c>
      <c r="R22" s="2">
        <f>COUNTIF(defects!$V:$V,Weekly!R$3&amp;Weekly!$B22&amp;Weekly!$B$3&amp;$B$2)</f>
        <v>0</v>
      </c>
      <c r="S22" s="2">
        <f>COUNTIF(defects!$V:$V,Weekly!S$3&amp;Weekly!$B22&amp;Weekly!$B$3&amp;$B$2)</f>
        <v>0</v>
      </c>
      <c r="T22" s="2">
        <f>COUNTIF(defects!$V:$V,Weekly!T$3&amp;Weekly!$B22&amp;Weekly!$B$3&amp;$B$2)</f>
        <v>0</v>
      </c>
      <c r="U22" s="2">
        <f>COUNTIF(defects!$V:$V,Weekly!U$3&amp;Weekly!$B22&amp;Weekly!$B$3&amp;$B$2)</f>
        <v>0</v>
      </c>
      <c r="V22" s="2">
        <f>COUNTIF(defects!$V:$V,Weekly!V$3&amp;Weekly!$B22&amp;Weekly!$B$3&amp;$B$2)</f>
        <v>0</v>
      </c>
      <c r="W22" s="2">
        <f>COUNTIF(defects!$V:$V,Weekly!W$3&amp;Weekly!$B22&amp;Weekly!$B$3&amp;$B$2)</f>
        <v>0</v>
      </c>
      <c r="X22" s="2">
        <f>COUNTIF(defects!$V:$V,Weekly!X$3&amp;Weekly!$B22&amp;Weekly!$B$3&amp;$B$2)</f>
        <v>0</v>
      </c>
      <c r="Y22" s="2">
        <f>COUNTIF(defects!$V:$V,Weekly!Y$3&amp;Weekly!$B22&amp;Weekly!$B$3&amp;$B$2)</f>
        <v>0</v>
      </c>
      <c r="Z22" s="2">
        <f>COUNTIF(defects!$V:$V,Weekly!Z$3&amp;Weekly!$B22&amp;Weekly!$B$3&amp;$B$2)</f>
        <v>0</v>
      </c>
      <c r="AA22" s="2">
        <f>COUNTIF(defects!$V:$V,Weekly!AA$3&amp;Weekly!$B22&amp;Weekly!$B$3&amp;$B$2)</f>
        <v>0</v>
      </c>
      <c r="AB22" s="2">
        <f>COUNTIF(defects!$V:$V,Weekly!AB$3&amp;Weekly!$B22&amp;Weekly!$B$3&amp;$B$2)</f>
        <v>0</v>
      </c>
      <c r="AC22" s="2">
        <f>COUNTIF(defects!$V:$V,Weekly!AC$3&amp;Weekly!$B22&amp;Weekly!$B$3&amp;$B$2)</f>
        <v>0</v>
      </c>
      <c r="AD22" s="2">
        <f>COUNTIF(defects!$V:$V,Weekly!AD$3&amp;Weekly!$B22&amp;Weekly!$B$3&amp;$B$2)</f>
        <v>0</v>
      </c>
      <c r="AE22" s="2">
        <f>COUNTIF(defects!$V:$V,Weekly!AE$3&amp;Weekly!$B22&amp;Weekly!$B$3&amp;$B$2)</f>
        <v>0</v>
      </c>
      <c r="AF22" s="2">
        <f>COUNTIF(defects!$V:$V,Weekly!AF$3&amp;Weekly!$B22&amp;Weekly!$B$3&amp;$B$2)</f>
        <v>0</v>
      </c>
      <c r="AG22" s="2">
        <f>COUNTIF(defects!$V:$V,Weekly!AG$3&amp;Weekly!$B22&amp;Weekly!$B$3&amp;$B$2)</f>
        <v>0</v>
      </c>
      <c r="AH22" s="2">
        <f>COUNTIF(defects!$V:$V,Weekly!AH$3&amp;Weekly!$B22&amp;Weekly!$B$3&amp;$B$2)</f>
        <v>0</v>
      </c>
      <c r="AI22" s="2">
        <f>COUNTIF(defects!$V:$V,Weekly!AI$3&amp;Weekly!$B22&amp;Weekly!$B$3&amp;$B$2)</f>
        <v>0</v>
      </c>
      <c r="AJ22" s="2">
        <f>COUNTIF(defects!$V:$V,Weekly!AJ$3&amp;Weekly!$B22&amp;Weekly!$B$3&amp;$B$2)</f>
        <v>0</v>
      </c>
      <c r="AK22" s="2">
        <f>COUNTIF(defects!$V:$V,Weekly!AK$3&amp;Weekly!$B22&amp;Weekly!$B$3&amp;$B$2)</f>
        <v>0</v>
      </c>
      <c r="AL22" s="2">
        <f>COUNTIF(defects!$V:$V,Weekly!AL$3&amp;Weekly!$B22&amp;Weekly!$B$3&amp;$B$2)</f>
        <v>0</v>
      </c>
      <c r="AM22" s="2">
        <f>COUNTIF(defects!$V:$V,Weekly!AM$3&amp;Weekly!$B22&amp;Weekly!$B$3&amp;$B$2)</f>
        <v>0</v>
      </c>
      <c r="AN22" s="2">
        <f>COUNTIF(defects!$V:$V,Weekly!AN$3&amp;Weekly!$B22&amp;Weekly!$B$3&amp;$B$2)</f>
        <v>0</v>
      </c>
      <c r="AO22" s="2">
        <f>COUNTIF(defects!$V:$V,Weekly!AO$3&amp;Weekly!$B22&amp;Weekly!$B$3&amp;$B$2)</f>
        <v>0</v>
      </c>
      <c r="AP22" s="2">
        <f>COUNTIF(defects!$V:$V,Weekly!AP$3&amp;Weekly!$B22&amp;Weekly!$B$3&amp;$B$2)</f>
        <v>0</v>
      </c>
      <c r="AQ22" s="2">
        <f>COUNTIF(defects!$V:$V,Weekly!AQ$3&amp;Weekly!$B22&amp;Weekly!$B$3&amp;$B$2)</f>
        <v>0</v>
      </c>
      <c r="AR22" s="2">
        <f>COUNTIF(defects!$V:$V,Weekly!AR$3&amp;Weekly!$B22&amp;Weekly!$B$3&amp;$B$2)</f>
        <v>0</v>
      </c>
      <c r="AS22" s="2">
        <f>COUNTIF(defects!$V:$V,Weekly!AS$3&amp;Weekly!$B22&amp;Weekly!$B$3&amp;$B$2)</f>
        <v>0</v>
      </c>
      <c r="AT22" s="2">
        <f>COUNTIF(defects!$V:$V,Weekly!AT$3&amp;Weekly!$B22&amp;Weekly!$B$3&amp;$B$2)</f>
        <v>0</v>
      </c>
      <c r="AU22" s="2">
        <f>COUNTIF(defects!$V:$V,Weekly!AU$3&amp;Weekly!$B22&amp;Weekly!$B$3&amp;$B$2)</f>
        <v>0</v>
      </c>
      <c r="AV22" s="2">
        <f>COUNTIF(defects!$V:$V,Weekly!AV$3&amp;Weekly!$B22&amp;Weekly!$B$3&amp;$B$2)</f>
        <v>0</v>
      </c>
      <c r="AW22" s="2">
        <f>COUNTIF(defects!$V:$V,Weekly!AW$3&amp;Weekly!$B22&amp;Weekly!$B$3&amp;$B$2)</f>
        <v>0</v>
      </c>
      <c r="AX22" s="2">
        <f>COUNTIF(defects!$V:$V,Weekly!AX$3&amp;Weekly!$B22&amp;Weekly!$B$3&amp;$B$2)</f>
        <v>0</v>
      </c>
      <c r="AY22" s="2">
        <f>COUNTIF(defects!$V:$V,Weekly!AY$3&amp;Weekly!$B22&amp;Weekly!$B$3&amp;$B$2)</f>
        <v>0</v>
      </c>
      <c r="AZ22" s="2">
        <f>COUNTIF(defects!$V:$V,Weekly!AZ$3&amp;Weekly!$B22&amp;Weekly!$B$3&amp;$B$2)</f>
        <v>0</v>
      </c>
      <c r="BA22" s="2">
        <f>COUNTIF(defects!$V:$V,Weekly!BA$3&amp;Weekly!$B22&amp;Weekly!$B$3&amp;$B$2)</f>
        <v>0</v>
      </c>
      <c r="BB22" s="2">
        <f>COUNTIF(defects!$V:$V,Weekly!BB$3&amp;Weekly!$B22&amp;Weekly!$B$3&amp;$B$2)</f>
        <v>0</v>
      </c>
      <c r="BC22" s="2">
        <f>COUNTIF(defects!$V:$V,Weekly!BC$3&amp;Weekly!$B22&amp;Weekly!$B$3&amp;$B$2)</f>
        <v>0</v>
      </c>
      <c r="BD22" s="2">
        <f>COUNTIF(defects!$V:$V,Weekly!BD$3&amp;Weekly!$B22&amp;Weekly!$B$3&amp;$B$2)</f>
        <v>0</v>
      </c>
      <c r="BE22" s="2">
        <f>COUNTIF(defects!$V:$V,Weekly!BE$3&amp;Weekly!$B22&amp;Weekly!$B$3&amp;$B$2)</f>
        <v>0</v>
      </c>
      <c r="BF22" s="2">
        <f>COUNTIF(defects!$V:$V,Weekly!BF$3&amp;Weekly!$B22&amp;Weekly!$B$3&amp;$B$2)</f>
        <v>0</v>
      </c>
      <c r="BG22" s="2">
        <f>COUNTIF(defects!$V:$V,Weekly!BG$3&amp;Weekly!$B22&amp;Weekly!$B$3&amp;$B$2)</f>
        <v>0</v>
      </c>
      <c r="BH22" s="2">
        <f>COUNTIF(defects!$V:$V,Weekly!BH$3&amp;Weekly!$B22&amp;Weekly!$B$3&amp;$B$2)</f>
        <v>0</v>
      </c>
      <c r="BI22" s="2">
        <f>COUNTIF(defects!$V:$V,Weekly!BI$3&amp;Weekly!$B22&amp;Weekly!$B$3&amp;$B$2)</f>
        <v>0</v>
      </c>
      <c r="BJ22" s="2">
        <f>COUNTIF(defects!$V:$V,Weekly!BJ$3&amp;Weekly!$B22&amp;Weekly!$B$3&amp;$B$2)</f>
        <v>0</v>
      </c>
      <c r="BK22" s="2">
        <f>COUNTIF(defects!$V:$V,Weekly!BK$3&amp;Weekly!$B22&amp;Weekly!$B$3&amp;$B$2)</f>
        <v>0</v>
      </c>
      <c r="BL22" s="2">
        <f>COUNTIF(defects!$V:$V,Weekly!BL$3&amp;Weekly!$B22&amp;Weekly!$B$3&amp;$B$2)</f>
        <v>0</v>
      </c>
      <c r="BM22" s="2">
        <f>COUNTIF(defects!$V:$V,Weekly!BM$3&amp;Weekly!$B22&amp;Weekly!$B$3&amp;$B$2)</f>
        <v>0</v>
      </c>
      <c r="BN22" s="2">
        <f>COUNTIF(defects!$V:$V,Weekly!BN$3&amp;Weekly!$B22&amp;Weekly!$B$3&amp;$B$2)</f>
        <v>0</v>
      </c>
      <c r="BO22" s="2">
        <f>COUNTIF(defects!$V:$V,Weekly!BO$3&amp;Weekly!$B22&amp;Weekly!$B$3&amp;$B$2)</f>
        <v>0</v>
      </c>
      <c r="BP22" s="2">
        <f>COUNTIF(defects!$V:$V,Weekly!BP$3&amp;Weekly!$B22&amp;Weekly!$B$3&amp;$B$2)</f>
        <v>0</v>
      </c>
      <c r="BQ22" s="2">
        <f>COUNTIF(defects!$V:$V,Weekly!BQ$3&amp;Weekly!$B22&amp;Weekly!$B$3&amp;$B$2)</f>
        <v>0</v>
      </c>
      <c r="BR22" s="2">
        <f>COUNTIF(defects!$V:$V,Weekly!BR$3&amp;Weekly!$B22&amp;Weekly!$B$3&amp;$B$2)</f>
        <v>0</v>
      </c>
      <c r="BS22" s="2">
        <f>COUNTIF(defects!$V:$V,Weekly!BS$3&amp;Weekly!$B22&amp;Weekly!$B$3&amp;$B$2)</f>
        <v>0</v>
      </c>
      <c r="BT22" s="2">
        <f>COUNTIF(defects!$V:$V,Weekly!BT$3&amp;Weekly!$B22&amp;Weekly!$B$3&amp;$B$2)</f>
        <v>1</v>
      </c>
      <c r="BU22" s="2">
        <f>COUNTIF(defects!$V:$V,Weekly!BU$3&amp;Weekly!$B22&amp;Weekly!$B$3&amp;$B$2)</f>
        <v>1</v>
      </c>
      <c r="BV22" s="2">
        <f>COUNTIF(defects!$V:$V,Weekly!BV$3&amp;Weekly!$B22&amp;Weekly!$B$3&amp;$B$2)</f>
        <v>0</v>
      </c>
      <c r="BW22" s="2">
        <f>COUNTIF(defects!$V:$V,Weekly!BW$3&amp;Weekly!$B22&amp;Weekly!$B$3&amp;$B$2)</f>
        <v>0</v>
      </c>
      <c r="BX22" s="2">
        <f>COUNTIF(defects!$V:$V,Weekly!BX$3&amp;Weekly!$B22&amp;Weekly!$B$3&amp;$B$2)</f>
        <v>0</v>
      </c>
      <c r="BY22" s="2">
        <f>COUNTIF(defects!$V:$V,Weekly!BY$3&amp;Weekly!$B22&amp;Weekly!$B$3&amp;$B$2)</f>
        <v>1</v>
      </c>
      <c r="BZ22" s="2">
        <f>COUNTIF(defects!$V:$V,Weekly!BZ$3&amp;Weekly!$B22&amp;Weekly!$B$3&amp;$B$2)</f>
        <v>0</v>
      </c>
      <c r="CA22" s="2">
        <f>COUNTIF(defects!$V:$V,Weekly!CA$3&amp;Weekly!$B22&amp;Weekly!$B$3&amp;$B$2)</f>
        <v>0</v>
      </c>
      <c r="CB22" s="2">
        <f>COUNTIF(defects!$V:$V,Weekly!CB$3&amp;Weekly!$B22&amp;Weekly!$B$3&amp;$B$2)</f>
        <v>0</v>
      </c>
      <c r="CC22" s="2">
        <f>COUNTIF(defects!$V:$V,Weekly!CC$3&amp;Weekly!$B22&amp;Weekly!$B$3&amp;$B$2)</f>
        <v>1</v>
      </c>
      <c r="CD22" s="2">
        <f>COUNTIF(defects!$V:$V,Weekly!CD$3&amp;Weekly!$B22&amp;Weekly!$B$3&amp;$B$2)</f>
        <v>0</v>
      </c>
      <c r="CE22" s="2">
        <f>COUNTIF(defects!$V:$V,Weekly!CE$3&amp;Weekly!$B22&amp;Weekly!$B$3&amp;$B$2)</f>
        <v>0</v>
      </c>
      <c r="CF22" s="2">
        <f>COUNTIF(defects!$V:$V,Weekly!CF$3&amp;Weekly!$B22&amp;Weekly!$B$3&amp;$B$2)</f>
        <v>0</v>
      </c>
      <c r="CG22" s="2">
        <f>COUNTIF(defects!$V:$V,Weekly!CG$3&amp;Weekly!$B22&amp;Weekly!$B$3&amp;$B$2)</f>
        <v>0</v>
      </c>
      <c r="CH22" s="2">
        <f>COUNTIF(defects!$V:$V,Weekly!CH$3&amp;Weekly!$B22&amp;Weekly!$B$3&amp;$B$2)</f>
        <v>0</v>
      </c>
      <c r="CI22" s="2">
        <f>COUNTIF(defects!$V:$V,Weekly!CI$3&amp;Weekly!$B22&amp;Weekly!$B$3&amp;$B$2)</f>
        <v>0</v>
      </c>
      <c r="CJ22" s="2">
        <f>COUNTIF(defects!$V:$V,Weekly!CJ$3&amp;Weekly!$B22&amp;Weekly!$B$3&amp;$B$2)</f>
        <v>3</v>
      </c>
      <c r="CK22" s="2">
        <f>COUNTIF(defects!$V:$V,Weekly!CK$3&amp;Weekly!$B22&amp;Weekly!$B$3&amp;$B$2)</f>
        <v>0</v>
      </c>
      <c r="CL22" s="2">
        <f>COUNTIF(defects!$V:$V,Weekly!CL$3&amp;Weekly!$B22&amp;Weekly!$B$3&amp;$B$2)</f>
        <v>0</v>
      </c>
      <c r="CM22" s="2">
        <f>COUNTIF(defects!$V:$V,Weekly!CM$3&amp;Weekly!$B22&amp;Weekly!$B$3&amp;$B$2)</f>
        <v>0</v>
      </c>
      <c r="CN22" s="2">
        <f>COUNTIF(defects!$V:$V,Weekly!CN$3&amp;Weekly!$B22&amp;Weekly!$B$3&amp;$B$2)</f>
        <v>0</v>
      </c>
      <c r="CO22" s="2">
        <f>COUNTIF(defects!$V:$V,Weekly!CO$3&amp;Weekly!$B22&amp;Weekly!$B$3&amp;$B$2)</f>
        <v>0</v>
      </c>
      <c r="CP22" s="2">
        <f>COUNTIF(defects!$V:$V,Weekly!CP$3&amp;Weekly!$B22&amp;Weekly!$B$3&amp;$B$2)</f>
        <v>0</v>
      </c>
      <c r="CQ22" s="2">
        <f>COUNTIF(defects!$V:$V,Weekly!CQ$3&amp;Weekly!$B22&amp;Weekly!$B$3&amp;$B$2)</f>
        <v>0</v>
      </c>
      <c r="CR22" s="2">
        <f>COUNTIF(defects!$V:$V,Weekly!CR$3&amp;Weekly!$B22&amp;Weekly!$B$3&amp;$B$2)</f>
        <v>0</v>
      </c>
      <c r="CS22" s="2">
        <f>COUNTIF(defects!$V:$V,Weekly!CS$3&amp;Weekly!$B22&amp;Weekly!$B$3&amp;$B$2)</f>
        <v>0</v>
      </c>
      <c r="CT22" s="2">
        <f>COUNTIF(defects!$V:$V,Weekly!CT$3&amp;Weekly!$B22&amp;Weekly!$B$3&amp;$B$2)</f>
        <v>0</v>
      </c>
      <c r="CU22" s="2">
        <f>COUNTIF(defects!$V:$V,Weekly!CU$3&amp;Weekly!$B22&amp;Weekly!$B$3&amp;$B$2)</f>
        <v>0</v>
      </c>
      <c r="CV22" s="2">
        <f>COUNTIF(defects!$V:$V,Weekly!CV$3&amp;Weekly!$B22&amp;Weekly!$B$3&amp;$B$2)</f>
        <v>0</v>
      </c>
      <c r="CW22" s="2">
        <f>COUNTIF(defects!$V:$V,Weekly!CW$3&amp;Weekly!$B22&amp;Weekly!$B$3&amp;$B$2)</f>
        <v>0</v>
      </c>
      <c r="CX22" s="2">
        <f>COUNTIF(defects!$V:$V,Weekly!CX$3&amp;Weekly!$B22&amp;Weekly!$B$3&amp;$B$2)</f>
        <v>0</v>
      </c>
      <c r="CY22" s="2">
        <f>COUNTIF(defects!$V:$V,Weekly!CY$3&amp;Weekly!$B22&amp;Weekly!$B$3&amp;$B$2)</f>
        <v>0</v>
      </c>
      <c r="CZ22" s="2">
        <f>COUNTIF(defects!$V:$V,Weekly!CZ$3&amp;Weekly!$B22&amp;Weekly!$B$3&amp;$B$2)</f>
        <v>0</v>
      </c>
      <c r="DA22" s="2">
        <f>COUNTIF(defects!$V:$V,Weekly!DA$3&amp;Weekly!$B22&amp;Weekly!$B$3&amp;$B$2)</f>
        <v>0</v>
      </c>
      <c r="DB22" s="2">
        <f>COUNTIF(defects!$V:$V,Weekly!DB$3&amp;Weekly!$B22&amp;Weekly!$B$3&amp;$B$2)</f>
        <v>0</v>
      </c>
      <c r="DC22" s="2">
        <f>COUNTIF(defects!$V:$V,Weekly!DC$3&amp;Weekly!$B22&amp;Weekly!$B$3&amp;$B$2)</f>
        <v>0</v>
      </c>
      <c r="DD22" s="2">
        <f>COUNTIF(defects!$V:$V,Weekly!DD$3&amp;Weekly!$B22&amp;Weekly!$B$3&amp;$B$2)</f>
        <v>0</v>
      </c>
      <c r="DE22" s="2">
        <f>COUNTIF(defects!$V:$V,Weekly!DE$3&amp;Weekly!$B22&amp;Weekly!$B$3&amp;$B$2)</f>
        <v>0</v>
      </c>
      <c r="DF22" s="2">
        <f>COUNTIF(defects!$V:$V,Weekly!DF$3&amp;Weekly!$B22&amp;Weekly!$B$3&amp;$B$2)</f>
        <v>0</v>
      </c>
      <c r="DG22" s="2">
        <f>COUNTIF(defects!$V:$V,Weekly!DG$3&amp;Weekly!$B22&amp;Weekly!$B$3&amp;$B$2)</f>
        <v>0</v>
      </c>
      <c r="DH22" s="2">
        <f>COUNTIF(defects!$V:$V,Weekly!DH$3&amp;Weekly!$B22&amp;Weekly!$B$3&amp;$B$2)</f>
        <v>0</v>
      </c>
      <c r="DI22" s="2">
        <f>COUNTIF(defects!$V:$V,Weekly!DI$3&amp;Weekly!$B22&amp;Weekly!$B$3&amp;$B$2)</f>
        <v>0</v>
      </c>
      <c r="DJ22" s="2">
        <f>COUNTIF(defects!$V:$V,Weekly!DJ$3&amp;Weekly!$B22&amp;Weekly!$B$3&amp;$B$2)</f>
        <v>0</v>
      </c>
      <c r="DK22" s="2">
        <f>COUNTIF(defects!$V:$V,Weekly!DK$3&amp;Weekly!$B22&amp;Weekly!$B$3&amp;$B$2)</f>
        <v>0</v>
      </c>
      <c r="DL22" s="2">
        <f>COUNTIF(defects!$V:$V,Weekly!DL$3&amp;Weekly!$B22&amp;Weekly!$B$3&amp;$B$2)</f>
        <v>0</v>
      </c>
      <c r="DM22" s="2">
        <f>COUNTIF(defects!$V:$V,Weekly!DM$3&amp;Weekly!$B22&amp;Weekly!$B$3&amp;$B$2)</f>
        <v>0</v>
      </c>
      <c r="DN22" s="2">
        <f>COUNTIF(defects!$V:$V,Weekly!DN$3&amp;Weekly!$B22&amp;Weekly!$B$3&amp;$B$2)</f>
        <v>0</v>
      </c>
      <c r="DO22" s="2">
        <f>COUNTIF(defects!$V:$V,Weekly!DO$3&amp;Weekly!$B22&amp;Weekly!$B$3&amp;$B$2)</f>
        <v>0</v>
      </c>
      <c r="DP22" s="2">
        <f>COUNTIF(defects!$V:$V,Weekly!DP$3&amp;Weekly!$B22&amp;Weekly!$B$3&amp;$B$2)</f>
        <v>0</v>
      </c>
      <c r="DQ22" s="2">
        <f>COUNTIF(defects!$V:$V,Weekly!DQ$3&amp;Weekly!$B22&amp;Weekly!$B$3&amp;$B$2)</f>
        <v>0</v>
      </c>
      <c r="DR22" s="2">
        <f>COUNTIF(defects!$V:$V,Weekly!DR$3&amp;Weekly!$B22&amp;Weekly!$B$3&amp;$B$2)</f>
        <v>0</v>
      </c>
      <c r="DS22" s="2">
        <f>COUNTIF(defects!$V:$V,Weekly!DS$3&amp;Weekly!$B22&amp;Weekly!$B$3&amp;$B$2)</f>
        <v>0</v>
      </c>
      <c r="DT22" s="2">
        <f>COUNTIF(defects!$V:$V,Weekly!DT$3&amp;Weekly!$B22&amp;Weekly!$B$3&amp;$B$2)</f>
        <v>0</v>
      </c>
      <c r="DU22" s="2">
        <f>COUNTIF(defects!$V:$V,Weekly!DU$3&amp;Weekly!$B22&amp;Weekly!$B$3&amp;$B$2)</f>
        <v>0</v>
      </c>
      <c r="DV22" s="2">
        <f>COUNTIF(defects!$V:$V,Weekly!DV$3&amp;Weekly!$B22&amp;Weekly!$B$3&amp;$B$2)</f>
        <v>0</v>
      </c>
      <c r="DW22" s="2">
        <f>COUNTIF(defects!$V:$V,Weekly!DW$3&amp;Weekly!$B22&amp;Weekly!$B$3&amp;$B$2)</f>
        <v>0</v>
      </c>
      <c r="DX22" s="2">
        <f>COUNTIF(defects!$V:$V,Weekly!DX$3&amp;Weekly!$B22&amp;Weekly!$B$3&amp;$B$2)</f>
        <v>0</v>
      </c>
      <c r="DY22" s="2">
        <f>COUNTIF(defects!$V:$V,Weekly!DY$3&amp;Weekly!$B22&amp;Weekly!$B$3&amp;$B$2)</f>
        <v>0</v>
      </c>
      <c r="DZ22" s="2">
        <f>COUNTIF(defects!$V:$V,Weekly!DZ$3&amp;Weekly!$B22&amp;Weekly!$B$3&amp;$B$2)</f>
        <v>0</v>
      </c>
      <c r="EA22" s="2">
        <f>COUNTIF(defects!$V:$V,Weekly!EA$3&amp;Weekly!$B22&amp;Weekly!$B$3&amp;$B$2)</f>
        <v>0</v>
      </c>
      <c r="EB22" s="2">
        <f>COUNTIF(defects!$V:$V,Weekly!EB$3&amp;Weekly!$B22&amp;Weekly!$B$3&amp;$B$2)</f>
        <v>0</v>
      </c>
      <c r="EC22" s="2">
        <f>COUNTIF(defects!$V:$V,Weekly!EC$3&amp;Weekly!$B22&amp;Weekly!$B$3&amp;$B$2)</f>
        <v>0</v>
      </c>
      <c r="ED22" s="2">
        <f>COUNTIF(defects!$V:$V,Weekly!ED$3&amp;Weekly!$B22&amp;Weekly!$B$3&amp;$B$2)</f>
        <v>0</v>
      </c>
      <c r="EE22" s="2">
        <f>COUNTIF(defects!$V:$V,Weekly!EE$3&amp;Weekly!$B22&amp;Weekly!$B$3&amp;$B$2)</f>
        <v>0</v>
      </c>
      <c r="EF22" s="2">
        <f>COUNTIF(defects!$V:$V,Weekly!EF$3&amp;Weekly!$B22&amp;Weekly!$B$3&amp;$B$2)</f>
        <v>0</v>
      </c>
      <c r="EG22" s="2">
        <f>COUNTIF(defects!$V:$V,Weekly!EG$3&amp;Weekly!$B22&amp;Weekly!$B$3&amp;$B$2)</f>
        <v>0</v>
      </c>
      <c r="EH22" s="2">
        <f>COUNTIF(defects!$V:$V,Weekly!EH$3&amp;Weekly!$B22&amp;Weekly!$B$3&amp;$B$2)</f>
        <v>0</v>
      </c>
      <c r="EI22" s="2">
        <f>COUNTIF(defects!$V:$V,Weekly!EI$3&amp;Weekly!$B22&amp;Weekly!$B$3&amp;$B$2)</f>
        <v>0</v>
      </c>
      <c r="EJ22" s="2">
        <f>COUNTIF(defects!$V:$V,Weekly!EJ$3&amp;Weekly!$B22&amp;Weekly!$B$3&amp;$B$2)</f>
        <v>0</v>
      </c>
      <c r="EK22" s="2">
        <f>COUNTIF(defects!$V:$V,Weekly!EK$3&amp;Weekly!$B22&amp;Weekly!$B$3&amp;$B$2)</f>
        <v>0</v>
      </c>
      <c r="EL22" s="2">
        <f>COUNTIF(defects!$V:$V,Weekly!EL$3&amp;Weekly!$B22&amp;Weekly!$B$3&amp;$B$2)</f>
        <v>0</v>
      </c>
      <c r="EM22" s="2">
        <f>COUNTIF(defects!$V:$V,Weekly!EM$3&amp;Weekly!$B22&amp;Weekly!$B$3&amp;$B$2)</f>
        <v>0</v>
      </c>
      <c r="EN22" s="2">
        <f>COUNTIF(defects!$V:$V,Weekly!EN$3&amp;Weekly!$B22&amp;Weekly!$B$3&amp;$B$2)</f>
        <v>0</v>
      </c>
      <c r="EO22" s="2">
        <f>COUNTIF(defects!$V:$V,Weekly!EO$3&amp;Weekly!$B22&amp;Weekly!$B$3&amp;$B$2)</f>
        <v>0</v>
      </c>
      <c r="EP22" s="2">
        <f>COUNTIF(defects!$V:$V,Weekly!EP$3&amp;Weekly!$B22&amp;Weekly!$B$3&amp;$B$2)</f>
        <v>0</v>
      </c>
      <c r="EQ22" s="2">
        <f>COUNTIF(defects!$V:$V,Weekly!EQ$3&amp;Weekly!$B22&amp;Weekly!$B$3&amp;$B$2)</f>
        <v>0</v>
      </c>
      <c r="ER22" s="2">
        <f>COUNTIF(defects!$V:$V,Weekly!ER$3&amp;Weekly!$B22&amp;Weekly!$B$3&amp;$B$2)</f>
        <v>0</v>
      </c>
      <c r="ES22" s="2">
        <f>COUNTIF(defects!$V:$V,Weekly!ES$3&amp;Weekly!$B22&amp;Weekly!$B$3&amp;$B$2)</f>
        <v>0</v>
      </c>
      <c r="ET22" s="2">
        <f>COUNTIF(defects!$V:$V,Weekly!ET$3&amp;Weekly!$B22&amp;Weekly!$B$3&amp;$B$2)</f>
        <v>0</v>
      </c>
      <c r="EU22" s="2">
        <f>COUNTIF(defects!$V:$V,Weekly!EU$3&amp;Weekly!$B22&amp;Weekly!$B$3&amp;$B$2)</f>
        <v>0</v>
      </c>
      <c r="EV22" s="2">
        <f>COUNTIF(defects!$V:$V,Weekly!EV$3&amp;Weekly!$B22&amp;Weekly!$B$3&amp;$B$2)</f>
        <v>0</v>
      </c>
      <c r="EW22" s="2">
        <f>COUNTIF(defects!$V:$V,Weekly!EW$3&amp;Weekly!$B22&amp;Weekly!$B$3&amp;$B$2)</f>
        <v>0</v>
      </c>
      <c r="EX22" s="2">
        <f>COUNTIF(defects!$V:$V,Weekly!EX$3&amp;Weekly!$B22&amp;Weekly!$B$3&amp;$B$2)</f>
        <v>0</v>
      </c>
      <c r="EY22" s="2">
        <f>COUNTIF(defects!$V:$V,Weekly!EY$3&amp;Weekly!$B22&amp;Weekly!$B$3&amp;$B$2)</f>
        <v>0</v>
      </c>
      <c r="EZ22" s="2">
        <f>COUNTIF(defects!$V:$V,Weekly!EZ$3&amp;Weekly!$B22&amp;Weekly!$B$3&amp;$B$2)</f>
        <v>0</v>
      </c>
      <c r="FA22" s="2">
        <f>COUNTIF(defects!$V:$V,Weekly!FA$3&amp;Weekly!$B22&amp;Weekly!$B$3&amp;$B$2)</f>
        <v>0</v>
      </c>
      <c r="FB22" s="2">
        <f>COUNTIF(defects!$V:$V,Weekly!FB$3&amp;Weekly!$B22&amp;Weekly!$B$3&amp;$B$2)</f>
        <v>0</v>
      </c>
      <c r="FC22" s="2">
        <f>COUNTIF(defects!$V:$V,Weekly!FC$3&amp;Weekly!$B22&amp;Weekly!$B$3&amp;$B$2)</f>
        <v>0</v>
      </c>
      <c r="FD22" s="2">
        <f>COUNTIF(defects!$V:$V,Weekly!FD$3&amp;Weekly!$B22&amp;Weekly!$B$3&amp;$B$2)</f>
        <v>0</v>
      </c>
      <c r="FE22" s="2">
        <f>COUNTIF(defects!$V:$V,Weekly!FE$3&amp;Weekly!$B22&amp;Weekly!$B$3&amp;$B$2)</f>
        <v>0</v>
      </c>
    </row>
    <row r="23" spans="2:161" x14ac:dyDescent="0.35">
      <c r="B23" s="3" t="s">
        <v>1346</v>
      </c>
      <c r="C23" s="2">
        <f>COUNTIF(defects!$V:$V,Weekly!C$3&amp;Weekly!$B23&amp;Weekly!$B$3&amp;$B$2)</f>
        <v>0</v>
      </c>
      <c r="D23" s="2">
        <f>COUNTIF(defects!$V:$V,Weekly!D$3&amp;Weekly!$B23&amp;Weekly!$B$3&amp;$B$2)</f>
        <v>0</v>
      </c>
      <c r="E23" s="2">
        <f>COUNTIF(defects!$V:$V,Weekly!E$3&amp;Weekly!$B23&amp;Weekly!$B$3&amp;$B$2)</f>
        <v>0</v>
      </c>
      <c r="F23" s="2">
        <f>COUNTIF(defects!$V:$V,Weekly!F$3&amp;Weekly!$B23&amp;Weekly!$B$3&amp;$B$2)</f>
        <v>0</v>
      </c>
      <c r="G23" s="2">
        <f>COUNTIF(defects!$V:$V,Weekly!G$3&amp;Weekly!$B23&amp;Weekly!$B$3&amp;$B$2)</f>
        <v>0</v>
      </c>
      <c r="H23" s="2">
        <f>COUNTIF(defects!$V:$V,Weekly!H$3&amp;Weekly!$B23&amp;Weekly!$B$3&amp;$B$2)</f>
        <v>0</v>
      </c>
      <c r="I23" s="2">
        <f>COUNTIF(defects!$V:$V,Weekly!I$3&amp;Weekly!$B23&amp;Weekly!$B$3&amp;$B$2)</f>
        <v>0</v>
      </c>
      <c r="J23" s="2">
        <f>COUNTIF(defects!$V:$V,Weekly!J$3&amp;Weekly!$B23&amp;Weekly!$B$3&amp;$B$2)</f>
        <v>0</v>
      </c>
      <c r="K23" s="2">
        <f>COUNTIF(defects!$V:$V,Weekly!K$3&amp;Weekly!$B23&amp;Weekly!$B$3&amp;$B$2)</f>
        <v>0</v>
      </c>
      <c r="L23" s="2">
        <f>COUNTIF(defects!$V:$V,Weekly!L$3&amp;Weekly!$B23&amp;Weekly!$B$3&amp;$B$2)</f>
        <v>0</v>
      </c>
      <c r="M23" s="2">
        <f>COUNTIF(defects!$V:$V,Weekly!M$3&amp;Weekly!$B23&amp;Weekly!$B$3&amp;$B$2)</f>
        <v>0</v>
      </c>
      <c r="N23" s="2">
        <f>COUNTIF(defects!$V:$V,Weekly!N$3&amp;Weekly!$B23&amp;Weekly!$B$3&amp;$B$2)</f>
        <v>0</v>
      </c>
      <c r="O23" s="2">
        <f>COUNTIF(defects!$V:$V,Weekly!O$3&amp;Weekly!$B23&amp;Weekly!$B$3&amp;$B$2)</f>
        <v>0</v>
      </c>
      <c r="P23" s="2">
        <f>COUNTIF(defects!$V:$V,Weekly!P$3&amp;Weekly!$B23&amp;Weekly!$B$3&amp;$B$2)</f>
        <v>0</v>
      </c>
      <c r="Q23" s="2">
        <f>COUNTIF(defects!$V:$V,Weekly!Q$3&amp;Weekly!$B23&amp;Weekly!$B$3&amp;$B$2)</f>
        <v>0</v>
      </c>
      <c r="R23" s="2">
        <f>COUNTIF(defects!$V:$V,Weekly!R$3&amp;Weekly!$B23&amp;Weekly!$B$3&amp;$B$2)</f>
        <v>0</v>
      </c>
      <c r="S23" s="2">
        <f>COUNTIF(defects!$V:$V,Weekly!S$3&amp;Weekly!$B23&amp;Weekly!$B$3&amp;$B$2)</f>
        <v>0</v>
      </c>
      <c r="T23" s="2">
        <f>COUNTIF(defects!$V:$V,Weekly!T$3&amp;Weekly!$B23&amp;Weekly!$B$3&amp;$B$2)</f>
        <v>0</v>
      </c>
      <c r="U23" s="2">
        <f>COUNTIF(defects!$V:$V,Weekly!U$3&amp;Weekly!$B23&amp;Weekly!$B$3&amp;$B$2)</f>
        <v>0</v>
      </c>
      <c r="V23" s="2">
        <f>COUNTIF(defects!$V:$V,Weekly!V$3&amp;Weekly!$B23&amp;Weekly!$B$3&amp;$B$2)</f>
        <v>0</v>
      </c>
      <c r="W23" s="2">
        <f>COUNTIF(defects!$V:$V,Weekly!W$3&amp;Weekly!$B23&amp;Weekly!$B$3&amp;$B$2)</f>
        <v>0</v>
      </c>
      <c r="X23" s="2">
        <f>COUNTIF(defects!$V:$V,Weekly!X$3&amp;Weekly!$B23&amp;Weekly!$B$3&amp;$B$2)</f>
        <v>0</v>
      </c>
      <c r="Y23" s="2">
        <f>COUNTIF(defects!$V:$V,Weekly!Y$3&amp;Weekly!$B23&amp;Weekly!$B$3&amp;$B$2)</f>
        <v>0</v>
      </c>
      <c r="Z23" s="2">
        <f>COUNTIF(defects!$V:$V,Weekly!Z$3&amp;Weekly!$B23&amp;Weekly!$B$3&amp;$B$2)</f>
        <v>0</v>
      </c>
      <c r="AA23" s="2">
        <f>COUNTIF(defects!$V:$V,Weekly!AA$3&amp;Weekly!$B23&amp;Weekly!$B$3&amp;$B$2)</f>
        <v>0</v>
      </c>
      <c r="AB23" s="2">
        <f>COUNTIF(defects!$V:$V,Weekly!AB$3&amp;Weekly!$B23&amp;Weekly!$B$3&amp;$B$2)</f>
        <v>0</v>
      </c>
      <c r="AC23" s="2">
        <f>COUNTIF(defects!$V:$V,Weekly!AC$3&amp;Weekly!$B23&amp;Weekly!$B$3&amp;$B$2)</f>
        <v>0</v>
      </c>
      <c r="AD23" s="2">
        <f>COUNTIF(defects!$V:$V,Weekly!AD$3&amp;Weekly!$B23&amp;Weekly!$B$3&amp;$B$2)</f>
        <v>0</v>
      </c>
      <c r="AE23" s="2">
        <f>COUNTIF(defects!$V:$V,Weekly!AE$3&amp;Weekly!$B23&amp;Weekly!$B$3&amp;$B$2)</f>
        <v>0</v>
      </c>
      <c r="AF23" s="2">
        <f>COUNTIF(defects!$V:$V,Weekly!AF$3&amp;Weekly!$B23&amp;Weekly!$B$3&amp;$B$2)</f>
        <v>0</v>
      </c>
      <c r="AG23" s="2">
        <f>COUNTIF(defects!$V:$V,Weekly!AG$3&amp;Weekly!$B23&amp;Weekly!$B$3&amp;$B$2)</f>
        <v>0</v>
      </c>
      <c r="AH23" s="2">
        <f>COUNTIF(defects!$V:$V,Weekly!AH$3&amp;Weekly!$B23&amp;Weekly!$B$3&amp;$B$2)</f>
        <v>0</v>
      </c>
      <c r="AI23" s="2">
        <f>COUNTIF(defects!$V:$V,Weekly!AI$3&amp;Weekly!$B23&amp;Weekly!$B$3&amp;$B$2)</f>
        <v>0</v>
      </c>
      <c r="AJ23" s="2">
        <f>COUNTIF(defects!$V:$V,Weekly!AJ$3&amp;Weekly!$B23&amp;Weekly!$B$3&amp;$B$2)</f>
        <v>0</v>
      </c>
      <c r="AK23" s="2">
        <f>COUNTIF(defects!$V:$V,Weekly!AK$3&amp;Weekly!$B23&amp;Weekly!$B$3&amp;$B$2)</f>
        <v>0</v>
      </c>
      <c r="AL23" s="2">
        <f>COUNTIF(defects!$V:$V,Weekly!AL$3&amp;Weekly!$B23&amp;Weekly!$B$3&amp;$B$2)</f>
        <v>0</v>
      </c>
      <c r="AM23" s="2">
        <f>COUNTIF(defects!$V:$V,Weekly!AM$3&amp;Weekly!$B23&amp;Weekly!$B$3&amp;$B$2)</f>
        <v>0</v>
      </c>
      <c r="AN23" s="2">
        <f>COUNTIF(defects!$V:$V,Weekly!AN$3&amp;Weekly!$B23&amp;Weekly!$B$3&amp;$B$2)</f>
        <v>0</v>
      </c>
      <c r="AO23" s="2">
        <f>COUNTIF(defects!$V:$V,Weekly!AO$3&amp;Weekly!$B23&amp;Weekly!$B$3&amp;$B$2)</f>
        <v>0</v>
      </c>
      <c r="AP23" s="2">
        <f>COUNTIF(defects!$V:$V,Weekly!AP$3&amp;Weekly!$B23&amp;Weekly!$B$3&amp;$B$2)</f>
        <v>0</v>
      </c>
      <c r="AQ23" s="2">
        <f>COUNTIF(defects!$V:$V,Weekly!AQ$3&amp;Weekly!$B23&amp;Weekly!$B$3&amp;$B$2)</f>
        <v>0</v>
      </c>
      <c r="AR23" s="2">
        <f>COUNTIF(defects!$V:$V,Weekly!AR$3&amp;Weekly!$B23&amp;Weekly!$B$3&amp;$B$2)</f>
        <v>0</v>
      </c>
      <c r="AS23" s="2">
        <f>COUNTIF(defects!$V:$V,Weekly!AS$3&amp;Weekly!$B23&amp;Weekly!$B$3&amp;$B$2)</f>
        <v>0</v>
      </c>
      <c r="AT23" s="2">
        <f>COUNTIF(defects!$V:$V,Weekly!AT$3&amp;Weekly!$B23&amp;Weekly!$B$3&amp;$B$2)</f>
        <v>0</v>
      </c>
      <c r="AU23" s="2">
        <f>COUNTIF(defects!$V:$V,Weekly!AU$3&amp;Weekly!$B23&amp;Weekly!$B$3&amp;$B$2)</f>
        <v>0</v>
      </c>
      <c r="AV23" s="2">
        <f>COUNTIF(defects!$V:$V,Weekly!AV$3&amp;Weekly!$B23&amp;Weekly!$B$3&amp;$B$2)</f>
        <v>0</v>
      </c>
      <c r="AW23" s="2">
        <f>COUNTIF(defects!$V:$V,Weekly!AW$3&amp;Weekly!$B23&amp;Weekly!$B$3&amp;$B$2)</f>
        <v>0</v>
      </c>
      <c r="AX23" s="2">
        <f>COUNTIF(defects!$V:$V,Weekly!AX$3&amp;Weekly!$B23&amp;Weekly!$B$3&amp;$B$2)</f>
        <v>0</v>
      </c>
      <c r="AY23" s="2">
        <f>COUNTIF(defects!$V:$V,Weekly!AY$3&amp;Weekly!$B23&amp;Weekly!$B$3&amp;$B$2)</f>
        <v>0</v>
      </c>
      <c r="AZ23" s="2">
        <f>COUNTIF(defects!$V:$V,Weekly!AZ$3&amp;Weekly!$B23&amp;Weekly!$B$3&amp;$B$2)</f>
        <v>0</v>
      </c>
      <c r="BA23" s="2">
        <f>COUNTIF(defects!$V:$V,Weekly!BA$3&amp;Weekly!$B23&amp;Weekly!$B$3&amp;$B$2)</f>
        <v>0</v>
      </c>
      <c r="BB23" s="2">
        <f>COUNTIF(defects!$V:$V,Weekly!BB$3&amp;Weekly!$B23&amp;Weekly!$B$3&amp;$B$2)</f>
        <v>0</v>
      </c>
      <c r="BC23" s="2">
        <f>COUNTIF(defects!$V:$V,Weekly!BC$3&amp;Weekly!$B23&amp;Weekly!$B$3&amp;$B$2)</f>
        <v>0</v>
      </c>
      <c r="BD23" s="2">
        <f>COUNTIF(defects!$V:$V,Weekly!BD$3&amp;Weekly!$B23&amp;Weekly!$B$3&amp;$B$2)</f>
        <v>0</v>
      </c>
      <c r="BE23" s="2">
        <f>COUNTIF(defects!$V:$V,Weekly!BE$3&amp;Weekly!$B23&amp;Weekly!$B$3&amp;$B$2)</f>
        <v>0</v>
      </c>
      <c r="BF23" s="2">
        <f>COUNTIF(defects!$V:$V,Weekly!BF$3&amp;Weekly!$B23&amp;Weekly!$B$3&amp;$B$2)</f>
        <v>0</v>
      </c>
      <c r="BG23" s="2">
        <f>COUNTIF(defects!$V:$V,Weekly!BG$3&amp;Weekly!$B23&amp;Weekly!$B$3&amp;$B$2)</f>
        <v>0</v>
      </c>
      <c r="BH23" s="2">
        <f>COUNTIF(defects!$V:$V,Weekly!BH$3&amp;Weekly!$B23&amp;Weekly!$B$3&amp;$B$2)</f>
        <v>0</v>
      </c>
      <c r="BI23" s="2">
        <f>COUNTIF(defects!$V:$V,Weekly!BI$3&amp;Weekly!$B23&amp;Weekly!$B$3&amp;$B$2)</f>
        <v>0</v>
      </c>
      <c r="BJ23" s="2">
        <f>COUNTIF(defects!$V:$V,Weekly!BJ$3&amp;Weekly!$B23&amp;Weekly!$B$3&amp;$B$2)</f>
        <v>0</v>
      </c>
      <c r="BK23" s="2">
        <f>COUNTIF(defects!$V:$V,Weekly!BK$3&amp;Weekly!$B23&amp;Weekly!$B$3&amp;$B$2)</f>
        <v>0</v>
      </c>
      <c r="BL23" s="2">
        <f>COUNTIF(defects!$V:$V,Weekly!BL$3&amp;Weekly!$B23&amp;Weekly!$B$3&amp;$B$2)</f>
        <v>0</v>
      </c>
      <c r="BM23" s="2">
        <f>COUNTIF(defects!$V:$V,Weekly!BM$3&amp;Weekly!$B23&amp;Weekly!$B$3&amp;$B$2)</f>
        <v>0</v>
      </c>
      <c r="BN23" s="2">
        <f>COUNTIF(defects!$V:$V,Weekly!BN$3&amp;Weekly!$B23&amp;Weekly!$B$3&amp;$B$2)</f>
        <v>0</v>
      </c>
      <c r="BO23" s="2">
        <f>COUNTIF(defects!$V:$V,Weekly!BO$3&amp;Weekly!$B23&amp;Weekly!$B$3&amp;$B$2)</f>
        <v>1</v>
      </c>
      <c r="BP23" s="2">
        <f>COUNTIF(defects!$V:$V,Weekly!BP$3&amp;Weekly!$B23&amp;Weekly!$B$3&amp;$B$2)</f>
        <v>0</v>
      </c>
      <c r="BQ23" s="2">
        <f>COUNTIF(defects!$V:$V,Weekly!BQ$3&amp;Weekly!$B23&amp;Weekly!$B$3&amp;$B$2)</f>
        <v>0</v>
      </c>
      <c r="BR23" s="2">
        <f>COUNTIF(defects!$V:$V,Weekly!BR$3&amp;Weekly!$B23&amp;Weekly!$B$3&amp;$B$2)</f>
        <v>0</v>
      </c>
      <c r="BS23" s="2">
        <f>COUNTIF(defects!$V:$V,Weekly!BS$3&amp;Weekly!$B23&amp;Weekly!$B$3&amp;$B$2)</f>
        <v>0</v>
      </c>
      <c r="BT23" s="2">
        <f>COUNTIF(defects!$V:$V,Weekly!BT$3&amp;Weekly!$B23&amp;Weekly!$B$3&amp;$B$2)</f>
        <v>0</v>
      </c>
      <c r="BU23" s="2">
        <f>COUNTIF(defects!$V:$V,Weekly!BU$3&amp;Weekly!$B23&amp;Weekly!$B$3&amp;$B$2)</f>
        <v>1</v>
      </c>
      <c r="BV23" s="2">
        <f>COUNTIF(defects!$V:$V,Weekly!BV$3&amp;Weekly!$B23&amp;Weekly!$B$3&amp;$B$2)</f>
        <v>0</v>
      </c>
      <c r="BW23" s="2">
        <f>COUNTIF(defects!$V:$V,Weekly!BW$3&amp;Weekly!$B23&amp;Weekly!$B$3&amp;$B$2)</f>
        <v>0</v>
      </c>
      <c r="BX23" s="2">
        <f>COUNTIF(defects!$V:$V,Weekly!BX$3&amp;Weekly!$B23&amp;Weekly!$B$3&amp;$B$2)</f>
        <v>1</v>
      </c>
      <c r="BY23" s="2">
        <f>COUNTIF(defects!$V:$V,Weekly!BY$3&amp;Weekly!$B23&amp;Weekly!$B$3&amp;$B$2)</f>
        <v>0</v>
      </c>
      <c r="BZ23" s="2">
        <f>COUNTIF(defects!$V:$V,Weekly!BZ$3&amp;Weekly!$B23&amp;Weekly!$B$3&amp;$B$2)</f>
        <v>0</v>
      </c>
      <c r="CA23" s="2">
        <f>COUNTIF(defects!$V:$V,Weekly!CA$3&amp;Weekly!$B23&amp;Weekly!$B$3&amp;$B$2)</f>
        <v>1</v>
      </c>
      <c r="CB23" s="2">
        <f>COUNTIF(defects!$V:$V,Weekly!CB$3&amp;Weekly!$B23&amp;Weekly!$B$3&amp;$B$2)</f>
        <v>1</v>
      </c>
      <c r="CC23" s="2">
        <f>COUNTIF(defects!$V:$V,Weekly!CC$3&amp;Weekly!$B23&amp;Weekly!$B$3&amp;$B$2)</f>
        <v>1</v>
      </c>
      <c r="CD23" s="2">
        <f>COUNTIF(defects!$V:$V,Weekly!CD$3&amp;Weekly!$B23&amp;Weekly!$B$3&amp;$B$2)</f>
        <v>2</v>
      </c>
      <c r="CE23" s="2">
        <f>COUNTIF(defects!$V:$V,Weekly!CE$3&amp;Weekly!$B23&amp;Weekly!$B$3&amp;$B$2)</f>
        <v>0</v>
      </c>
      <c r="CF23" s="2">
        <f>COUNTIF(defects!$V:$V,Weekly!CF$3&amp;Weekly!$B23&amp;Weekly!$B$3&amp;$B$2)</f>
        <v>2</v>
      </c>
      <c r="CG23" s="2">
        <f>COUNTIF(defects!$V:$V,Weekly!CG$3&amp;Weekly!$B23&amp;Weekly!$B$3&amp;$B$2)</f>
        <v>3</v>
      </c>
      <c r="CH23" s="2">
        <f>COUNTIF(defects!$V:$V,Weekly!CH$3&amp;Weekly!$B23&amp;Weekly!$B$3&amp;$B$2)</f>
        <v>0</v>
      </c>
      <c r="CI23" s="2">
        <f>COUNTIF(defects!$V:$V,Weekly!CI$3&amp;Weekly!$B23&amp;Weekly!$B$3&amp;$B$2)</f>
        <v>2</v>
      </c>
      <c r="CJ23" s="2">
        <f>COUNTIF(defects!$V:$V,Weekly!CJ$3&amp;Weekly!$B23&amp;Weekly!$B$3&amp;$B$2)</f>
        <v>2</v>
      </c>
      <c r="CK23" s="2">
        <f>COUNTIF(defects!$V:$V,Weekly!CK$3&amp;Weekly!$B23&amp;Weekly!$B$3&amp;$B$2)</f>
        <v>0</v>
      </c>
      <c r="CL23" s="2">
        <f>COUNTIF(defects!$V:$V,Weekly!CL$3&amp;Weekly!$B23&amp;Weekly!$B$3&amp;$B$2)</f>
        <v>0</v>
      </c>
      <c r="CM23" s="2">
        <f>COUNTIF(defects!$V:$V,Weekly!CM$3&amp;Weekly!$B23&amp;Weekly!$B$3&amp;$B$2)</f>
        <v>0</v>
      </c>
      <c r="CN23" s="2">
        <f>COUNTIF(defects!$V:$V,Weekly!CN$3&amp;Weekly!$B23&amp;Weekly!$B$3&amp;$B$2)</f>
        <v>0</v>
      </c>
      <c r="CO23" s="2">
        <f>COUNTIF(defects!$V:$V,Weekly!CO$3&amp;Weekly!$B23&amp;Weekly!$B$3&amp;$B$2)</f>
        <v>0</v>
      </c>
      <c r="CP23" s="2">
        <f>COUNTIF(defects!$V:$V,Weekly!CP$3&amp;Weekly!$B23&amp;Weekly!$B$3&amp;$B$2)</f>
        <v>0</v>
      </c>
      <c r="CQ23" s="2">
        <f>COUNTIF(defects!$V:$V,Weekly!CQ$3&amp;Weekly!$B23&amp;Weekly!$B$3&amp;$B$2)</f>
        <v>0</v>
      </c>
      <c r="CR23" s="2">
        <f>COUNTIF(defects!$V:$V,Weekly!CR$3&amp;Weekly!$B23&amp;Weekly!$B$3&amp;$B$2)</f>
        <v>0</v>
      </c>
      <c r="CS23" s="2">
        <f>COUNTIF(defects!$V:$V,Weekly!CS$3&amp;Weekly!$B23&amp;Weekly!$B$3&amp;$B$2)</f>
        <v>0</v>
      </c>
      <c r="CT23" s="2">
        <f>COUNTIF(defects!$V:$V,Weekly!CT$3&amp;Weekly!$B23&amp;Weekly!$B$3&amp;$B$2)</f>
        <v>0</v>
      </c>
      <c r="CU23" s="2">
        <f>COUNTIF(defects!$V:$V,Weekly!CU$3&amp;Weekly!$B23&amp;Weekly!$B$3&amp;$B$2)</f>
        <v>0</v>
      </c>
      <c r="CV23" s="2">
        <f>COUNTIF(defects!$V:$V,Weekly!CV$3&amp;Weekly!$B23&amp;Weekly!$B$3&amp;$B$2)</f>
        <v>0</v>
      </c>
      <c r="CW23" s="2">
        <f>COUNTIF(defects!$V:$V,Weekly!CW$3&amp;Weekly!$B23&amp;Weekly!$B$3&amp;$B$2)</f>
        <v>0</v>
      </c>
      <c r="CX23" s="2">
        <f>COUNTIF(defects!$V:$V,Weekly!CX$3&amp;Weekly!$B23&amp;Weekly!$B$3&amp;$B$2)</f>
        <v>0</v>
      </c>
      <c r="CY23" s="2">
        <f>COUNTIF(defects!$V:$V,Weekly!CY$3&amp;Weekly!$B23&amp;Weekly!$B$3&amp;$B$2)</f>
        <v>0</v>
      </c>
      <c r="CZ23" s="2">
        <f>COUNTIF(defects!$V:$V,Weekly!CZ$3&amp;Weekly!$B23&amp;Weekly!$B$3&amp;$B$2)</f>
        <v>0</v>
      </c>
      <c r="DA23" s="2">
        <f>COUNTIF(defects!$V:$V,Weekly!DA$3&amp;Weekly!$B23&amp;Weekly!$B$3&amp;$B$2)</f>
        <v>0</v>
      </c>
      <c r="DB23" s="2">
        <f>COUNTIF(defects!$V:$V,Weekly!DB$3&amp;Weekly!$B23&amp;Weekly!$B$3&amp;$B$2)</f>
        <v>0</v>
      </c>
      <c r="DC23" s="2">
        <f>COUNTIF(defects!$V:$V,Weekly!DC$3&amp;Weekly!$B23&amp;Weekly!$B$3&amp;$B$2)</f>
        <v>0</v>
      </c>
      <c r="DD23" s="2">
        <f>COUNTIF(defects!$V:$V,Weekly!DD$3&amp;Weekly!$B23&amp;Weekly!$B$3&amp;$B$2)</f>
        <v>0</v>
      </c>
      <c r="DE23" s="2">
        <f>COUNTIF(defects!$V:$V,Weekly!DE$3&amp;Weekly!$B23&amp;Weekly!$B$3&amp;$B$2)</f>
        <v>0</v>
      </c>
      <c r="DF23" s="2">
        <f>COUNTIF(defects!$V:$V,Weekly!DF$3&amp;Weekly!$B23&amp;Weekly!$B$3&amp;$B$2)</f>
        <v>0</v>
      </c>
      <c r="DG23" s="2">
        <f>COUNTIF(defects!$V:$V,Weekly!DG$3&amp;Weekly!$B23&amp;Weekly!$B$3&amp;$B$2)</f>
        <v>0</v>
      </c>
      <c r="DH23" s="2">
        <f>COUNTIF(defects!$V:$V,Weekly!DH$3&amp;Weekly!$B23&amp;Weekly!$B$3&amp;$B$2)</f>
        <v>0</v>
      </c>
      <c r="DI23" s="2">
        <f>COUNTIF(defects!$V:$V,Weekly!DI$3&amp;Weekly!$B23&amp;Weekly!$B$3&amp;$B$2)</f>
        <v>0</v>
      </c>
      <c r="DJ23" s="2">
        <f>COUNTIF(defects!$V:$V,Weekly!DJ$3&amp;Weekly!$B23&amp;Weekly!$B$3&amp;$B$2)</f>
        <v>0</v>
      </c>
      <c r="DK23" s="2">
        <f>COUNTIF(defects!$V:$V,Weekly!DK$3&amp;Weekly!$B23&amp;Weekly!$B$3&amp;$B$2)</f>
        <v>0</v>
      </c>
      <c r="DL23" s="2">
        <f>COUNTIF(defects!$V:$V,Weekly!DL$3&amp;Weekly!$B23&amp;Weekly!$B$3&amp;$B$2)</f>
        <v>0</v>
      </c>
      <c r="DM23" s="2">
        <f>COUNTIF(defects!$V:$V,Weekly!DM$3&amp;Weekly!$B23&amp;Weekly!$B$3&amp;$B$2)</f>
        <v>0</v>
      </c>
      <c r="DN23" s="2">
        <f>COUNTIF(defects!$V:$V,Weekly!DN$3&amp;Weekly!$B23&amp;Weekly!$B$3&amp;$B$2)</f>
        <v>0</v>
      </c>
      <c r="DO23" s="2">
        <f>COUNTIF(defects!$V:$V,Weekly!DO$3&amp;Weekly!$B23&amp;Weekly!$B$3&amp;$B$2)</f>
        <v>0</v>
      </c>
      <c r="DP23" s="2">
        <f>COUNTIF(defects!$V:$V,Weekly!DP$3&amp;Weekly!$B23&amp;Weekly!$B$3&amp;$B$2)</f>
        <v>0</v>
      </c>
      <c r="DQ23" s="2">
        <f>COUNTIF(defects!$V:$V,Weekly!DQ$3&amp;Weekly!$B23&amp;Weekly!$B$3&amp;$B$2)</f>
        <v>0</v>
      </c>
      <c r="DR23" s="2">
        <f>COUNTIF(defects!$V:$V,Weekly!DR$3&amp;Weekly!$B23&amp;Weekly!$B$3&amp;$B$2)</f>
        <v>0</v>
      </c>
      <c r="DS23" s="2">
        <f>COUNTIF(defects!$V:$V,Weekly!DS$3&amp;Weekly!$B23&amp;Weekly!$B$3&amp;$B$2)</f>
        <v>0</v>
      </c>
      <c r="DT23" s="2">
        <f>COUNTIF(defects!$V:$V,Weekly!DT$3&amp;Weekly!$B23&amp;Weekly!$B$3&amp;$B$2)</f>
        <v>0</v>
      </c>
      <c r="DU23" s="2">
        <f>COUNTIF(defects!$V:$V,Weekly!DU$3&amp;Weekly!$B23&amp;Weekly!$B$3&amp;$B$2)</f>
        <v>0</v>
      </c>
      <c r="DV23" s="2">
        <f>COUNTIF(defects!$V:$V,Weekly!DV$3&amp;Weekly!$B23&amp;Weekly!$B$3&amp;$B$2)</f>
        <v>0</v>
      </c>
      <c r="DW23" s="2">
        <f>COUNTIF(defects!$V:$V,Weekly!DW$3&amp;Weekly!$B23&amp;Weekly!$B$3&amp;$B$2)</f>
        <v>0</v>
      </c>
      <c r="DX23" s="2">
        <f>COUNTIF(defects!$V:$V,Weekly!DX$3&amp;Weekly!$B23&amp;Weekly!$B$3&amp;$B$2)</f>
        <v>0</v>
      </c>
      <c r="DY23" s="2">
        <f>COUNTIF(defects!$V:$V,Weekly!DY$3&amp;Weekly!$B23&amp;Weekly!$B$3&amp;$B$2)</f>
        <v>0</v>
      </c>
      <c r="DZ23" s="2">
        <f>COUNTIF(defects!$V:$V,Weekly!DZ$3&amp;Weekly!$B23&amp;Weekly!$B$3&amp;$B$2)</f>
        <v>0</v>
      </c>
      <c r="EA23" s="2">
        <f>COUNTIF(defects!$V:$V,Weekly!EA$3&amp;Weekly!$B23&amp;Weekly!$B$3&amp;$B$2)</f>
        <v>0</v>
      </c>
      <c r="EB23" s="2">
        <f>COUNTIF(defects!$V:$V,Weekly!EB$3&amp;Weekly!$B23&amp;Weekly!$B$3&amp;$B$2)</f>
        <v>0</v>
      </c>
      <c r="EC23" s="2">
        <f>COUNTIF(defects!$V:$V,Weekly!EC$3&amp;Weekly!$B23&amp;Weekly!$B$3&amp;$B$2)</f>
        <v>0</v>
      </c>
      <c r="ED23" s="2">
        <f>COUNTIF(defects!$V:$V,Weekly!ED$3&amp;Weekly!$B23&amp;Weekly!$B$3&amp;$B$2)</f>
        <v>0</v>
      </c>
      <c r="EE23" s="2">
        <f>COUNTIF(defects!$V:$V,Weekly!EE$3&amp;Weekly!$B23&amp;Weekly!$B$3&amp;$B$2)</f>
        <v>0</v>
      </c>
      <c r="EF23" s="2">
        <f>COUNTIF(defects!$V:$V,Weekly!EF$3&amp;Weekly!$B23&amp;Weekly!$B$3&amp;$B$2)</f>
        <v>0</v>
      </c>
      <c r="EG23" s="2">
        <f>COUNTIF(defects!$V:$V,Weekly!EG$3&amp;Weekly!$B23&amp;Weekly!$B$3&amp;$B$2)</f>
        <v>0</v>
      </c>
      <c r="EH23" s="2">
        <f>COUNTIF(defects!$V:$V,Weekly!EH$3&amp;Weekly!$B23&amp;Weekly!$B$3&amp;$B$2)</f>
        <v>0</v>
      </c>
      <c r="EI23" s="2">
        <f>COUNTIF(defects!$V:$V,Weekly!EI$3&amp;Weekly!$B23&amp;Weekly!$B$3&amp;$B$2)</f>
        <v>0</v>
      </c>
      <c r="EJ23" s="2">
        <f>COUNTIF(defects!$V:$V,Weekly!EJ$3&amp;Weekly!$B23&amp;Weekly!$B$3&amp;$B$2)</f>
        <v>0</v>
      </c>
      <c r="EK23" s="2">
        <f>COUNTIF(defects!$V:$V,Weekly!EK$3&amp;Weekly!$B23&amp;Weekly!$B$3&amp;$B$2)</f>
        <v>0</v>
      </c>
      <c r="EL23" s="2">
        <f>COUNTIF(defects!$V:$V,Weekly!EL$3&amp;Weekly!$B23&amp;Weekly!$B$3&amp;$B$2)</f>
        <v>0</v>
      </c>
      <c r="EM23" s="2">
        <f>COUNTIF(defects!$V:$V,Weekly!EM$3&amp;Weekly!$B23&amp;Weekly!$B$3&amp;$B$2)</f>
        <v>0</v>
      </c>
      <c r="EN23" s="2">
        <f>COUNTIF(defects!$V:$V,Weekly!EN$3&amp;Weekly!$B23&amp;Weekly!$B$3&amp;$B$2)</f>
        <v>0</v>
      </c>
      <c r="EO23" s="2">
        <f>COUNTIF(defects!$V:$V,Weekly!EO$3&amp;Weekly!$B23&amp;Weekly!$B$3&amp;$B$2)</f>
        <v>0</v>
      </c>
      <c r="EP23" s="2">
        <f>COUNTIF(defects!$V:$V,Weekly!EP$3&amp;Weekly!$B23&amp;Weekly!$B$3&amp;$B$2)</f>
        <v>0</v>
      </c>
      <c r="EQ23" s="2">
        <f>COUNTIF(defects!$V:$V,Weekly!EQ$3&amp;Weekly!$B23&amp;Weekly!$B$3&amp;$B$2)</f>
        <v>0</v>
      </c>
      <c r="ER23" s="2">
        <f>COUNTIF(defects!$V:$V,Weekly!ER$3&amp;Weekly!$B23&amp;Weekly!$B$3&amp;$B$2)</f>
        <v>0</v>
      </c>
      <c r="ES23" s="2">
        <f>COUNTIF(defects!$V:$V,Weekly!ES$3&amp;Weekly!$B23&amp;Weekly!$B$3&amp;$B$2)</f>
        <v>0</v>
      </c>
      <c r="ET23" s="2">
        <f>COUNTIF(defects!$V:$V,Weekly!ET$3&amp;Weekly!$B23&amp;Weekly!$B$3&amp;$B$2)</f>
        <v>0</v>
      </c>
      <c r="EU23" s="2">
        <f>COUNTIF(defects!$V:$V,Weekly!EU$3&amp;Weekly!$B23&amp;Weekly!$B$3&amp;$B$2)</f>
        <v>0</v>
      </c>
      <c r="EV23" s="2">
        <f>COUNTIF(defects!$V:$V,Weekly!EV$3&amp;Weekly!$B23&amp;Weekly!$B$3&amp;$B$2)</f>
        <v>0</v>
      </c>
      <c r="EW23" s="2">
        <f>COUNTIF(defects!$V:$V,Weekly!EW$3&amp;Weekly!$B23&amp;Weekly!$B$3&amp;$B$2)</f>
        <v>0</v>
      </c>
      <c r="EX23" s="2">
        <f>COUNTIF(defects!$V:$V,Weekly!EX$3&amp;Weekly!$B23&amp;Weekly!$B$3&amp;$B$2)</f>
        <v>0</v>
      </c>
      <c r="EY23" s="2">
        <f>COUNTIF(defects!$V:$V,Weekly!EY$3&amp;Weekly!$B23&amp;Weekly!$B$3&amp;$B$2)</f>
        <v>0</v>
      </c>
      <c r="EZ23" s="2">
        <f>COUNTIF(defects!$V:$V,Weekly!EZ$3&amp;Weekly!$B23&amp;Weekly!$B$3&amp;$B$2)</f>
        <v>0</v>
      </c>
      <c r="FA23" s="2">
        <f>COUNTIF(defects!$V:$V,Weekly!FA$3&amp;Weekly!$B23&amp;Weekly!$B$3&amp;$B$2)</f>
        <v>0</v>
      </c>
      <c r="FB23" s="2">
        <f>COUNTIF(defects!$V:$V,Weekly!FB$3&amp;Weekly!$B23&amp;Weekly!$B$3&amp;$B$2)</f>
        <v>0</v>
      </c>
      <c r="FC23" s="2">
        <f>COUNTIF(defects!$V:$V,Weekly!FC$3&amp;Weekly!$B23&amp;Weekly!$B$3&amp;$B$2)</f>
        <v>0</v>
      </c>
      <c r="FD23" s="2">
        <f>COUNTIF(defects!$V:$V,Weekly!FD$3&amp;Weekly!$B23&amp;Weekly!$B$3&amp;$B$2)</f>
        <v>0</v>
      </c>
      <c r="FE23" s="2">
        <f>COUNTIF(defects!$V:$V,Weekly!FE$3&amp;Weekly!$B23&amp;Weekly!$B$3&amp;$B$2)</f>
        <v>0</v>
      </c>
    </row>
    <row r="24" spans="2:161" x14ac:dyDescent="0.35">
      <c r="B24" s="3" t="s">
        <v>1338</v>
      </c>
      <c r="C24" s="2">
        <f>COUNTIF(defects!$V:$V,Weekly!C$3&amp;Weekly!$B24&amp;Weekly!$B$3&amp;$B$2)</f>
        <v>0</v>
      </c>
      <c r="D24" s="2">
        <f>COUNTIF(defects!$V:$V,Weekly!D$3&amp;Weekly!$B24&amp;Weekly!$B$3&amp;$B$2)</f>
        <v>0</v>
      </c>
      <c r="E24" s="2">
        <f>COUNTIF(defects!$V:$V,Weekly!E$3&amp;Weekly!$B24&amp;Weekly!$B$3&amp;$B$2)</f>
        <v>0</v>
      </c>
      <c r="F24" s="2">
        <f>COUNTIF(defects!$V:$V,Weekly!F$3&amp;Weekly!$B24&amp;Weekly!$B$3&amp;$B$2)</f>
        <v>0</v>
      </c>
      <c r="G24" s="2">
        <f>COUNTIF(defects!$V:$V,Weekly!G$3&amp;Weekly!$B24&amp;Weekly!$B$3&amp;$B$2)</f>
        <v>0</v>
      </c>
      <c r="H24" s="2">
        <f>COUNTIF(defects!$V:$V,Weekly!H$3&amp;Weekly!$B24&amp;Weekly!$B$3&amp;$B$2)</f>
        <v>0</v>
      </c>
      <c r="I24" s="2">
        <f>COUNTIF(defects!$V:$V,Weekly!I$3&amp;Weekly!$B24&amp;Weekly!$B$3&amp;$B$2)</f>
        <v>0</v>
      </c>
      <c r="J24" s="2">
        <f>COUNTIF(defects!$V:$V,Weekly!J$3&amp;Weekly!$B24&amp;Weekly!$B$3&amp;$B$2)</f>
        <v>0</v>
      </c>
      <c r="K24" s="2">
        <f>COUNTIF(defects!$V:$V,Weekly!K$3&amp;Weekly!$B24&amp;Weekly!$B$3&amp;$B$2)</f>
        <v>0</v>
      </c>
      <c r="L24" s="2">
        <f>COUNTIF(defects!$V:$V,Weekly!L$3&amp;Weekly!$B24&amp;Weekly!$B$3&amp;$B$2)</f>
        <v>0</v>
      </c>
      <c r="M24" s="2">
        <f>COUNTIF(defects!$V:$V,Weekly!M$3&amp;Weekly!$B24&amp;Weekly!$B$3&amp;$B$2)</f>
        <v>0</v>
      </c>
      <c r="N24" s="2">
        <f>COUNTIF(defects!$V:$V,Weekly!N$3&amp;Weekly!$B24&amp;Weekly!$B$3&amp;$B$2)</f>
        <v>0</v>
      </c>
      <c r="O24" s="2">
        <f>COUNTIF(defects!$V:$V,Weekly!O$3&amp;Weekly!$B24&amp;Weekly!$B$3&amp;$B$2)</f>
        <v>0</v>
      </c>
      <c r="P24" s="2">
        <f>COUNTIF(defects!$V:$V,Weekly!P$3&amp;Weekly!$B24&amp;Weekly!$B$3&amp;$B$2)</f>
        <v>0</v>
      </c>
      <c r="Q24" s="2">
        <f>COUNTIF(defects!$V:$V,Weekly!Q$3&amp;Weekly!$B24&amp;Weekly!$B$3&amp;$B$2)</f>
        <v>0</v>
      </c>
      <c r="R24" s="2">
        <f>COUNTIF(defects!$V:$V,Weekly!R$3&amp;Weekly!$B24&amp;Weekly!$B$3&amp;$B$2)</f>
        <v>0</v>
      </c>
      <c r="S24" s="2">
        <f>COUNTIF(defects!$V:$V,Weekly!S$3&amp;Weekly!$B24&amp;Weekly!$B$3&amp;$B$2)</f>
        <v>0</v>
      </c>
      <c r="T24" s="2">
        <f>COUNTIF(defects!$V:$V,Weekly!T$3&amp;Weekly!$B24&amp;Weekly!$B$3&amp;$B$2)</f>
        <v>0</v>
      </c>
      <c r="U24" s="2">
        <f>COUNTIF(defects!$V:$V,Weekly!U$3&amp;Weekly!$B24&amp;Weekly!$B$3&amp;$B$2)</f>
        <v>0</v>
      </c>
      <c r="V24" s="2">
        <f>COUNTIF(defects!$V:$V,Weekly!V$3&amp;Weekly!$B24&amp;Weekly!$B$3&amp;$B$2)</f>
        <v>0</v>
      </c>
      <c r="W24" s="2">
        <f>COUNTIF(defects!$V:$V,Weekly!W$3&amp;Weekly!$B24&amp;Weekly!$B$3&amp;$B$2)</f>
        <v>0</v>
      </c>
      <c r="X24" s="2">
        <f>COUNTIF(defects!$V:$V,Weekly!X$3&amp;Weekly!$B24&amp;Weekly!$B$3&amp;$B$2)</f>
        <v>0</v>
      </c>
      <c r="Y24" s="2">
        <f>COUNTIF(defects!$V:$V,Weekly!Y$3&amp;Weekly!$B24&amp;Weekly!$B$3&amp;$B$2)</f>
        <v>0</v>
      </c>
      <c r="Z24" s="2">
        <f>COUNTIF(defects!$V:$V,Weekly!Z$3&amp;Weekly!$B24&amp;Weekly!$B$3&amp;$B$2)</f>
        <v>0</v>
      </c>
      <c r="AA24" s="2">
        <f>COUNTIF(defects!$V:$V,Weekly!AA$3&amp;Weekly!$B24&amp;Weekly!$B$3&amp;$B$2)</f>
        <v>0</v>
      </c>
      <c r="AB24" s="2">
        <f>COUNTIF(defects!$V:$V,Weekly!AB$3&amp;Weekly!$B24&amp;Weekly!$B$3&amp;$B$2)</f>
        <v>0</v>
      </c>
      <c r="AC24" s="2">
        <f>COUNTIF(defects!$V:$V,Weekly!AC$3&amp;Weekly!$B24&amp;Weekly!$B$3&amp;$B$2)</f>
        <v>0</v>
      </c>
      <c r="AD24" s="2">
        <f>COUNTIF(defects!$V:$V,Weekly!AD$3&amp;Weekly!$B24&amp;Weekly!$B$3&amp;$B$2)</f>
        <v>0</v>
      </c>
      <c r="AE24" s="2">
        <f>COUNTIF(defects!$V:$V,Weekly!AE$3&amp;Weekly!$B24&amp;Weekly!$B$3&amp;$B$2)</f>
        <v>0</v>
      </c>
      <c r="AF24" s="2">
        <f>COUNTIF(defects!$V:$V,Weekly!AF$3&amp;Weekly!$B24&amp;Weekly!$B$3&amp;$B$2)</f>
        <v>0</v>
      </c>
      <c r="AG24" s="2">
        <f>COUNTIF(defects!$V:$V,Weekly!AG$3&amp;Weekly!$B24&amp;Weekly!$B$3&amp;$B$2)</f>
        <v>0</v>
      </c>
      <c r="AH24" s="2">
        <f>COUNTIF(defects!$V:$V,Weekly!AH$3&amp;Weekly!$B24&amp;Weekly!$B$3&amp;$B$2)</f>
        <v>0</v>
      </c>
      <c r="AI24" s="2">
        <f>COUNTIF(defects!$V:$V,Weekly!AI$3&amp;Weekly!$B24&amp;Weekly!$B$3&amp;$B$2)</f>
        <v>0</v>
      </c>
      <c r="AJ24" s="2">
        <f>COUNTIF(defects!$V:$V,Weekly!AJ$3&amp;Weekly!$B24&amp;Weekly!$B$3&amp;$B$2)</f>
        <v>0</v>
      </c>
      <c r="AK24" s="2">
        <f>COUNTIF(defects!$V:$V,Weekly!AK$3&amp;Weekly!$B24&amp;Weekly!$B$3&amp;$B$2)</f>
        <v>0</v>
      </c>
      <c r="AL24" s="2">
        <f>COUNTIF(defects!$V:$V,Weekly!AL$3&amp;Weekly!$B24&amp;Weekly!$B$3&amp;$B$2)</f>
        <v>0</v>
      </c>
      <c r="AM24" s="2">
        <f>COUNTIF(defects!$V:$V,Weekly!AM$3&amp;Weekly!$B24&amp;Weekly!$B$3&amp;$B$2)</f>
        <v>0</v>
      </c>
      <c r="AN24" s="2">
        <f>COUNTIF(defects!$V:$V,Weekly!AN$3&amp;Weekly!$B24&amp;Weekly!$B$3&amp;$B$2)</f>
        <v>0</v>
      </c>
      <c r="AO24" s="2">
        <f>COUNTIF(defects!$V:$V,Weekly!AO$3&amp;Weekly!$B24&amp;Weekly!$B$3&amp;$B$2)</f>
        <v>0</v>
      </c>
      <c r="AP24" s="2">
        <f>COUNTIF(defects!$V:$V,Weekly!AP$3&amp;Weekly!$B24&amp;Weekly!$B$3&amp;$B$2)</f>
        <v>0</v>
      </c>
      <c r="AQ24" s="2">
        <f>COUNTIF(defects!$V:$V,Weekly!AQ$3&amp;Weekly!$B24&amp;Weekly!$B$3&amp;$B$2)</f>
        <v>0</v>
      </c>
      <c r="AR24" s="2">
        <f>COUNTIF(defects!$V:$V,Weekly!AR$3&amp;Weekly!$B24&amp;Weekly!$B$3&amp;$B$2)</f>
        <v>0</v>
      </c>
      <c r="AS24" s="2">
        <f>COUNTIF(defects!$V:$V,Weekly!AS$3&amp;Weekly!$B24&amp;Weekly!$B$3&amp;$B$2)</f>
        <v>0</v>
      </c>
      <c r="AT24" s="2">
        <f>COUNTIF(defects!$V:$V,Weekly!AT$3&amp;Weekly!$B24&amp;Weekly!$B$3&amp;$B$2)</f>
        <v>0</v>
      </c>
      <c r="AU24" s="2">
        <f>COUNTIF(defects!$V:$V,Weekly!AU$3&amp;Weekly!$B24&amp;Weekly!$B$3&amp;$B$2)</f>
        <v>0</v>
      </c>
      <c r="AV24" s="2">
        <f>COUNTIF(defects!$V:$V,Weekly!AV$3&amp;Weekly!$B24&amp;Weekly!$B$3&amp;$B$2)</f>
        <v>0</v>
      </c>
      <c r="AW24" s="2">
        <f>COUNTIF(defects!$V:$V,Weekly!AW$3&amp;Weekly!$B24&amp;Weekly!$B$3&amp;$B$2)</f>
        <v>0</v>
      </c>
      <c r="AX24" s="2">
        <f>COUNTIF(defects!$V:$V,Weekly!AX$3&amp;Weekly!$B24&amp;Weekly!$B$3&amp;$B$2)</f>
        <v>0</v>
      </c>
      <c r="AY24" s="2">
        <f>COUNTIF(defects!$V:$V,Weekly!AY$3&amp;Weekly!$B24&amp;Weekly!$B$3&amp;$B$2)</f>
        <v>0</v>
      </c>
      <c r="AZ24" s="2">
        <f>COUNTIF(defects!$V:$V,Weekly!AZ$3&amp;Weekly!$B24&amp;Weekly!$B$3&amp;$B$2)</f>
        <v>0</v>
      </c>
      <c r="BA24" s="2">
        <f>COUNTIF(defects!$V:$V,Weekly!BA$3&amp;Weekly!$B24&amp;Weekly!$B$3&amp;$B$2)</f>
        <v>0</v>
      </c>
      <c r="BB24" s="2">
        <f>COUNTIF(defects!$V:$V,Weekly!BB$3&amp;Weekly!$B24&amp;Weekly!$B$3&amp;$B$2)</f>
        <v>0</v>
      </c>
      <c r="BC24" s="2">
        <f>COUNTIF(defects!$V:$V,Weekly!BC$3&amp;Weekly!$B24&amp;Weekly!$B$3&amp;$B$2)</f>
        <v>0</v>
      </c>
      <c r="BD24" s="2">
        <f>COUNTIF(defects!$V:$V,Weekly!BD$3&amp;Weekly!$B24&amp;Weekly!$B$3&amp;$B$2)</f>
        <v>0</v>
      </c>
      <c r="BE24" s="2">
        <f>COUNTIF(defects!$V:$V,Weekly!BE$3&amp;Weekly!$B24&amp;Weekly!$B$3&amp;$B$2)</f>
        <v>0</v>
      </c>
      <c r="BF24" s="2">
        <f>COUNTIF(defects!$V:$V,Weekly!BF$3&amp;Weekly!$B24&amp;Weekly!$B$3&amp;$B$2)</f>
        <v>0</v>
      </c>
      <c r="BG24" s="2">
        <f>COUNTIF(defects!$V:$V,Weekly!BG$3&amp;Weekly!$B24&amp;Weekly!$B$3&amp;$B$2)</f>
        <v>0</v>
      </c>
      <c r="BH24" s="2">
        <f>COUNTIF(defects!$V:$V,Weekly!BH$3&amp;Weekly!$B24&amp;Weekly!$B$3&amp;$B$2)</f>
        <v>0</v>
      </c>
      <c r="BI24" s="2">
        <f>COUNTIF(defects!$V:$V,Weekly!BI$3&amp;Weekly!$B24&amp;Weekly!$B$3&amp;$B$2)</f>
        <v>0</v>
      </c>
      <c r="BJ24" s="2">
        <f>COUNTIF(defects!$V:$V,Weekly!BJ$3&amp;Weekly!$B24&amp;Weekly!$B$3&amp;$B$2)</f>
        <v>0</v>
      </c>
      <c r="BK24" s="2">
        <f>COUNTIF(defects!$V:$V,Weekly!BK$3&amp;Weekly!$B24&amp;Weekly!$B$3&amp;$B$2)</f>
        <v>0</v>
      </c>
      <c r="BL24" s="2">
        <f>COUNTIF(defects!$V:$V,Weekly!BL$3&amp;Weekly!$B24&amp;Weekly!$B$3&amp;$B$2)</f>
        <v>0</v>
      </c>
      <c r="BM24" s="2">
        <f>COUNTIF(defects!$V:$V,Weekly!BM$3&amp;Weekly!$B24&amp;Weekly!$B$3&amp;$B$2)</f>
        <v>0</v>
      </c>
      <c r="BN24" s="2">
        <f>COUNTIF(defects!$V:$V,Weekly!BN$3&amp;Weekly!$B24&amp;Weekly!$B$3&amp;$B$2)</f>
        <v>0</v>
      </c>
      <c r="BO24" s="2">
        <f>COUNTIF(defects!$V:$V,Weekly!BO$3&amp;Weekly!$B24&amp;Weekly!$B$3&amp;$B$2)</f>
        <v>0</v>
      </c>
      <c r="BP24" s="2">
        <f>COUNTIF(defects!$V:$V,Weekly!BP$3&amp;Weekly!$B24&amp;Weekly!$B$3&amp;$B$2)</f>
        <v>0</v>
      </c>
      <c r="BQ24" s="2">
        <f>COUNTIF(defects!$V:$V,Weekly!BQ$3&amp;Weekly!$B24&amp;Weekly!$B$3&amp;$B$2)</f>
        <v>0</v>
      </c>
      <c r="BR24" s="2">
        <f>COUNTIF(defects!$V:$V,Weekly!BR$3&amp;Weekly!$B24&amp;Weekly!$B$3&amp;$B$2)</f>
        <v>0</v>
      </c>
      <c r="BS24" s="2">
        <f>COUNTIF(defects!$V:$V,Weekly!BS$3&amp;Weekly!$B24&amp;Weekly!$B$3&amp;$B$2)</f>
        <v>0</v>
      </c>
      <c r="BT24" s="2">
        <f>COUNTIF(defects!$V:$V,Weekly!BT$3&amp;Weekly!$B24&amp;Weekly!$B$3&amp;$B$2)</f>
        <v>0</v>
      </c>
      <c r="BU24" s="2">
        <f>COUNTIF(defects!$V:$V,Weekly!BU$3&amp;Weekly!$B24&amp;Weekly!$B$3&amp;$B$2)</f>
        <v>1</v>
      </c>
      <c r="BV24" s="2">
        <f>COUNTIF(defects!$V:$V,Weekly!BV$3&amp;Weekly!$B24&amp;Weekly!$B$3&amp;$B$2)</f>
        <v>0</v>
      </c>
      <c r="BW24" s="2">
        <f>COUNTIF(defects!$V:$V,Weekly!BW$3&amp;Weekly!$B24&amp;Weekly!$B$3&amp;$B$2)</f>
        <v>0</v>
      </c>
      <c r="BX24" s="2">
        <f>COUNTIF(defects!$V:$V,Weekly!BX$3&amp;Weekly!$B24&amp;Weekly!$B$3&amp;$B$2)</f>
        <v>0</v>
      </c>
      <c r="BY24" s="2">
        <f>COUNTIF(defects!$V:$V,Weekly!BY$3&amp;Weekly!$B24&amp;Weekly!$B$3&amp;$B$2)</f>
        <v>1</v>
      </c>
      <c r="BZ24" s="2">
        <f>COUNTIF(defects!$V:$V,Weekly!BZ$3&amp;Weekly!$B24&amp;Weekly!$B$3&amp;$B$2)</f>
        <v>0</v>
      </c>
      <c r="CA24" s="2">
        <f>COUNTIF(defects!$V:$V,Weekly!CA$3&amp;Weekly!$B24&amp;Weekly!$B$3&amp;$B$2)</f>
        <v>0</v>
      </c>
      <c r="CB24" s="2">
        <f>COUNTIF(defects!$V:$V,Weekly!CB$3&amp;Weekly!$B24&amp;Weekly!$B$3&amp;$B$2)</f>
        <v>0</v>
      </c>
      <c r="CC24" s="2">
        <f>COUNTIF(defects!$V:$V,Weekly!CC$3&amp;Weekly!$B24&amp;Weekly!$B$3&amp;$B$2)</f>
        <v>0</v>
      </c>
      <c r="CD24" s="2">
        <f>COUNTIF(defects!$V:$V,Weekly!CD$3&amp;Weekly!$B24&amp;Weekly!$B$3&amp;$B$2)</f>
        <v>0</v>
      </c>
      <c r="CE24" s="2">
        <f>COUNTIF(defects!$V:$V,Weekly!CE$3&amp;Weekly!$B24&amp;Weekly!$B$3&amp;$B$2)</f>
        <v>0</v>
      </c>
      <c r="CF24" s="2">
        <f>COUNTIF(defects!$V:$V,Weekly!CF$3&amp;Weekly!$B24&amp;Weekly!$B$3&amp;$B$2)</f>
        <v>0</v>
      </c>
      <c r="CG24" s="2">
        <f>COUNTIF(defects!$V:$V,Weekly!CG$3&amp;Weekly!$B24&amp;Weekly!$B$3&amp;$B$2)</f>
        <v>0</v>
      </c>
      <c r="CH24" s="2">
        <f>COUNTIF(defects!$V:$V,Weekly!CH$3&amp;Weekly!$B24&amp;Weekly!$B$3&amp;$B$2)</f>
        <v>0</v>
      </c>
      <c r="CI24" s="2">
        <f>COUNTIF(defects!$V:$V,Weekly!CI$3&amp;Weekly!$B24&amp;Weekly!$B$3&amp;$B$2)</f>
        <v>0</v>
      </c>
      <c r="CJ24" s="2">
        <f>COUNTIF(defects!$V:$V,Weekly!CJ$3&amp;Weekly!$B24&amp;Weekly!$B$3&amp;$B$2)</f>
        <v>0</v>
      </c>
      <c r="CK24" s="2">
        <f>COUNTIF(defects!$V:$V,Weekly!CK$3&amp;Weekly!$B24&amp;Weekly!$B$3&amp;$B$2)</f>
        <v>0</v>
      </c>
      <c r="CL24" s="2">
        <f>COUNTIF(defects!$V:$V,Weekly!CL$3&amp;Weekly!$B24&amp;Weekly!$B$3&amp;$B$2)</f>
        <v>0</v>
      </c>
      <c r="CM24" s="2">
        <f>COUNTIF(defects!$V:$V,Weekly!CM$3&amp;Weekly!$B24&amp;Weekly!$B$3&amp;$B$2)</f>
        <v>0</v>
      </c>
      <c r="CN24" s="2">
        <f>COUNTIF(defects!$V:$V,Weekly!CN$3&amp;Weekly!$B24&amp;Weekly!$B$3&amp;$B$2)</f>
        <v>0</v>
      </c>
      <c r="CO24" s="2">
        <f>COUNTIF(defects!$V:$V,Weekly!CO$3&amp;Weekly!$B24&amp;Weekly!$B$3&amp;$B$2)</f>
        <v>0</v>
      </c>
      <c r="CP24" s="2">
        <f>COUNTIF(defects!$V:$V,Weekly!CP$3&amp;Weekly!$B24&amp;Weekly!$B$3&amp;$B$2)</f>
        <v>0</v>
      </c>
      <c r="CQ24" s="2">
        <f>COUNTIF(defects!$V:$V,Weekly!CQ$3&amp;Weekly!$B24&amp;Weekly!$B$3&amp;$B$2)</f>
        <v>0</v>
      </c>
      <c r="CR24" s="2">
        <f>COUNTIF(defects!$V:$V,Weekly!CR$3&amp;Weekly!$B24&amp;Weekly!$B$3&amp;$B$2)</f>
        <v>0</v>
      </c>
      <c r="CS24" s="2">
        <f>COUNTIF(defects!$V:$V,Weekly!CS$3&amp;Weekly!$B24&amp;Weekly!$B$3&amp;$B$2)</f>
        <v>0</v>
      </c>
      <c r="CT24" s="2">
        <f>COUNTIF(defects!$V:$V,Weekly!CT$3&amp;Weekly!$B24&amp;Weekly!$B$3&amp;$B$2)</f>
        <v>0</v>
      </c>
      <c r="CU24" s="2">
        <f>COUNTIF(defects!$V:$V,Weekly!CU$3&amp;Weekly!$B24&amp;Weekly!$B$3&amp;$B$2)</f>
        <v>0</v>
      </c>
      <c r="CV24" s="2">
        <f>COUNTIF(defects!$V:$V,Weekly!CV$3&amp;Weekly!$B24&amp;Weekly!$B$3&amp;$B$2)</f>
        <v>0</v>
      </c>
      <c r="CW24" s="2">
        <f>COUNTIF(defects!$V:$V,Weekly!CW$3&amp;Weekly!$B24&amp;Weekly!$B$3&amp;$B$2)</f>
        <v>0</v>
      </c>
      <c r="CX24" s="2">
        <f>COUNTIF(defects!$V:$V,Weekly!CX$3&amp;Weekly!$B24&amp;Weekly!$B$3&amp;$B$2)</f>
        <v>0</v>
      </c>
      <c r="CY24" s="2">
        <f>COUNTIF(defects!$V:$V,Weekly!CY$3&amp;Weekly!$B24&amp;Weekly!$B$3&amp;$B$2)</f>
        <v>0</v>
      </c>
      <c r="CZ24" s="2">
        <f>COUNTIF(defects!$V:$V,Weekly!CZ$3&amp;Weekly!$B24&amp;Weekly!$B$3&amp;$B$2)</f>
        <v>0</v>
      </c>
      <c r="DA24" s="2">
        <f>COUNTIF(defects!$V:$V,Weekly!DA$3&amp;Weekly!$B24&amp;Weekly!$B$3&amp;$B$2)</f>
        <v>0</v>
      </c>
      <c r="DB24" s="2">
        <f>COUNTIF(defects!$V:$V,Weekly!DB$3&amp;Weekly!$B24&amp;Weekly!$B$3&amp;$B$2)</f>
        <v>0</v>
      </c>
      <c r="DC24" s="2">
        <f>COUNTIF(defects!$V:$V,Weekly!DC$3&amp;Weekly!$B24&amp;Weekly!$B$3&amp;$B$2)</f>
        <v>0</v>
      </c>
      <c r="DD24" s="2">
        <f>COUNTIF(defects!$V:$V,Weekly!DD$3&amp;Weekly!$B24&amp;Weekly!$B$3&amp;$B$2)</f>
        <v>0</v>
      </c>
      <c r="DE24" s="2">
        <f>COUNTIF(defects!$V:$V,Weekly!DE$3&amp;Weekly!$B24&amp;Weekly!$B$3&amp;$B$2)</f>
        <v>0</v>
      </c>
      <c r="DF24" s="2">
        <f>COUNTIF(defects!$V:$V,Weekly!DF$3&amp;Weekly!$B24&amp;Weekly!$B$3&amp;$B$2)</f>
        <v>0</v>
      </c>
      <c r="DG24" s="2">
        <f>COUNTIF(defects!$V:$V,Weekly!DG$3&amp;Weekly!$B24&amp;Weekly!$B$3&amp;$B$2)</f>
        <v>0</v>
      </c>
      <c r="DH24" s="2">
        <f>COUNTIF(defects!$V:$V,Weekly!DH$3&amp;Weekly!$B24&amp;Weekly!$B$3&amp;$B$2)</f>
        <v>0</v>
      </c>
      <c r="DI24" s="2">
        <f>COUNTIF(defects!$V:$V,Weekly!DI$3&amp;Weekly!$B24&amp;Weekly!$B$3&amp;$B$2)</f>
        <v>0</v>
      </c>
      <c r="DJ24" s="2">
        <f>COUNTIF(defects!$V:$V,Weekly!DJ$3&amp;Weekly!$B24&amp;Weekly!$B$3&amp;$B$2)</f>
        <v>0</v>
      </c>
      <c r="DK24" s="2">
        <f>COUNTIF(defects!$V:$V,Weekly!DK$3&amp;Weekly!$B24&amp;Weekly!$B$3&amp;$B$2)</f>
        <v>0</v>
      </c>
      <c r="DL24" s="2">
        <f>COUNTIF(defects!$V:$V,Weekly!DL$3&amp;Weekly!$B24&amp;Weekly!$B$3&amp;$B$2)</f>
        <v>0</v>
      </c>
      <c r="DM24" s="2">
        <f>COUNTIF(defects!$V:$V,Weekly!DM$3&amp;Weekly!$B24&amp;Weekly!$B$3&amp;$B$2)</f>
        <v>0</v>
      </c>
      <c r="DN24" s="2">
        <f>COUNTIF(defects!$V:$V,Weekly!DN$3&amp;Weekly!$B24&amp;Weekly!$B$3&amp;$B$2)</f>
        <v>0</v>
      </c>
      <c r="DO24" s="2">
        <f>COUNTIF(defects!$V:$V,Weekly!DO$3&amp;Weekly!$B24&amp;Weekly!$B$3&amp;$B$2)</f>
        <v>0</v>
      </c>
      <c r="DP24" s="2">
        <f>COUNTIF(defects!$V:$V,Weekly!DP$3&amp;Weekly!$B24&amp;Weekly!$B$3&amp;$B$2)</f>
        <v>0</v>
      </c>
      <c r="DQ24" s="2">
        <f>COUNTIF(defects!$V:$V,Weekly!DQ$3&amp;Weekly!$B24&amp;Weekly!$B$3&amp;$B$2)</f>
        <v>0</v>
      </c>
      <c r="DR24" s="2">
        <f>COUNTIF(defects!$V:$V,Weekly!DR$3&amp;Weekly!$B24&amp;Weekly!$B$3&amp;$B$2)</f>
        <v>0</v>
      </c>
      <c r="DS24" s="2">
        <f>COUNTIF(defects!$V:$V,Weekly!DS$3&amp;Weekly!$B24&amp;Weekly!$B$3&amp;$B$2)</f>
        <v>0</v>
      </c>
      <c r="DT24" s="2">
        <f>COUNTIF(defects!$V:$V,Weekly!DT$3&amp;Weekly!$B24&amp;Weekly!$B$3&amp;$B$2)</f>
        <v>0</v>
      </c>
      <c r="DU24" s="2">
        <f>COUNTIF(defects!$V:$V,Weekly!DU$3&amp;Weekly!$B24&amp;Weekly!$B$3&amp;$B$2)</f>
        <v>0</v>
      </c>
      <c r="DV24" s="2">
        <f>COUNTIF(defects!$V:$V,Weekly!DV$3&amp;Weekly!$B24&amp;Weekly!$B$3&amp;$B$2)</f>
        <v>0</v>
      </c>
      <c r="DW24" s="2">
        <f>COUNTIF(defects!$V:$V,Weekly!DW$3&amp;Weekly!$B24&amp;Weekly!$B$3&amp;$B$2)</f>
        <v>0</v>
      </c>
      <c r="DX24" s="2">
        <f>COUNTIF(defects!$V:$V,Weekly!DX$3&amp;Weekly!$B24&amp;Weekly!$B$3&amp;$B$2)</f>
        <v>0</v>
      </c>
      <c r="DY24" s="2">
        <f>COUNTIF(defects!$V:$V,Weekly!DY$3&amp;Weekly!$B24&amp;Weekly!$B$3&amp;$B$2)</f>
        <v>0</v>
      </c>
      <c r="DZ24" s="2">
        <f>COUNTIF(defects!$V:$V,Weekly!DZ$3&amp;Weekly!$B24&amp;Weekly!$B$3&amp;$B$2)</f>
        <v>0</v>
      </c>
      <c r="EA24" s="2">
        <f>COUNTIF(defects!$V:$V,Weekly!EA$3&amp;Weekly!$B24&amp;Weekly!$B$3&amp;$B$2)</f>
        <v>0</v>
      </c>
      <c r="EB24" s="2">
        <f>COUNTIF(defects!$V:$V,Weekly!EB$3&amp;Weekly!$B24&amp;Weekly!$B$3&amp;$B$2)</f>
        <v>0</v>
      </c>
      <c r="EC24" s="2">
        <f>COUNTIF(defects!$V:$V,Weekly!EC$3&amp;Weekly!$B24&amp;Weekly!$B$3&amp;$B$2)</f>
        <v>0</v>
      </c>
      <c r="ED24" s="2">
        <f>COUNTIF(defects!$V:$V,Weekly!ED$3&amp;Weekly!$B24&amp;Weekly!$B$3&amp;$B$2)</f>
        <v>0</v>
      </c>
      <c r="EE24" s="2">
        <f>COUNTIF(defects!$V:$V,Weekly!EE$3&amp;Weekly!$B24&amp;Weekly!$B$3&amp;$B$2)</f>
        <v>0</v>
      </c>
      <c r="EF24" s="2">
        <f>COUNTIF(defects!$V:$V,Weekly!EF$3&amp;Weekly!$B24&amp;Weekly!$B$3&amp;$B$2)</f>
        <v>0</v>
      </c>
      <c r="EG24" s="2">
        <f>COUNTIF(defects!$V:$V,Weekly!EG$3&amp;Weekly!$B24&amp;Weekly!$B$3&amp;$B$2)</f>
        <v>0</v>
      </c>
      <c r="EH24" s="2">
        <f>COUNTIF(defects!$V:$V,Weekly!EH$3&amp;Weekly!$B24&amp;Weekly!$B$3&amp;$B$2)</f>
        <v>0</v>
      </c>
      <c r="EI24" s="2">
        <f>COUNTIF(defects!$V:$V,Weekly!EI$3&amp;Weekly!$B24&amp;Weekly!$B$3&amp;$B$2)</f>
        <v>0</v>
      </c>
      <c r="EJ24" s="2">
        <f>COUNTIF(defects!$V:$V,Weekly!EJ$3&amp;Weekly!$B24&amp;Weekly!$B$3&amp;$B$2)</f>
        <v>0</v>
      </c>
      <c r="EK24" s="2">
        <f>COUNTIF(defects!$V:$V,Weekly!EK$3&amp;Weekly!$B24&amp;Weekly!$B$3&amp;$B$2)</f>
        <v>0</v>
      </c>
      <c r="EL24" s="2">
        <f>COUNTIF(defects!$V:$V,Weekly!EL$3&amp;Weekly!$B24&amp;Weekly!$B$3&amp;$B$2)</f>
        <v>0</v>
      </c>
      <c r="EM24" s="2">
        <f>COUNTIF(defects!$V:$V,Weekly!EM$3&amp;Weekly!$B24&amp;Weekly!$B$3&amp;$B$2)</f>
        <v>0</v>
      </c>
      <c r="EN24" s="2">
        <f>COUNTIF(defects!$V:$V,Weekly!EN$3&amp;Weekly!$B24&amp;Weekly!$B$3&amp;$B$2)</f>
        <v>0</v>
      </c>
      <c r="EO24" s="2">
        <f>COUNTIF(defects!$V:$V,Weekly!EO$3&amp;Weekly!$B24&amp;Weekly!$B$3&amp;$B$2)</f>
        <v>0</v>
      </c>
      <c r="EP24" s="2">
        <f>COUNTIF(defects!$V:$V,Weekly!EP$3&amp;Weekly!$B24&amp;Weekly!$B$3&amp;$B$2)</f>
        <v>0</v>
      </c>
      <c r="EQ24" s="2">
        <f>COUNTIF(defects!$V:$V,Weekly!EQ$3&amp;Weekly!$B24&amp;Weekly!$B$3&amp;$B$2)</f>
        <v>0</v>
      </c>
      <c r="ER24" s="2">
        <f>COUNTIF(defects!$V:$V,Weekly!ER$3&amp;Weekly!$B24&amp;Weekly!$B$3&amp;$B$2)</f>
        <v>0</v>
      </c>
      <c r="ES24" s="2">
        <f>COUNTIF(defects!$V:$V,Weekly!ES$3&amp;Weekly!$B24&amp;Weekly!$B$3&amp;$B$2)</f>
        <v>0</v>
      </c>
      <c r="ET24" s="2">
        <f>COUNTIF(defects!$V:$V,Weekly!ET$3&amp;Weekly!$B24&amp;Weekly!$B$3&amp;$B$2)</f>
        <v>0</v>
      </c>
      <c r="EU24" s="2">
        <f>COUNTIF(defects!$V:$V,Weekly!EU$3&amp;Weekly!$B24&amp;Weekly!$B$3&amp;$B$2)</f>
        <v>0</v>
      </c>
      <c r="EV24" s="2">
        <f>COUNTIF(defects!$V:$V,Weekly!EV$3&amp;Weekly!$B24&amp;Weekly!$B$3&amp;$B$2)</f>
        <v>0</v>
      </c>
      <c r="EW24" s="2">
        <f>COUNTIF(defects!$V:$V,Weekly!EW$3&amp;Weekly!$B24&amp;Weekly!$B$3&amp;$B$2)</f>
        <v>0</v>
      </c>
      <c r="EX24" s="2">
        <f>COUNTIF(defects!$V:$V,Weekly!EX$3&amp;Weekly!$B24&amp;Weekly!$B$3&amp;$B$2)</f>
        <v>0</v>
      </c>
      <c r="EY24" s="2">
        <f>COUNTIF(defects!$V:$V,Weekly!EY$3&amp;Weekly!$B24&amp;Weekly!$B$3&amp;$B$2)</f>
        <v>0</v>
      </c>
      <c r="EZ24" s="2">
        <f>COUNTIF(defects!$V:$V,Weekly!EZ$3&amp;Weekly!$B24&amp;Weekly!$B$3&amp;$B$2)</f>
        <v>0</v>
      </c>
      <c r="FA24" s="2">
        <f>COUNTIF(defects!$V:$V,Weekly!FA$3&amp;Weekly!$B24&amp;Weekly!$B$3&amp;$B$2)</f>
        <v>0</v>
      </c>
      <c r="FB24" s="2">
        <f>COUNTIF(defects!$V:$V,Weekly!FB$3&amp;Weekly!$B24&amp;Weekly!$B$3&amp;$B$2)</f>
        <v>0</v>
      </c>
      <c r="FC24" s="2">
        <f>COUNTIF(defects!$V:$V,Weekly!FC$3&amp;Weekly!$B24&amp;Weekly!$B$3&amp;$B$2)</f>
        <v>0</v>
      </c>
      <c r="FD24" s="2">
        <f>COUNTIF(defects!$V:$V,Weekly!FD$3&amp;Weekly!$B24&amp;Weekly!$B$3&amp;$B$2)</f>
        <v>0</v>
      </c>
      <c r="FE24" s="2">
        <f>COUNTIF(defects!$V:$V,Weekly!FE$3&amp;Weekly!$B24&amp;Weekly!$B$3&amp;$B$2)</f>
        <v>0</v>
      </c>
    </row>
    <row r="25" spans="2:161" x14ac:dyDescent="0.35">
      <c r="B25" s="3" t="s">
        <v>1384</v>
      </c>
      <c r="C25" s="2">
        <f>COUNTIF(defects!$V:$V,Weekly!C$3&amp;Weekly!$B25&amp;Weekly!$B$3&amp;$B$2)</f>
        <v>0</v>
      </c>
      <c r="D25" s="2">
        <f>COUNTIF(defects!$V:$V,Weekly!D$3&amp;Weekly!$B25&amp;Weekly!$B$3&amp;$B$2)</f>
        <v>0</v>
      </c>
      <c r="E25" s="2">
        <f>COUNTIF(defects!$V:$V,Weekly!E$3&amp;Weekly!$B25&amp;Weekly!$B$3&amp;$B$2)</f>
        <v>0</v>
      </c>
      <c r="F25" s="2">
        <f>COUNTIF(defects!$V:$V,Weekly!F$3&amp;Weekly!$B25&amp;Weekly!$B$3&amp;$B$2)</f>
        <v>0</v>
      </c>
      <c r="G25" s="2">
        <f>COUNTIF(defects!$V:$V,Weekly!G$3&amp;Weekly!$B25&amp;Weekly!$B$3&amp;$B$2)</f>
        <v>0</v>
      </c>
      <c r="H25" s="2">
        <f>COUNTIF(defects!$V:$V,Weekly!H$3&amp;Weekly!$B25&amp;Weekly!$B$3&amp;$B$2)</f>
        <v>0</v>
      </c>
      <c r="I25" s="2">
        <f>COUNTIF(defects!$V:$V,Weekly!I$3&amp;Weekly!$B25&amp;Weekly!$B$3&amp;$B$2)</f>
        <v>0</v>
      </c>
      <c r="J25" s="2">
        <f>COUNTIF(defects!$V:$V,Weekly!J$3&amp;Weekly!$B25&amp;Weekly!$B$3&amp;$B$2)</f>
        <v>0</v>
      </c>
      <c r="K25" s="2">
        <f>COUNTIF(defects!$V:$V,Weekly!K$3&amp;Weekly!$B25&amp;Weekly!$B$3&amp;$B$2)</f>
        <v>0</v>
      </c>
      <c r="L25" s="2">
        <f>COUNTIF(defects!$V:$V,Weekly!L$3&amp;Weekly!$B25&amp;Weekly!$B$3&amp;$B$2)</f>
        <v>0</v>
      </c>
      <c r="M25" s="2">
        <f>COUNTIF(defects!$V:$V,Weekly!M$3&amp;Weekly!$B25&amp;Weekly!$B$3&amp;$B$2)</f>
        <v>0</v>
      </c>
      <c r="N25" s="2">
        <f>COUNTIF(defects!$V:$V,Weekly!N$3&amp;Weekly!$B25&amp;Weekly!$B$3&amp;$B$2)</f>
        <v>0</v>
      </c>
      <c r="O25" s="2">
        <f>COUNTIF(defects!$V:$V,Weekly!O$3&amp;Weekly!$B25&amp;Weekly!$B$3&amp;$B$2)</f>
        <v>0</v>
      </c>
      <c r="P25" s="2">
        <f>COUNTIF(defects!$V:$V,Weekly!P$3&amp;Weekly!$B25&amp;Weekly!$B$3&amp;$B$2)</f>
        <v>0</v>
      </c>
      <c r="Q25" s="2">
        <f>COUNTIF(defects!$V:$V,Weekly!Q$3&amp;Weekly!$B25&amp;Weekly!$B$3&amp;$B$2)</f>
        <v>0</v>
      </c>
      <c r="R25" s="2">
        <f>COUNTIF(defects!$V:$V,Weekly!R$3&amp;Weekly!$B25&amp;Weekly!$B$3&amp;$B$2)</f>
        <v>0</v>
      </c>
      <c r="S25" s="2">
        <f>COUNTIF(defects!$V:$V,Weekly!S$3&amp;Weekly!$B25&amp;Weekly!$B$3&amp;$B$2)</f>
        <v>0</v>
      </c>
      <c r="T25" s="2">
        <f>COUNTIF(defects!$V:$V,Weekly!T$3&amp;Weekly!$B25&amp;Weekly!$B$3&amp;$B$2)</f>
        <v>0</v>
      </c>
      <c r="U25" s="2">
        <f>COUNTIF(defects!$V:$V,Weekly!U$3&amp;Weekly!$B25&amp;Weekly!$B$3&amp;$B$2)</f>
        <v>0</v>
      </c>
      <c r="V25" s="2">
        <f>COUNTIF(defects!$V:$V,Weekly!V$3&amp;Weekly!$B25&amp;Weekly!$B$3&amp;$B$2)</f>
        <v>0</v>
      </c>
      <c r="W25" s="2">
        <f>COUNTIF(defects!$V:$V,Weekly!W$3&amp;Weekly!$B25&amp;Weekly!$B$3&amp;$B$2)</f>
        <v>0</v>
      </c>
      <c r="X25" s="2">
        <f>COUNTIF(defects!$V:$V,Weekly!X$3&amp;Weekly!$B25&amp;Weekly!$B$3&amp;$B$2)</f>
        <v>0</v>
      </c>
      <c r="Y25" s="2">
        <f>COUNTIF(defects!$V:$V,Weekly!Y$3&amp;Weekly!$B25&amp;Weekly!$B$3&amp;$B$2)</f>
        <v>0</v>
      </c>
      <c r="Z25" s="2">
        <f>COUNTIF(defects!$V:$V,Weekly!Z$3&amp;Weekly!$B25&amp;Weekly!$B$3&amp;$B$2)</f>
        <v>0</v>
      </c>
      <c r="AA25" s="2">
        <f>COUNTIF(defects!$V:$V,Weekly!AA$3&amp;Weekly!$B25&amp;Weekly!$B$3&amp;$B$2)</f>
        <v>0</v>
      </c>
      <c r="AB25" s="2">
        <f>COUNTIF(defects!$V:$V,Weekly!AB$3&amp;Weekly!$B25&amp;Weekly!$B$3&amp;$B$2)</f>
        <v>0</v>
      </c>
      <c r="AC25" s="2">
        <f>COUNTIF(defects!$V:$V,Weekly!AC$3&amp;Weekly!$B25&amp;Weekly!$B$3&amp;$B$2)</f>
        <v>0</v>
      </c>
      <c r="AD25" s="2">
        <f>COUNTIF(defects!$V:$V,Weekly!AD$3&amp;Weekly!$B25&amp;Weekly!$B$3&amp;$B$2)</f>
        <v>0</v>
      </c>
      <c r="AE25" s="2">
        <f>COUNTIF(defects!$V:$V,Weekly!AE$3&amp;Weekly!$B25&amp;Weekly!$B$3&amp;$B$2)</f>
        <v>0</v>
      </c>
      <c r="AF25" s="2">
        <f>COUNTIF(defects!$V:$V,Weekly!AF$3&amp;Weekly!$B25&amp;Weekly!$B$3&amp;$B$2)</f>
        <v>0</v>
      </c>
      <c r="AG25" s="2">
        <f>COUNTIF(defects!$V:$V,Weekly!AG$3&amp;Weekly!$B25&amp;Weekly!$B$3&amp;$B$2)</f>
        <v>0</v>
      </c>
      <c r="AH25" s="2">
        <f>COUNTIF(defects!$V:$V,Weekly!AH$3&amp;Weekly!$B25&amp;Weekly!$B$3&amp;$B$2)</f>
        <v>0</v>
      </c>
      <c r="AI25" s="2">
        <f>COUNTIF(defects!$V:$V,Weekly!AI$3&amp;Weekly!$B25&amp;Weekly!$B$3&amp;$B$2)</f>
        <v>0</v>
      </c>
      <c r="AJ25" s="2">
        <f>COUNTIF(defects!$V:$V,Weekly!AJ$3&amp;Weekly!$B25&amp;Weekly!$B$3&amp;$B$2)</f>
        <v>0</v>
      </c>
      <c r="AK25" s="2">
        <f>COUNTIF(defects!$V:$V,Weekly!AK$3&amp;Weekly!$B25&amp;Weekly!$B$3&amp;$B$2)</f>
        <v>0</v>
      </c>
      <c r="AL25" s="2">
        <f>COUNTIF(defects!$V:$V,Weekly!AL$3&amp;Weekly!$B25&amp;Weekly!$B$3&amp;$B$2)</f>
        <v>0</v>
      </c>
      <c r="AM25" s="2">
        <f>COUNTIF(defects!$V:$V,Weekly!AM$3&amp;Weekly!$B25&amp;Weekly!$B$3&amp;$B$2)</f>
        <v>0</v>
      </c>
      <c r="AN25" s="2">
        <f>COUNTIF(defects!$V:$V,Weekly!AN$3&amp;Weekly!$B25&amp;Weekly!$B$3&amp;$B$2)</f>
        <v>0</v>
      </c>
      <c r="AO25" s="2">
        <f>COUNTIF(defects!$V:$V,Weekly!AO$3&amp;Weekly!$B25&amp;Weekly!$B$3&amp;$B$2)</f>
        <v>0</v>
      </c>
      <c r="AP25" s="2">
        <f>COUNTIF(defects!$V:$V,Weekly!AP$3&amp;Weekly!$B25&amp;Weekly!$B$3&amp;$B$2)</f>
        <v>0</v>
      </c>
      <c r="AQ25" s="2">
        <f>COUNTIF(defects!$V:$V,Weekly!AQ$3&amp;Weekly!$B25&amp;Weekly!$B$3&amp;$B$2)</f>
        <v>0</v>
      </c>
      <c r="AR25" s="2">
        <f>COUNTIF(defects!$V:$V,Weekly!AR$3&amp;Weekly!$B25&amp;Weekly!$B$3&amp;$B$2)</f>
        <v>0</v>
      </c>
      <c r="AS25" s="2">
        <f>COUNTIF(defects!$V:$V,Weekly!AS$3&amp;Weekly!$B25&amp;Weekly!$B$3&amp;$B$2)</f>
        <v>0</v>
      </c>
      <c r="AT25" s="2">
        <f>COUNTIF(defects!$V:$V,Weekly!AT$3&amp;Weekly!$B25&amp;Weekly!$B$3&amp;$B$2)</f>
        <v>0</v>
      </c>
      <c r="AU25" s="2">
        <f>COUNTIF(defects!$V:$V,Weekly!AU$3&amp;Weekly!$B25&amp;Weekly!$B$3&amp;$B$2)</f>
        <v>0</v>
      </c>
      <c r="AV25" s="2">
        <f>COUNTIF(defects!$V:$V,Weekly!AV$3&amp;Weekly!$B25&amp;Weekly!$B$3&amp;$B$2)</f>
        <v>0</v>
      </c>
      <c r="AW25" s="2">
        <f>COUNTIF(defects!$V:$V,Weekly!AW$3&amp;Weekly!$B25&amp;Weekly!$B$3&amp;$B$2)</f>
        <v>0</v>
      </c>
      <c r="AX25" s="2">
        <f>COUNTIF(defects!$V:$V,Weekly!AX$3&amp;Weekly!$B25&amp;Weekly!$B$3&amp;$B$2)</f>
        <v>0</v>
      </c>
      <c r="AY25" s="2">
        <f>COUNTIF(defects!$V:$V,Weekly!AY$3&amp;Weekly!$B25&amp;Weekly!$B$3&amp;$B$2)</f>
        <v>0</v>
      </c>
      <c r="AZ25" s="2">
        <f>COUNTIF(defects!$V:$V,Weekly!AZ$3&amp;Weekly!$B25&amp;Weekly!$B$3&amp;$B$2)</f>
        <v>0</v>
      </c>
      <c r="BA25" s="2">
        <f>COUNTIF(defects!$V:$V,Weekly!BA$3&amp;Weekly!$B25&amp;Weekly!$B$3&amp;$B$2)</f>
        <v>0</v>
      </c>
      <c r="BB25" s="2">
        <f>COUNTIF(defects!$V:$V,Weekly!BB$3&amp;Weekly!$B25&amp;Weekly!$B$3&amp;$B$2)</f>
        <v>0</v>
      </c>
      <c r="BC25" s="2">
        <f>COUNTIF(defects!$V:$V,Weekly!BC$3&amp;Weekly!$B25&amp;Weekly!$B$3&amp;$B$2)</f>
        <v>0</v>
      </c>
      <c r="BD25" s="2">
        <f>COUNTIF(defects!$V:$V,Weekly!BD$3&amp;Weekly!$B25&amp;Weekly!$B$3&amp;$B$2)</f>
        <v>0</v>
      </c>
      <c r="BE25" s="2">
        <f>COUNTIF(defects!$V:$V,Weekly!BE$3&amp;Weekly!$B25&amp;Weekly!$B$3&amp;$B$2)</f>
        <v>0</v>
      </c>
      <c r="BF25" s="2">
        <f>COUNTIF(defects!$V:$V,Weekly!BF$3&amp;Weekly!$B25&amp;Weekly!$B$3&amp;$B$2)</f>
        <v>0</v>
      </c>
      <c r="BG25" s="2">
        <f>COUNTIF(defects!$V:$V,Weekly!BG$3&amp;Weekly!$B25&amp;Weekly!$B$3&amp;$B$2)</f>
        <v>0</v>
      </c>
      <c r="BH25" s="2">
        <f>COUNTIF(defects!$V:$V,Weekly!BH$3&amp;Weekly!$B25&amp;Weekly!$B$3&amp;$B$2)</f>
        <v>0</v>
      </c>
      <c r="BI25" s="2">
        <f>COUNTIF(defects!$V:$V,Weekly!BI$3&amp;Weekly!$B25&amp;Weekly!$B$3&amp;$B$2)</f>
        <v>0</v>
      </c>
      <c r="BJ25" s="2">
        <f>COUNTIF(defects!$V:$V,Weekly!BJ$3&amp;Weekly!$B25&amp;Weekly!$B$3&amp;$B$2)</f>
        <v>0</v>
      </c>
      <c r="BK25" s="2">
        <f>COUNTIF(defects!$V:$V,Weekly!BK$3&amp;Weekly!$B25&amp;Weekly!$B$3&amp;$B$2)</f>
        <v>0</v>
      </c>
      <c r="BL25" s="2">
        <f>COUNTIF(defects!$V:$V,Weekly!BL$3&amp;Weekly!$B25&amp;Weekly!$B$3&amp;$B$2)</f>
        <v>0</v>
      </c>
      <c r="BM25" s="2">
        <f>COUNTIF(defects!$V:$V,Weekly!BM$3&amp;Weekly!$B25&amp;Weekly!$B$3&amp;$B$2)</f>
        <v>0</v>
      </c>
      <c r="BN25" s="2">
        <f>COUNTIF(defects!$V:$V,Weekly!BN$3&amp;Weekly!$B25&amp;Weekly!$B$3&amp;$B$2)</f>
        <v>0</v>
      </c>
      <c r="BO25" s="2">
        <f>COUNTIF(defects!$V:$V,Weekly!BO$3&amp;Weekly!$B25&amp;Weekly!$B$3&amp;$B$2)</f>
        <v>0</v>
      </c>
      <c r="BP25" s="2">
        <f>COUNTIF(defects!$V:$V,Weekly!BP$3&amp;Weekly!$B25&amp;Weekly!$B$3&amp;$B$2)</f>
        <v>0</v>
      </c>
      <c r="BQ25" s="2">
        <f>COUNTIF(defects!$V:$V,Weekly!BQ$3&amp;Weekly!$B25&amp;Weekly!$B$3&amp;$B$2)</f>
        <v>0</v>
      </c>
      <c r="BR25" s="2">
        <f>COUNTIF(defects!$V:$V,Weekly!BR$3&amp;Weekly!$B25&amp;Weekly!$B$3&amp;$B$2)</f>
        <v>0</v>
      </c>
      <c r="BS25" s="2">
        <f>COUNTIF(defects!$V:$V,Weekly!BS$3&amp;Weekly!$B25&amp;Weekly!$B$3&amp;$B$2)</f>
        <v>0</v>
      </c>
      <c r="BT25" s="2">
        <f>COUNTIF(defects!$V:$V,Weekly!BT$3&amp;Weekly!$B25&amp;Weekly!$B$3&amp;$B$2)</f>
        <v>0</v>
      </c>
      <c r="BU25" s="2">
        <f>COUNTIF(defects!$V:$V,Weekly!BU$3&amp;Weekly!$B25&amp;Weekly!$B$3&amp;$B$2)</f>
        <v>0</v>
      </c>
      <c r="BV25" s="2">
        <f>COUNTIF(defects!$V:$V,Weekly!BV$3&amp;Weekly!$B25&amp;Weekly!$B$3&amp;$B$2)</f>
        <v>0</v>
      </c>
      <c r="BW25" s="2">
        <f>COUNTIF(defects!$V:$V,Weekly!BW$3&amp;Weekly!$B25&amp;Weekly!$B$3&amp;$B$2)</f>
        <v>0</v>
      </c>
      <c r="BX25" s="2">
        <f>COUNTIF(defects!$V:$V,Weekly!BX$3&amp;Weekly!$B25&amp;Weekly!$B$3&amp;$B$2)</f>
        <v>0</v>
      </c>
      <c r="BY25" s="2">
        <f>COUNTIF(defects!$V:$V,Weekly!BY$3&amp;Weekly!$B25&amp;Weekly!$B$3&amp;$B$2)</f>
        <v>0</v>
      </c>
      <c r="BZ25" s="2">
        <f>COUNTIF(defects!$V:$V,Weekly!BZ$3&amp;Weekly!$B25&amp;Weekly!$B$3&amp;$B$2)</f>
        <v>0</v>
      </c>
      <c r="CA25" s="2">
        <f>COUNTIF(defects!$V:$V,Weekly!CA$3&amp;Weekly!$B25&amp;Weekly!$B$3&amp;$B$2)</f>
        <v>0</v>
      </c>
      <c r="CB25" s="2">
        <f>COUNTIF(defects!$V:$V,Weekly!CB$3&amp;Weekly!$B25&amp;Weekly!$B$3&amp;$B$2)</f>
        <v>0</v>
      </c>
      <c r="CC25" s="2">
        <f>COUNTIF(defects!$V:$V,Weekly!CC$3&amp;Weekly!$B25&amp;Weekly!$B$3&amp;$B$2)</f>
        <v>0</v>
      </c>
      <c r="CD25" s="2">
        <f>COUNTIF(defects!$V:$V,Weekly!CD$3&amp;Weekly!$B25&amp;Weekly!$B$3&amp;$B$2)</f>
        <v>0</v>
      </c>
      <c r="CE25" s="2">
        <f>COUNTIF(defects!$V:$V,Weekly!CE$3&amp;Weekly!$B25&amp;Weekly!$B$3&amp;$B$2)</f>
        <v>0</v>
      </c>
      <c r="CF25" s="2">
        <f>COUNTIF(defects!$V:$V,Weekly!CF$3&amp;Weekly!$B25&amp;Weekly!$B$3&amp;$B$2)</f>
        <v>0</v>
      </c>
      <c r="CG25" s="2">
        <f>COUNTIF(defects!$V:$V,Weekly!CG$3&amp;Weekly!$B25&amp;Weekly!$B$3&amp;$B$2)</f>
        <v>0</v>
      </c>
      <c r="CH25" s="2">
        <f>COUNTIF(defects!$V:$V,Weekly!CH$3&amp;Weekly!$B25&amp;Weekly!$B$3&amp;$B$2)</f>
        <v>0</v>
      </c>
      <c r="CI25" s="2">
        <f>COUNTIF(defects!$V:$V,Weekly!CI$3&amp;Weekly!$B25&amp;Weekly!$B$3&amp;$B$2)</f>
        <v>0</v>
      </c>
      <c r="CJ25" s="2">
        <f>COUNTIF(defects!$V:$V,Weekly!CJ$3&amp;Weekly!$B25&amp;Weekly!$B$3&amp;$B$2)</f>
        <v>0</v>
      </c>
      <c r="CK25" s="2">
        <f>COUNTIF(defects!$V:$V,Weekly!CK$3&amp;Weekly!$B25&amp;Weekly!$B$3&amp;$B$2)</f>
        <v>0</v>
      </c>
      <c r="CL25" s="2">
        <f>COUNTIF(defects!$V:$V,Weekly!CL$3&amp;Weekly!$B25&amp;Weekly!$B$3&amp;$B$2)</f>
        <v>0</v>
      </c>
      <c r="CM25" s="2">
        <f>COUNTIF(defects!$V:$V,Weekly!CM$3&amp;Weekly!$B25&amp;Weekly!$B$3&amp;$B$2)</f>
        <v>0</v>
      </c>
      <c r="CN25" s="2">
        <f>COUNTIF(defects!$V:$V,Weekly!CN$3&amp;Weekly!$B25&amp;Weekly!$B$3&amp;$B$2)</f>
        <v>0</v>
      </c>
      <c r="CO25" s="2">
        <f>COUNTIF(defects!$V:$V,Weekly!CO$3&amp;Weekly!$B25&amp;Weekly!$B$3&amp;$B$2)</f>
        <v>0</v>
      </c>
      <c r="CP25" s="2">
        <f>COUNTIF(defects!$V:$V,Weekly!CP$3&amp;Weekly!$B25&amp;Weekly!$B$3&amp;$B$2)</f>
        <v>0</v>
      </c>
      <c r="CQ25" s="2">
        <f>COUNTIF(defects!$V:$V,Weekly!CQ$3&amp;Weekly!$B25&amp;Weekly!$B$3&amp;$B$2)</f>
        <v>0</v>
      </c>
      <c r="CR25" s="2">
        <f>COUNTIF(defects!$V:$V,Weekly!CR$3&amp;Weekly!$B25&amp;Weekly!$B$3&amp;$B$2)</f>
        <v>0</v>
      </c>
      <c r="CS25" s="2">
        <f>COUNTIF(defects!$V:$V,Weekly!CS$3&amp;Weekly!$B25&amp;Weekly!$B$3&amp;$B$2)</f>
        <v>0</v>
      </c>
      <c r="CT25" s="2">
        <f>COUNTIF(defects!$V:$V,Weekly!CT$3&amp;Weekly!$B25&amp;Weekly!$B$3&amp;$B$2)</f>
        <v>0</v>
      </c>
      <c r="CU25" s="2">
        <f>COUNTIF(defects!$V:$V,Weekly!CU$3&amp;Weekly!$B25&amp;Weekly!$B$3&amp;$B$2)</f>
        <v>0</v>
      </c>
      <c r="CV25" s="2">
        <f>COUNTIF(defects!$V:$V,Weekly!CV$3&amp;Weekly!$B25&amp;Weekly!$B$3&amp;$B$2)</f>
        <v>0</v>
      </c>
      <c r="CW25" s="2">
        <f>COUNTIF(defects!$V:$V,Weekly!CW$3&amp;Weekly!$B25&amp;Weekly!$B$3&amp;$B$2)</f>
        <v>0</v>
      </c>
      <c r="CX25" s="2">
        <f>COUNTIF(defects!$V:$V,Weekly!CX$3&amp;Weekly!$B25&amp;Weekly!$B$3&amp;$B$2)</f>
        <v>0</v>
      </c>
      <c r="CY25" s="2">
        <f>COUNTIF(defects!$V:$V,Weekly!CY$3&amp;Weekly!$B25&amp;Weekly!$B$3&amp;$B$2)</f>
        <v>0</v>
      </c>
      <c r="CZ25" s="2">
        <f>COUNTIF(defects!$V:$V,Weekly!CZ$3&amp;Weekly!$B25&amp;Weekly!$B$3&amp;$B$2)</f>
        <v>0</v>
      </c>
      <c r="DA25" s="2">
        <f>COUNTIF(defects!$V:$V,Weekly!DA$3&amp;Weekly!$B25&amp;Weekly!$B$3&amp;$B$2)</f>
        <v>0</v>
      </c>
      <c r="DB25" s="2">
        <f>COUNTIF(defects!$V:$V,Weekly!DB$3&amp;Weekly!$B25&amp;Weekly!$B$3&amp;$B$2)</f>
        <v>0</v>
      </c>
      <c r="DC25" s="2">
        <f>COUNTIF(defects!$V:$V,Weekly!DC$3&amp;Weekly!$B25&amp;Weekly!$B$3&amp;$B$2)</f>
        <v>0</v>
      </c>
      <c r="DD25" s="2">
        <f>COUNTIF(defects!$V:$V,Weekly!DD$3&amp;Weekly!$B25&amp;Weekly!$B$3&amp;$B$2)</f>
        <v>0</v>
      </c>
      <c r="DE25" s="2">
        <f>COUNTIF(defects!$V:$V,Weekly!DE$3&amp;Weekly!$B25&amp;Weekly!$B$3&amp;$B$2)</f>
        <v>0</v>
      </c>
      <c r="DF25" s="2">
        <f>COUNTIF(defects!$V:$V,Weekly!DF$3&amp;Weekly!$B25&amp;Weekly!$B$3&amp;$B$2)</f>
        <v>0</v>
      </c>
      <c r="DG25" s="2">
        <f>COUNTIF(defects!$V:$V,Weekly!DG$3&amp;Weekly!$B25&amp;Weekly!$B$3&amp;$B$2)</f>
        <v>0</v>
      </c>
      <c r="DH25" s="2">
        <f>COUNTIF(defects!$V:$V,Weekly!DH$3&amp;Weekly!$B25&amp;Weekly!$B$3&amp;$B$2)</f>
        <v>0</v>
      </c>
      <c r="DI25" s="2">
        <f>COUNTIF(defects!$V:$V,Weekly!DI$3&amp;Weekly!$B25&amp;Weekly!$B$3&amp;$B$2)</f>
        <v>0</v>
      </c>
      <c r="DJ25" s="2">
        <f>COUNTIF(defects!$V:$V,Weekly!DJ$3&amp;Weekly!$B25&amp;Weekly!$B$3&amp;$B$2)</f>
        <v>0</v>
      </c>
      <c r="DK25" s="2">
        <f>COUNTIF(defects!$V:$V,Weekly!DK$3&amp;Weekly!$B25&amp;Weekly!$B$3&amp;$B$2)</f>
        <v>0</v>
      </c>
      <c r="DL25" s="2">
        <f>COUNTIF(defects!$V:$V,Weekly!DL$3&amp;Weekly!$B25&amp;Weekly!$B$3&amp;$B$2)</f>
        <v>0</v>
      </c>
      <c r="DM25" s="2">
        <f>COUNTIF(defects!$V:$V,Weekly!DM$3&amp;Weekly!$B25&amp;Weekly!$B$3&amp;$B$2)</f>
        <v>0</v>
      </c>
      <c r="DN25" s="2">
        <f>COUNTIF(defects!$V:$V,Weekly!DN$3&amp;Weekly!$B25&amp;Weekly!$B$3&amp;$B$2)</f>
        <v>0</v>
      </c>
      <c r="DO25" s="2">
        <f>COUNTIF(defects!$V:$V,Weekly!DO$3&amp;Weekly!$B25&amp;Weekly!$B$3&amp;$B$2)</f>
        <v>0</v>
      </c>
      <c r="DP25" s="2">
        <f>COUNTIF(defects!$V:$V,Weekly!DP$3&amp;Weekly!$B25&amp;Weekly!$B$3&amp;$B$2)</f>
        <v>0</v>
      </c>
      <c r="DQ25" s="2">
        <f>COUNTIF(defects!$V:$V,Weekly!DQ$3&amp;Weekly!$B25&amp;Weekly!$B$3&amp;$B$2)</f>
        <v>0</v>
      </c>
      <c r="DR25" s="2">
        <f>COUNTIF(defects!$V:$V,Weekly!DR$3&amp;Weekly!$B25&amp;Weekly!$B$3&amp;$B$2)</f>
        <v>0</v>
      </c>
      <c r="DS25" s="2">
        <f>COUNTIF(defects!$V:$V,Weekly!DS$3&amp;Weekly!$B25&amp;Weekly!$B$3&amp;$B$2)</f>
        <v>0</v>
      </c>
      <c r="DT25" s="2">
        <f>COUNTIF(defects!$V:$V,Weekly!DT$3&amp;Weekly!$B25&amp;Weekly!$B$3&amp;$B$2)</f>
        <v>0</v>
      </c>
      <c r="DU25" s="2">
        <f>COUNTIF(defects!$V:$V,Weekly!DU$3&amp;Weekly!$B25&amp;Weekly!$B$3&amp;$B$2)</f>
        <v>0</v>
      </c>
      <c r="DV25" s="2">
        <f>COUNTIF(defects!$V:$V,Weekly!DV$3&amp;Weekly!$B25&amp;Weekly!$B$3&amp;$B$2)</f>
        <v>0</v>
      </c>
      <c r="DW25" s="2">
        <f>COUNTIF(defects!$V:$V,Weekly!DW$3&amp;Weekly!$B25&amp;Weekly!$B$3&amp;$B$2)</f>
        <v>0</v>
      </c>
      <c r="DX25" s="2">
        <f>COUNTIF(defects!$V:$V,Weekly!DX$3&amp;Weekly!$B25&amp;Weekly!$B$3&amp;$B$2)</f>
        <v>0</v>
      </c>
      <c r="DY25" s="2">
        <f>COUNTIF(defects!$V:$V,Weekly!DY$3&amp;Weekly!$B25&amp;Weekly!$B$3&amp;$B$2)</f>
        <v>0</v>
      </c>
      <c r="DZ25" s="2">
        <f>COUNTIF(defects!$V:$V,Weekly!DZ$3&amp;Weekly!$B25&amp;Weekly!$B$3&amp;$B$2)</f>
        <v>0</v>
      </c>
      <c r="EA25" s="2">
        <f>COUNTIF(defects!$V:$V,Weekly!EA$3&amp;Weekly!$B25&amp;Weekly!$B$3&amp;$B$2)</f>
        <v>0</v>
      </c>
      <c r="EB25" s="2">
        <f>COUNTIF(defects!$V:$V,Weekly!EB$3&amp;Weekly!$B25&amp;Weekly!$B$3&amp;$B$2)</f>
        <v>0</v>
      </c>
      <c r="EC25" s="2">
        <f>COUNTIF(defects!$V:$V,Weekly!EC$3&amp;Weekly!$B25&amp;Weekly!$B$3&amp;$B$2)</f>
        <v>0</v>
      </c>
      <c r="ED25" s="2">
        <f>COUNTIF(defects!$V:$V,Weekly!ED$3&amp;Weekly!$B25&amp;Weekly!$B$3&amp;$B$2)</f>
        <v>0</v>
      </c>
      <c r="EE25" s="2">
        <f>COUNTIF(defects!$V:$V,Weekly!EE$3&amp;Weekly!$B25&amp;Weekly!$B$3&amp;$B$2)</f>
        <v>0</v>
      </c>
      <c r="EF25" s="2">
        <f>COUNTIF(defects!$V:$V,Weekly!EF$3&amp;Weekly!$B25&amp;Weekly!$B$3&amp;$B$2)</f>
        <v>0</v>
      </c>
      <c r="EG25" s="2">
        <f>COUNTIF(defects!$V:$V,Weekly!EG$3&amp;Weekly!$B25&amp;Weekly!$B$3&amp;$B$2)</f>
        <v>0</v>
      </c>
      <c r="EH25" s="2">
        <f>COUNTIF(defects!$V:$V,Weekly!EH$3&amp;Weekly!$B25&amp;Weekly!$B$3&amp;$B$2)</f>
        <v>0</v>
      </c>
      <c r="EI25" s="2">
        <f>COUNTIF(defects!$V:$V,Weekly!EI$3&amp;Weekly!$B25&amp;Weekly!$B$3&amp;$B$2)</f>
        <v>0</v>
      </c>
      <c r="EJ25" s="2">
        <f>COUNTIF(defects!$V:$V,Weekly!EJ$3&amp;Weekly!$B25&amp;Weekly!$B$3&amp;$B$2)</f>
        <v>0</v>
      </c>
      <c r="EK25" s="2">
        <f>COUNTIF(defects!$V:$V,Weekly!EK$3&amp;Weekly!$B25&amp;Weekly!$B$3&amp;$B$2)</f>
        <v>0</v>
      </c>
      <c r="EL25" s="2">
        <f>COUNTIF(defects!$V:$V,Weekly!EL$3&amp;Weekly!$B25&amp;Weekly!$B$3&amp;$B$2)</f>
        <v>0</v>
      </c>
      <c r="EM25" s="2">
        <f>COUNTIF(defects!$V:$V,Weekly!EM$3&amp;Weekly!$B25&amp;Weekly!$B$3&amp;$B$2)</f>
        <v>0</v>
      </c>
      <c r="EN25" s="2">
        <f>COUNTIF(defects!$V:$V,Weekly!EN$3&amp;Weekly!$B25&amp;Weekly!$B$3&amp;$B$2)</f>
        <v>0</v>
      </c>
      <c r="EO25" s="2">
        <f>COUNTIF(defects!$V:$V,Weekly!EO$3&amp;Weekly!$B25&amp;Weekly!$B$3&amp;$B$2)</f>
        <v>0</v>
      </c>
      <c r="EP25" s="2">
        <f>COUNTIF(defects!$V:$V,Weekly!EP$3&amp;Weekly!$B25&amp;Weekly!$B$3&amp;$B$2)</f>
        <v>0</v>
      </c>
      <c r="EQ25" s="2">
        <f>COUNTIF(defects!$V:$V,Weekly!EQ$3&amp;Weekly!$B25&amp;Weekly!$B$3&amp;$B$2)</f>
        <v>0</v>
      </c>
      <c r="ER25" s="2">
        <f>COUNTIF(defects!$V:$V,Weekly!ER$3&amp;Weekly!$B25&amp;Weekly!$B$3&amp;$B$2)</f>
        <v>0</v>
      </c>
      <c r="ES25" s="2">
        <f>COUNTIF(defects!$V:$V,Weekly!ES$3&amp;Weekly!$B25&amp;Weekly!$B$3&amp;$B$2)</f>
        <v>0</v>
      </c>
      <c r="ET25" s="2">
        <f>COUNTIF(defects!$V:$V,Weekly!ET$3&amp;Weekly!$B25&amp;Weekly!$B$3&amp;$B$2)</f>
        <v>0</v>
      </c>
      <c r="EU25" s="2">
        <f>COUNTIF(defects!$V:$V,Weekly!EU$3&amp;Weekly!$B25&amp;Weekly!$B$3&amp;$B$2)</f>
        <v>0</v>
      </c>
      <c r="EV25" s="2">
        <f>COUNTIF(defects!$V:$V,Weekly!EV$3&amp;Weekly!$B25&amp;Weekly!$B$3&amp;$B$2)</f>
        <v>0</v>
      </c>
      <c r="EW25" s="2">
        <f>COUNTIF(defects!$V:$V,Weekly!EW$3&amp;Weekly!$B25&amp;Weekly!$B$3&amp;$B$2)</f>
        <v>0</v>
      </c>
      <c r="EX25" s="2">
        <f>COUNTIF(defects!$V:$V,Weekly!EX$3&amp;Weekly!$B25&amp;Weekly!$B$3&amp;$B$2)</f>
        <v>0</v>
      </c>
      <c r="EY25" s="2">
        <f>COUNTIF(defects!$V:$V,Weekly!EY$3&amp;Weekly!$B25&amp;Weekly!$B$3&amp;$B$2)</f>
        <v>0</v>
      </c>
      <c r="EZ25" s="2">
        <f>COUNTIF(defects!$V:$V,Weekly!EZ$3&amp;Weekly!$B25&amp;Weekly!$B$3&amp;$B$2)</f>
        <v>0</v>
      </c>
      <c r="FA25" s="2">
        <f>COUNTIF(defects!$V:$V,Weekly!FA$3&amp;Weekly!$B25&amp;Weekly!$B$3&amp;$B$2)</f>
        <v>0</v>
      </c>
      <c r="FB25" s="2">
        <f>COUNTIF(defects!$V:$V,Weekly!FB$3&amp;Weekly!$B25&amp;Weekly!$B$3&amp;$B$2)</f>
        <v>0</v>
      </c>
      <c r="FC25" s="2">
        <f>COUNTIF(defects!$V:$V,Weekly!FC$3&amp;Weekly!$B25&amp;Weekly!$B$3&amp;$B$2)</f>
        <v>0</v>
      </c>
      <c r="FD25" s="2">
        <f>COUNTIF(defects!$V:$V,Weekly!FD$3&amp;Weekly!$B25&amp;Weekly!$B$3&amp;$B$2)</f>
        <v>0</v>
      </c>
      <c r="FE25" s="2">
        <f>COUNTIF(defects!$V:$V,Weekly!FE$3&amp;Weekly!$B25&amp;Weekly!$B$3&amp;$B$2)</f>
        <v>0</v>
      </c>
    </row>
    <row r="26" spans="2:161" x14ac:dyDescent="0.35">
      <c r="C26" s="2"/>
    </row>
  </sheetData>
  <conditionalFormatting sqref="C7:C26 D7:FE25 C4:FE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832AF-02B6-4753-8DB8-2F34330F007A}">
  <sheetPr codeName="wsMonthly">
    <tabColor rgb="FF00CC99"/>
  </sheetPr>
  <dimension ref="B1:AV47"/>
  <sheetViews>
    <sheetView zoomScale="85" zoomScaleNormal="85" workbookViewId="0">
      <selection activeCell="AZ9" sqref="AZ9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1" spans="2:48" x14ac:dyDescent="0.35">
      <c r="B1" s="3" t="s">
        <v>410</v>
      </c>
      <c r="C1" s="3" t="str">
        <f>B2</f>
        <v>FY21</v>
      </c>
      <c r="D1" s="3" t="str">
        <f>"FY" &amp; (RIGHT(B2,2)+1)</f>
        <v>FY22</v>
      </c>
      <c r="F1" s="3" t="str">
        <f>"FY"&amp;LEFT(F2,2)</f>
        <v>FY20</v>
      </c>
      <c r="G1" s="3" t="str">
        <f t="shared" ref="G1:Y1" si="0">"FY"&amp;LEFT(G2,2)</f>
        <v>FY20</v>
      </c>
      <c r="H1" s="3" t="str">
        <f t="shared" si="0"/>
        <v>FY20</v>
      </c>
      <c r="I1" s="3" t="str">
        <f t="shared" si="0"/>
        <v>FY20</v>
      </c>
      <c r="J1" s="3" t="str">
        <f t="shared" si="0"/>
        <v>FY20</v>
      </c>
      <c r="K1" s="3" t="str">
        <f t="shared" si="0"/>
        <v>FY20</v>
      </c>
      <c r="L1" s="3" t="str">
        <f t="shared" si="0"/>
        <v>FY20</v>
      </c>
      <c r="M1" s="3" t="str">
        <f t="shared" si="0"/>
        <v>FY20</v>
      </c>
      <c r="N1" s="3" t="str">
        <f t="shared" si="0"/>
        <v>FY20</v>
      </c>
      <c r="O1" s="3" t="str">
        <f t="shared" si="0"/>
        <v>FY20</v>
      </c>
      <c r="P1" s="3" t="str">
        <f t="shared" si="0"/>
        <v>FY20</v>
      </c>
      <c r="Q1" s="3" t="str">
        <f t="shared" si="0"/>
        <v>FY20</v>
      </c>
      <c r="R1" s="3" t="str">
        <f t="shared" si="0"/>
        <v>FY21</v>
      </c>
      <c r="S1" s="3" t="str">
        <f t="shared" si="0"/>
        <v>FY21</v>
      </c>
      <c r="T1" s="3" t="str">
        <f t="shared" si="0"/>
        <v>FY21</v>
      </c>
      <c r="U1" s="3" t="str">
        <f t="shared" si="0"/>
        <v>FY21</v>
      </c>
      <c r="V1" s="3" t="str">
        <f t="shared" si="0"/>
        <v>FY21</v>
      </c>
      <c r="W1" s="3" t="str">
        <f t="shared" si="0"/>
        <v>FY21</v>
      </c>
      <c r="X1" s="3" t="str">
        <f t="shared" si="0"/>
        <v>FY21</v>
      </c>
      <c r="Y1" s="3" t="str">
        <f t="shared" si="0"/>
        <v>FY21</v>
      </c>
      <c r="Z1" s="3" t="str">
        <f t="shared" ref="Z1" si="1">"FY"&amp;LEFT(Z2,2)</f>
        <v>FY21</v>
      </c>
      <c r="AA1" s="3" t="str">
        <f t="shared" ref="AA1" si="2">"FY"&amp;LEFT(AA2,2)</f>
        <v>FY21</v>
      </c>
      <c r="AB1" s="3" t="str">
        <f t="shared" ref="AB1" si="3">"FY"&amp;LEFT(AB2,2)</f>
        <v>FY21</v>
      </c>
      <c r="AC1" s="3" t="str">
        <f t="shared" ref="AC1" si="4">"FY"&amp;LEFT(AC2,2)</f>
        <v>FY21</v>
      </c>
      <c r="AD1" s="3" t="str">
        <f t="shared" ref="AD1" si="5">"FY"&amp;LEFT(AD2,2)</f>
        <v>FY22</v>
      </c>
      <c r="AE1" s="3" t="str">
        <f t="shared" ref="AE1" si="6">"FY"&amp;LEFT(AE2,2)</f>
        <v>FY22</v>
      </c>
      <c r="AF1" s="3" t="str">
        <f t="shared" ref="AF1" si="7">"FY"&amp;LEFT(AF2,2)</f>
        <v>FY22</v>
      </c>
      <c r="AG1" s="3" t="str">
        <f t="shared" ref="AG1" si="8">"FY"&amp;LEFT(AG2,2)</f>
        <v>FY22</v>
      </c>
      <c r="AH1" s="3" t="str">
        <f t="shared" ref="AH1" si="9">"FY"&amp;LEFT(AH2,2)</f>
        <v>FY22</v>
      </c>
      <c r="AI1" s="3" t="str">
        <f t="shared" ref="AI1" si="10">"FY"&amp;LEFT(AI2,2)</f>
        <v>FY22</v>
      </c>
      <c r="AJ1" s="3" t="str">
        <f t="shared" ref="AJ1" si="11">"FY"&amp;LEFT(AJ2,2)</f>
        <v>FY22</v>
      </c>
      <c r="AK1" s="3" t="str">
        <f t="shared" ref="AK1" si="12">"FY"&amp;LEFT(AK2,2)</f>
        <v>FY22</v>
      </c>
      <c r="AL1" s="3" t="str">
        <f t="shared" ref="AL1" si="13">"FY"&amp;LEFT(AL2,2)</f>
        <v>FY22</v>
      </c>
      <c r="AM1" s="3" t="str">
        <f t="shared" ref="AM1" si="14">"FY"&amp;LEFT(AM2,2)</f>
        <v>FY22</v>
      </c>
      <c r="AN1" s="3" t="str">
        <f t="shared" ref="AN1" si="15">"FY"&amp;LEFT(AN2,2)</f>
        <v>FY22</v>
      </c>
      <c r="AO1" s="3" t="str">
        <f t="shared" ref="AO1:AP1" si="16">"FY"&amp;LEFT(AO2,2)</f>
        <v>FY22</v>
      </c>
      <c r="AP1" s="3" t="str">
        <f t="shared" si="16"/>
        <v>FY23</v>
      </c>
    </row>
    <row r="2" spans="2:48" x14ac:dyDescent="0.35">
      <c r="B2" s="10" t="str">
        <f>Report!B2</f>
        <v>FY21</v>
      </c>
      <c r="C2" s="16" t="str">
        <f>C1&amp;" TTL"</f>
        <v>FY21 TTL</v>
      </c>
      <c r="D2" s="16" t="str">
        <f>D1&amp;" TTL"</f>
        <v>FY22 TTL</v>
      </c>
      <c r="E2" s="16"/>
      <c r="F2" s="11" t="s">
        <v>1375</v>
      </c>
      <c r="G2" s="11" t="s">
        <v>1374</v>
      </c>
      <c r="H2" s="11" t="s">
        <v>1373</v>
      </c>
      <c r="I2" s="11" t="s">
        <v>1364</v>
      </c>
      <c r="J2" s="11" t="s">
        <v>1365</v>
      </c>
      <c r="K2" s="11" t="s">
        <v>1366</v>
      </c>
      <c r="L2" s="11" t="s">
        <v>1367</v>
      </c>
      <c r="M2" s="11" t="s">
        <v>1368</v>
      </c>
      <c r="N2" s="11" t="s">
        <v>1369</v>
      </c>
      <c r="O2" s="11" t="s">
        <v>1370</v>
      </c>
      <c r="P2" s="11" t="s">
        <v>1371</v>
      </c>
      <c r="Q2" s="11" t="s">
        <v>1372</v>
      </c>
      <c r="R2" s="11" t="s">
        <v>1363</v>
      </c>
      <c r="S2" s="11" t="s">
        <v>1362</v>
      </c>
      <c r="T2" s="11" t="s">
        <v>1356</v>
      </c>
      <c r="U2" s="11" t="s">
        <v>1357</v>
      </c>
      <c r="V2" s="11" t="s">
        <v>1358</v>
      </c>
      <c r="W2" s="11" t="s">
        <v>1359</v>
      </c>
      <c r="X2" s="11" t="s">
        <v>1360</v>
      </c>
      <c r="Y2" s="11" t="s">
        <v>1361</v>
      </c>
      <c r="Z2" s="11" t="s">
        <v>1385</v>
      </c>
      <c r="AA2" s="11" t="s">
        <v>1386</v>
      </c>
      <c r="AB2" s="11" t="s">
        <v>1387</v>
      </c>
      <c r="AC2" s="11" t="s">
        <v>1388</v>
      </c>
      <c r="AD2" s="11" t="s">
        <v>1389</v>
      </c>
      <c r="AE2" s="11" t="s">
        <v>1390</v>
      </c>
      <c r="AF2" s="11" t="s">
        <v>1391</v>
      </c>
      <c r="AG2" s="11" t="s">
        <v>1392</v>
      </c>
      <c r="AH2" s="11" t="s">
        <v>1393</v>
      </c>
      <c r="AI2" s="11" t="s">
        <v>1394</v>
      </c>
      <c r="AJ2" s="11" t="s">
        <v>1395</v>
      </c>
      <c r="AK2" s="11" t="s">
        <v>1396</v>
      </c>
      <c r="AL2" s="11" t="s">
        <v>1397</v>
      </c>
      <c r="AM2" s="11" t="s">
        <v>1398</v>
      </c>
      <c r="AN2" s="11" t="s">
        <v>1399</v>
      </c>
      <c r="AO2" s="11" t="s">
        <v>1400</v>
      </c>
      <c r="AP2" s="11" t="s">
        <v>1401</v>
      </c>
      <c r="AQ2" s="11"/>
      <c r="AR2" s="12">
        <f>AS2-1</f>
        <v>2131</v>
      </c>
      <c r="AS2" s="12">
        <f>AT2-1</f>
        <v>2132</v>
      </c>
      <c r="AT2" s="18">
        <f>Report!C2</f>
        <v>2133</v>
      </c>
      <c r="AU2" s="11"/>
      <c r="AV2" s="13" t="s">
        <v>1412</v>
      </c>
    </row>
    <row r="3" spans="2:48" x14ac:dyDescent="0.35">
      <c r="B3" s="13" t="s">
        <v>1376</v>
      </c>
      <c r="C3" s="13">
        <f>SUMIF($F$1:$AP$1,C$1,$F3:$AP3)</f>
        <v>111377</v>
      </c>
      <c r="D3" s="13">
        <f>SUMIF($F$1:$AP$1,D$1,$F3:$AP3)</f>
        <v>0</v>
      </c>
      <c r="E3" s="13"/>
      <c r="F3" s="13">
        <f>SUMIF(inputs!$H:$H,$B$2&amp;F$2,inputs!$D:$D)</f>
        <v>0</v>
      </c>
      <c r="G3" s="13">
        <f>SUMIF(inputs!$H:$H,$B$2&amp;G$2,inputs!$D:$D)</f>
        <v>0</v>
      </c>
      <c r="H3" s="13">
        <f>SUMIF(inputs!$H:$H,$B$2&amp;H$2,inputs!$D:$D)</f>
        <v>0</v>
      </c>
      <c r="I3" s="13">
        <f>SUMIF(inputs!$H:$H,$B$2&amp;I$2,inputs!$D:$D)</f>
        <v>0</v>
      </c>
      <c r="J3" s="13">
        <f>SUMIF(inputs!$H:$H,$B$2&amp;J$2,inputs!$D:$D)</f>
        <v>0</v>
      </c>
      <c r="K3" s="13">
        <f>SUMIF(inputs!$H:$H,$B$2&amp;K$2,inputs!$D:$D)</f>
        <v>0</v>
      </c>
      <c r="L3" s="13">
        <f>SUMIF(inputs!$H:$H,$B$2&amp;L$2,inputs!$D:$D)</f>
        <v>0</v>
      </c>
      <c r="M3" s="13">
        <f>SUMIF(inputs!$H:$H,$B$2&amp;M$2,inputs!$D:$D)</f>
        <v>0</v>
      </c>
      <c r="N3" s="13">
        <f>SUMIF(inputs!$H:$H,$B$2&amp;N$2,inputs!$D:$D)</f>
        <v>0</v>
      </c>
      <c r="O3" s="13">
        <f>SUMIF(inputs!$H:$H,$B$2&amp;O$2,inputs!$D:$D)</f>
        <v>0</v>
      </c>
      <c r="P3" s="13">
        <f>SUMIF(inputs!$H:$H,$B$2&amp;P$2,inputs!$D:$D)</f>
        <v>0</v>
      </c>
      <c r="Q3" s="13">
        <f>SUMIF(inputs!$H:$H,$B$2&amp;Q$2,inputs!$D:$D)</f>
        <v>0</v>
      </c>
      <c r="R3" s="13">
        <f>SUMIF(inputs!$H:$H,$B$2&amp;R$2,inputs!$D:$D)</f>
        <v>0</v>
      </c>
      <c r="S3" s="13">
        <f>SUMIF(inputs!$H:$H,$B$2&amp;S$2,inputs!$D:$D)</f>
        <v>2</v>
      </c>
      <c r="T3" s="13">
        <f>SUMIF(inputs!$H:$H,$B$2&amp;T$2,inputs!$D:$D)</f>
        <v>2084</v>
      </c>
      <c r="U3" s="13">
        <f>SUMIF(inputs!$H:$H,$B$2&amp;U$2,inputs!$D:$D)</f>
        <v>8453</v>
      </c>
      <c r="V3" s="13">
        <f>SUMIF(inputs!$H:$H,$B$2&amp;V$2,inputs!$D:$D)</f>
        <v>24701</v>
      </c>
      <c r="W3" s="13">
        <f>SUMIF(inputs!$H:$H,$B$2&amp;W$2,inputs!$D:$D)</f>
        <v>26591</v>
      </c>
      <c r="X3" s="13">
        <f>SUMIF(inputs!$H:$H,$B$2&amp;X$2,inputs!$D:$D)</f>
        <v>25909</v>
      </c>
      <c r="Y3" s="13">
        <f>SUMIF(inputs!$H:$H,$B$2&amp;Y$2,inputs!$D:$D)</f>
        <v>23637</v>
      </c>
      <c r="Z3" s="13">
        <f>SUMIF(inputs!$H:$H,$B$2&amp;Z$2,inputs!$D:$D)</f>
        <v>0</v>
      </c>
      <c r="AA3" s="13">
        <f>SUMIF(inputs!$H:$H,$B$2&amp;AA$2,inputs!$D:$D)</f>
        <v>0</v>
      </c>
      <c r="AB3" s="13">
        <f>SUMIF(inputs!$H:$H,$B$2&amp;AB$2,inputs!$D:$D)</f>
        <v>0</v>
      </c>
      <c r="AC3" s="13">
        <f>SUMIF(inputs!$H:$H,$B$2&amp;AC$2,inputs!$D:$D)</f>
        <v>0</v>
      </c>
      <c r="AD3" s="13">
        <f>SUMIF(inputs!$H:$H,$B$2&amp;AD$2,inputs!$D:$D)</f>
        <v>0</v>
      </c>
      <c r="AE3" s="13">
        <f>SUMIF(inputs!$H:$H,$B$2&amp;AE$2,inputs!$D:$D)</f>
        <v>0</v>
      </c>
      <c r="AF3" s="13">
        <f>SUMIF(inputs!$H:$H,$B$2&amp;AF$2,inputs!$D:$D)</f>
        <v>0</v>
      </c>
      <c r="AG3" s="13">
        <f>SUMIF(inputs!$H:$H,$B$2&amp;AG$2,inputs!$D:$D)</f>
        <v>0</v>
      </c>
      <c r="AH3" s="13">
        <f>SUMIF(inputs!$H:$H,$B$2&amp;AH$2,inputs!$D:$D)</f>
        <v>0</v>
      </c>
      <c r="AI3" s="13">
        <f>SUMIF(inputs!$H:$H,$B$2&amp;AI$2,inputs!$D:$D)</f>
        <v>0</v>
      </c>
      <c r="AJ3" s="13">
        <f>SUMIF(inputs!$H:$H,$B$2&amp;AJ$2,inputs!$D:$D)</f>
        <v>0</v>
      </c>
      <c r="AK3" s="13">
        <f>SUMIF(inputs!$H:$H,$B$2&amp;AK$2,inputs!$D:$D)</f>
        <v>0</v>
      </c>
      <c r="AL3" s="13">
        <f>SUMIF(inputs!$H:$H,$B$2&amp;AL$2,inputs!$D:$D)</f>
        <v>0</v>
      </c>
      <c r="AM3" s="13">
        <f>SUMIF(inputs!$H:$H,$B$2&amp;AM$2,inputs!$D:$D)</f>
        <v>0</v>
      </c>
      <c r="AN3" s="13">
        <f>SUMIF(inputs!$H:$H,$B$2&amp;AN$2,inputs!$D:$D)</f>
        <v>0</v>
      </c>
      <c r="AO3" s="13">
        <f>SUMIF(inputs!$H:$H,$B$2&amp;AO$2,inputs!$D:$D)</f>
        <v>0</v>
      </c>
      <c r="AP3" s="13">
        <f>SUMIF(inputs!$H:$H,$B$2&amp;AP$2,inputs!$D:$D)</f>
        <v>0</v>
      </c>
      <c r="AQ3" s="13"/>
      <c r="AR3" s="13">
        <f>HLOOKUP(AR$2,Weekly!$3:$25,MATCH($B3,Weekly!$B$3:$B$25,0),0)</f>
        <v>3375</v>
      </c>
      <c r="AS3" s="13">
        <f>HLOOKUP(AS$2,Weekly!$3:$25,MATCH($B3,Weekly!$B$3:$B$25,0),0)</f>
        <v>9308</v>
      </c>
      <c r="AT3" s="13">
        <f>HLOOKUP(AT$2,Weekly!$3:$25,MATCH($B3,Weekly!$B$3:$B$25,0),0)</f>
        <v>10954</v>
      </c>
      <c r="AU3" s="13"/>
      <c r="AV3" s="13">
        <f>SUM(F3:AP3)</f>
        <v>111377</v>
      </c>
    </row>
    <row r="4" spans="2:48" x14ac:dyDescent="0.35">
      <c r="B4" s="13" t="s">
        <v>1377</v>
      </c>
      <c r="C4" s="13">
        <f t="shared" ref="C4:D23" si="17">SUMIF($F$1:$AP$1,C$1,$F4:$AP4)</f>
        <v>145</v>
      </c>
      <c r="D4" s="13">
        <f t="shared" si="17"/>
        <v>0</v>
      </c>
      <c r="E4" s="13"/>
      <c r="F4" s="13">
        <f>SUM(F5:F23)</f>
        <v>0</v>
      </c>
      <c r="G4" s="13">
        <f>SUM(G5:G23)</f>
        <v>0</v>
      </c>
      <c r="H4" s="13">
        <f t="shared" ref="H4:AP4" si="18">SUM(H5:H23)</f>
        <v>0</v>
      </c>
      <c r="I4" s="13">
        <f t="shared" si="18"/>
        <v>0</v>
      </c>
      <c r="J4" s="13">
        <f t="shared" si="18"/>
        <v>0</v>
      </c>
      <c r="K4" s="13">
        <f t="shared" si="18"/>
        <v>0</v>
      </c>
      <c r="L4" s="13">
        <f t="shared" si="18"/>
        <v>0</v>
      </c>
      <c r="M4" s="13">
        <f t="shared" si="18"/>
        <v>0</v>
      </c>
      <c r="N4" s="13">
        <f t="shared" si="18"/>
        <v>0</v>
      </c>
      <c r="O4" s="13">
        <f t="shared" si="18"/>
        <v>0</v>
      </c>
      <c r="P4" s="13">
        <f t="shared" si="18"/>
        <v>0</v>
      </c>
      <c r="Q4" s="13">
        <f t="shared" si="18"/>
        <v>0</v>
      </c>
      <c r="R4" s="13">
        <f t="shared" si="18"/>
        <v>0</v>
      </c>
      <c r="S4" s="13">
        <f t="shared" si="18"/>
        <v>0</v>
      </c>
      <c r="T4" s="13">
        <f t="shared" si="18"/>
        <v>2</v>
      </c>
      <c r="U4" s="13">
        <f t="shared" si="18"/>
        <v>16</v>
      </c>
      <c r="V4" s="13">
        <f t="shared" si="18"/>
        <v>19</v>
      </c>
      <c r="W4" s="13">
        <f t="shared" si="18"/>
        <v>29</v>
      </c>
      <c r="X4" s="13">
        <f t="shared" si="18"/>
        <v>50</v>
      </c>
      <c r="Y4" s="13">
        <f t="shared" si="18"/>
        <v>29</v>
      </c>
      <c r="Z4" s="13">
        <f t="shared" si="18"/>
        <v>0</v>
      </c>
      <c r="AA4" s="13">
        <f t="shared" si="18"/>
        <v>0</v>
      </c>
      <c r="AB4" s="13">
        <f t="shared" si="18"/>
        <v>0</v>
      </c>
      <c r="AC4" s="13">
        <f t="shared" si="18"/>
        <v>0</v>
      </c>
      <c r="AD4" s="13">
        <f t="shared" si="18"/>
        <v>0</v>
      </c>
      <c r="AE4" s="13">
        <f t="shared" si="18"/>
        <v>0</v>
      </c>
      <c r="AF4" s="13">
        <f t="shared" si="18"/>
        <v>0</v>
      </c>
      <c r="AG4" s="13">
        <f t="shared" si="18"/>
        <v>0</v>
      </c>
      <c r="AH4" s="13">
        <f t="shared" si="18"/>
        <v>0</v>
      </c>
      <c r="AI4" s="13">
        <f t="shared" si="18"/>
        <v>0</v>
      </c>
      <c r="AJ4" s="13">
        <f t="shared" si="18"/>
        <v>0</v>
      </c>
      <c r="AK4" s="13">
        <f t="shared" si="18"/>
        <v>0</v>
      </c>
      <c r="AL4" s="13">
        <f t="shared" si="18"/>
        <v>0</v>
      </c>
      <c r="AM4" s="13">
        <f t="shared" si="18"/>
        <v>0</v>
      </c>
      <c r="AN4" s="13">
        <f t="shared" si="18"/>
        <v>0</v>
      </c>
      <c r="AO4" s="13">
        <f t="shared" si="18"/>
        <v>0</v>
      </c>
      <c r="AP4" s="13">
        <f t="shared" si="18"/>
        <v>0</v>
      </c>
      <c r="AQ4" s="13"/>
      <c r="AR4" s="13">
        <f>HLOOKUP(AR$2,Weekly!$3:$25,MATCH($B4,Weekly!$B$3:$B$25,0),0)</f>
        <v>5</v>
      </c>
      <c r="AS4" s="13">
        <f>HLOOKUP(AS$2,Weekly!$3:$25,MATCH($B4,Weekly!$B$3:$B$25,0),0)</f>
        <v>12</v>
      </c>
      <c r="AT4" s="13">
        <f>HLOOKUP(AT$2,Weekly!$3:$25,MATCH($B4,Weekly!$B$3:$B$25,0),0)</f>
        <v>17</v>
      </c>
      <c r="AU4" s="13"/>
      <c r="AV4" s="13">
        <f>SUM(F4:AP4)</f>
        <v>145</v>
      </c>
    </row>
    <row r="5" spans="2:48" x14ac:dyDescent="0.35">
      <c r="B5" s="13" t="s">
        <v>1379</v>
      </c>
      <c r="C5" s="13">
        <f t="shared" si="17"/>
        <v>0</v>
      </c>
      <c r="D5" s="13">
        <f t="shared" si="17"/>
        <v>0</v>
      </c>
      <c r="E5" s="13"/>
      <c r="F5" s="13">
        <f>COUNTIF(defects!$W:$W,Monthly_FY!$B5&amp;Monthly_FY!$B$2&amp;$B$1&amp;Monthly_FY!F$2)</f>
        <v>0</v>
      </c>
      <c r="G5" s="13">
        <f>COUNTIF(defects!$W:$W,Monthly_FY!$B5&amp;Monthly_FY!$B$2&amp;$B$1&amp;Monthly_FY!G$2)</f>
        <v>0</v>
      </c>
      <c r="H5" s="13">
        <f>COUNTIF(defects!$W:$W,Monthly_FY!$B5&amp;Monthly_FY!$B$2&amp;$B$1&amp;Monthly_FY!H$2)</f>
        <v>0</v>
      </c>
      <c r="I5" s="13">
        <f>COUNTIF(defects!$W:$W,Monthly_FY!$B5&amp;Monthly_FY!$B$2&amp;$B$1&amp;Monthly_FY!I$2)</f>
        <v>0</v>
      </c>
      <c r="J5" s="13">
        <f>COUNTIF(defects!$W:$W,Monthly_FY!$B5&amp;Monthly_FY!$B$2&amp;$B$1&amp;Monthly_FY!J$2)</f>
        <v>0</v>
      </c>
      <c r="K5" s="13">
        <f>COUNTIF(defects!$W:$W,Monthly_FY!$B5&amp;Monthly_FY!$B$2&amp;$B$1&amp;Monthly_FY!K$2)</f>
        <v>0</v>
      </c>
      <c r="L5" s="13">
        <f>COUNTIF(defects!$W:$W,Monthly_FY!$B5&amp;Monthly_FY!$B$2&amp;$B$1&amp;Monthly_FY!L$2)</f>
        <v>0</v>
      </c>
      <c r="M5" s="13">
        <f>COUNTIF(defects!$W:$W,Monthly_FY!$B5&amp;Monthly_FY!$B$2&amp;$B$1&amp;Monthly_FY!M$2)</f>
        <v>0</v>
      </c>
      <c r="N5" s="13">
        <f>COUNTIF(defects!$W:$W,Monthly_FY!$B5&amp;Monthly_FY!$B$2&amp;$B$1&amp;Monthly_FY!N$2)</f>
        <v>0</v>
      </c>
      <c r="O5" s="13">
        <f>COUNTIF(defects!$W:$W,Monthly_FY!$B5&amp;Monthly_FY!$B$2&amp;$B$1&amp;Monthly_FY!O$2)</f>
        <v>0</v>
      </c>
      <c r="P5" s="13">
        <f>COUNTIF(defects!$W:$W,Monthly_FY!$B5&amp;Monthly_FY!$B$2&amp;$B$1&amp;Monthly_FY!P$2)</f>
        <v>0</v>
      </c>
      <c r="Q5" s="13">
        <f>COUNTIF(defects!$W:$W,Monthly_FY!$B5&amp;Monthly_FY!$B$2&amp;$B$1&amp;Monthly_FY!Q$2)</f>
        <v>0</v>
      </c>
      <c r="R5" s="13">
        <f>COUNTIF(defects!$W:$W,Monthly_FY!$B5&amp;Monthly_FY!$B$2&amp;$B$1&amp;Monthly_FY!R$2)</f>
        <v>0</v>
      </c>
      <c r="S5" s="13">
        <f>COUNTIF(defects!$W:$W,Monthly_FY!$B5&amp;Monthly_FY!$B$2&amp;$B$1&amp;Monthly_FY!S$2)</f>
        <v>0</v>
      </c>
      <c r="T5" s="13">
        <f>COUNTIF(defects!$W:$W,Monthly_FY!$B5&amp;Monthly_FY!$B$2&amp;$B$1&amp;Monthly_FY!T$2)</f>
        <v>0</v>
      </c>
      <c r="U5" s="13">
        <f>COUNTIF(defects!$W:$W,Monthly_FY!$B5&amp;Monthly_FY!$B$2&amp;$B$1&amp;Monthly_FY!U$2)</f>
        <v>0</v>
      </c>
      <c r="V5" s="13">
        <f>COUNTIF(defects!$W:$W,Monthly_FY!$B5&amp;Monthly_FY!$B$2&amp;$B$1&amp;Monthly_FY!V$2)</f>
        <v>0</v>
      </c>
      <c r="W5" s="13">
        <f>COUNTIF(defects!$W:$W,Monthly_FY!$B5&amp;Monthly_FY!$B$2&amp;$B$1&amp;Monthly_FY!W$2)</f>
        <v>0</v>
      </c>
      <c r="X5" s="13">
        <f>COUNTIF(defects!$W:$W,Monthly_FY!$B5&amp;Monthly_FY!$B$2&amp;$B$1&amp;Monthly_FY!X$2)</f>
        <v>0</v>
      </c>
      <c r="Y5" s="13">
        <f>COUNTIF(defects!$W:$W,Monthly_FY!$B5&amp;Monthly_FY!$B$2&amp;$B$1&amp;Monthly_FY!Y$2)</f>
        <v>0</v>
      </c>
      <c r="Z5" s="13">
        <f>COUNTIF(defects!$W:$W,Monthly_FY!$B5&amp;Monthly_FY!$B$2&amp;$B$1&amp;Monthly_FY!Z$2)</f>
        <v>0</v>
      </c>
      <c r="AA5" s="13">
        <f>COUNTIF(defects!$W:$W,Monthly_FY!$B5&amp;Monthly_FY!$B$2&amp;$B$1&amp;Monthly_FY!AA$2)</f>
        <v>0</v>
      </c>
      <c r="AB5" s="13">
        <f>COUNTIF(defects!$W:$W,Monthly_FY!$B5&amp;Monthly_FY!$B$2&amp;$B$1&amp;Monthly_FY!AB$2)</f>
        <v>0</v>
      </c>
      <c r="AC5" s="13">
        <f>COUNTIF(defects!$W:$W,Monthly_FY!$B5&amp;Monthly_FY!$B$2&amp;$B$1&amp;Monthly_FY!AC$2)</f>
        <v>0</v>
      </c>
      <c r="AD5" s="13">
        <f>COUNTIF(defects!$W:$W,Monthly_FY!$B5&amp;Monthly_FY!$B$2&amp;$B$1&amp;Monthly_FY!AD$2)</f>
        <v>0</v>
      </c>
      <c r="AE5" s="13">
        <f>COUNTIF(defects!$W:$W,Monthly_FY!$B5&amp;Monthly_FY!$B$2&amp;$B$1&amp;Monthly_FY!AE$2)</f>
        <v>0</v>
      </c>
      <c r="AF5" s="13">
        <f>COUNTIF(defects!$W:$W,Monthly_FY!$B5&amp;Monthly_FY!$B$2&amp;$B$1&amp;Monthly_FY!AF$2)</f>
        <v>0</v>
      </c>
      <c r="AG5" s="13">
        <f>COUNTIF(defects!$W:$W,Monthly_FY!$B5&amp;Monthly_FY!$B$2&amp;$B$1&amp;Monthly_FY!AG$2)</f>
        <v>0</v>
      </c>
      <c r="AH5" s="13">
        <f>COUNTIF(defects!$W:$W,Monthly_FY!$B5&amp;Monthly_FY!$B$2&amp;$B$1&amp;Monthly_FY!AH$2)</f>
        <v>0</v>
      </c>
      <c r="AI5" s="13">
        <f>COUNTIF(defects!$W:$W,Monthly_FY!$B5&amp;Monthly_FY!$B$2&amp;$B$1&amp;Monthly_FY!AI$2)</f>
        <v>0</v>
      </c>
      <c r="AJ5" s="13">
        <f>COUNTIF(defects!$W:$W,Monthly_FY!$B5&amp;Monthly_FY!$B$2&amp;$B$1&amp;Monthly_FY!AJ$2)</f>
        <v>0</v>
      </c>
      <c r="AK5" s="13">
        <f>COUNTIF(defects!$W:$W,Monthly_FY!$B5&amp;Monthly_FY!$B$2&amp;$B$1&amp;Monthly_FY!AK$2)</f>
        <v>0</v>
      </c>
      <c r="AL5" s="13">
        <f>COUNTIF(defects!$W:$W,Monthly_FY!$B5&amp;Monthly_FY!$B$2&amp;$B$1&amp;Monthly_FY!AL$2)</f>
        <v>0</v>
      </c>
      <c r="AM5" s="13">
        <f>COUNTIF(defects!$W:$W,Monthly_FY!$B5&amp;Monthly_FY!$B$2&amp;$B$1&amp;Monthly_FY!AM$2)</f>
        <v>0</v>
      </c>
      <c r="AN5" s="13">
        <f>COUNTIF(defects!$W:$W,Monthly_FY!$B5&amp;Monthly_FY!$B$2&amp;$B$1&amp;Monthly_FY!AN$2)</f>
        <v>0</v>
      </c>
      <c r="AO5" s="13">
        <f>COUNTIF(defects!$W:$W,Monthly_FY!$B5&amp;Monthly_FY!$B$2&amp;$B$1&amp;Monthly_FY!AO$2)</f>
        <v>0</v>
      </c>
      <c r="AP5" s="13">
        <f>COUNTIF(defects!$W:$W,Monthly_FY!$B5&amp;Monthly_FY!$B$2&amp;$B$1&amp;Monthly_FY!AP$2)</f>
        <v>0</v>
      </c>
      <c r="AQ5" s="13"/>
      <c r="AR5" s="13">
        <f>HLOOKUP(AR$2,Weekly!$3:$25,MATCH($B5,Weekly!$B$3:$B$25,0),0)</f>
        <v>0</v>
      </c>
      <c r="AS5" s="13">
        <f>HLOOKUP(AS$2,Weekly!$3:$25,MATCH($B5,Weekly!$B$3:$B$25,0),0)</f>
        <v>0</v>
      </c>
      <c r="AT5" s="13">
        <f>HLOOKUP(AT$2,Weekly!$3:$25,MATCH($B5,Weekly!$B$3:$B$25,0),0)</f>
        <v>0</v>
      </c>
      <c r="AU5" s="13"/>
      <c r="AV5" s="13">
        <f>SUM(F5:AP5)</f>
        <v>0</v>
      </c>
    </row>
    <row r="6" spans="2:48" x14ac:dyDescent="0.35">
      <c r="B6" s="13" t="s">
        <v>1344</v>
      </c>
      <c r="C6" s="13">
        <f t="shared" si="17"/>
        <v>2</v>
      </c>
      <c r="D6" s="13">
        <f t="shared" si="17"/>
        <v>0</v>
      </c>
      <c r="E6" s="13"/>
      <c r="F6" s="13">
        <f>COUNTIF(defects!$W:$W,Monthly_FY!$B6&amp;Monthly_FY!$B$2&amp;$B$1&amp;Monthly_FY!F$2)</f>
        <v>0</v>
      </c>
      <c r="G6" s="13">
        <f>COUNTIF(defects!$W:$W,Monthly_FY!$B6&amp;Monthly_FY!$B$2&amp;$B$1&amp;Monthly_FY!G$2)</f>
        <v>0</v>
      </c>
      <c r="H6" s="13">
        <f>COUNTIF(defects!$W:$W,Monthly_FY!$B6&amp;Monthly_FY!$B$2&amp;$B$1&amp;Monthly_FY!H$2)</f>
        <v>0</v>
      </c>
      <c r="I6" s="13">
        <f>COUNTIF(defects!$W:$W,Monthly_FY!$B6&amp;Monthly_FY!$B$2&amp;$B$1&amp;Monthly_FY!I$2)</f>
        <v>0</v>
      </c>
      <c r="J6" s="13">
        <f>COUNTIF(defects!$W:$W,Monthly_FY!$B6&amp;Monthly_FY!$B$2&amp;$B$1&amp;Monthly_FY!J$2)</f>
        <v>0</v>
      </c>
      <c r="K6" s="13">
        <f>COUNTIF(defects!$W:$W,Monthly_FY!$B6&amp;Monthly_FY!$B$2&amp;$B$1&amp;Monthly_FY!K$2)</f>
        <v>0</v>
      </c>
      <c r="L6" s="13">
        <f>COUNTIF(defects!$W:$W,Monthly_FY!$B6&amp;Monthly_FY!$B$2&amp;$B$1&amp;Monthly_FY!L$2)</f>
        <v>0</v>
      </c>
      <c r="M6" s="13">
        <f>COUNTIF(defects!$W:$W,Monthly_FY!$B6&amp;Monthly_FY!$B$2&amp;$B$1&amp;Monthly_FY!M$2)</f>
        <v>0</v>
      </c>
      <c r="N6" s="13">
        <f>COUNTIF(defects!$W:$W,Monthly_FY!$B6&amp;Monthly_FY!$B$2&amp;$B$1&amp;Monthly_FY!N$2)</f>
        <v>0</v>
      </c>
      <c r="O6" s="13">
        <f>COUNTIF(defects!$W:$W,Monthly_FY!$B6&amp;Monthly_FY!$B$2&amp;$B$1&amp;Monthly_FY!O$2)</f>
        <v>0</v>
      </c>
      <c r="P6" s="13">
        <f>COUNTIF(defects!$W:$W,Monthly_FY!$B6&amp;Monthly_FY!$B$2&amp;$B$1&amp;Monthly_FY!P$2)</f>
        <v>0</v>
      </c>
      <c r="Q6" s="13">
        <f>COUNTIF(defects!$W:$W,Monthly_FY!$B6&amp;Monthly_FY!$B$2&amp;$B$1&amp;Monthly_FY!Q$2)</f>
        <v>0</v>
      </c>
      <c r="R6" s="13">
        <f>COUNTIF(defects!$W:$W,Monthly_FY!$B6&amp;Monthly_FY!$B$2&amp;$B$1&amp;Monthly_FY!R$2)</f>
        <v>0</v>
      </c>
      <c r="S6" s="13">
        <f>COUNTIF(defects!$W:$W,Monthly_FY!$B6&amp;Monthly_FY!$B$2&amp;$B$1&amp;Monthly_FY!S$2)</f>
        <v>0</v>
      </c>
      <c r="T6" s="13">
        <f>COUNTIF(defects!$W:$W,Monthly_FY!$B6&amp;Monthly_FY!$B$2&amp;$B$1&amp;Monthly_FY!T$2)</f>
        <v>0</v>
      </c>
      <c r="U6" s="13">
        <f>COUNTIF(defects!$W:$W,Monthly_FY!$B6&amp;Monthly_FY!$B$2&amp;$B$1&amp;Monthly_FY!U$2)</f>
        <v>0</v>
      </c>
      <c r="V6" s="13">
        <f>COUNTIF(defects!$W:$W,Monthly_FY!$B6&amp;Monthly_FY!$B$2&amp;$B$1&amp;Monthly_FY!V$2)</f>
        <v>0</v>
      </c>
      <c r="W6" s="13">
        <f>COUNTIF(defects!$W:$W,Monthly_FY!$B6&amp;Monthly_FY!$B$2&amp;$B$1&amp;Monthly_FY!W$2)</f>
        <v>1</v>
      </c>
      <c r="X6" s="13">
        <f>COUNTIF(defects!$W:$W,Monthly_FY!$B6&amp;Monthly_FY!$B$2&amp;$B$1&amp;Monthly_FY!X$2)</f>
        <v>1</v>
      </c>
      <c r="Y6" s="13">
        <f>COUNTIF(defects!$W:$W,Monthly_FY!$B6&amp;Monthly_FY!$B$2&amp;$B$1&amp;Monthly_FY!Y$2)</f>
        <v>0</v>
      </c>
      <c r="Z6" s="13">
        <f>COUNTIF(defects!$W:$W,Monthly_FY!$B6&amp;Monthly_FY!$B$2&amp;$B$1&amp;Monthly_FY!Z$2)</f>
        <v>0</v>
      </c>
      <c r="AA6" s="13">
        <f>COUNTIF(defects!$W:$W,Monthly_FY!$B6&amp;Monthly_FY!$B$2&amp;$B$1&amp;Monthly_FY!AA$2)</f>
        <v>0</v>
      </c>
      <c r="AB6" s="13">
        <f>COUNTIF(defects!$W:$W,Monthly_FY!$B6&amp;Monthly_FY!$B$2&amp;$B$1&amp;Monthly_FY!AB$2)</f>
        <v>0</v>
      </c>
      <c r="AC6" s="13">
        <f>COUNTIF(defects!$W:$W,Monthly_FY!$B6&amp;Monthly_FY!$B$2&amp;$B$1&amp;Monthly_FY!AC$2)</f>
        <v>0</v>
      </c>
      <c r="AD6" s="13">
        <f>COUNTIF(defects!$W:$W,Monthly_FY!$B6&amp;Monthly_FY!$B$2&amp;$B$1&amp;Monthly_FY!AD$2)</f>
        <v>0</v>
      </c>
      <c r="AE6" s="13">
        <f>COUNTIF(defects!$W:$W,Monthly_FY!$B6&amp;Monthly_FY!$B$2&amp;$B$1&amp;Monthly_FY!AE$2)</f>
        <v>0</v>
      </c>
      <c r="AF6" s="13">
        <f>COUNTIF(defects!$W:$W,Monthly_FY!$B6&amp;Monthly_FY!$B$2&amp;$B$1&amp;Monthly_FY!AF$2)</f>
        <v>0</v>
      </c>
      <c r="AG6" s="13">
        <f>COUNTIF(defects!$W:$W,Monthly_FY!$B6&amp;Monthly_FY!$B$2&amp;$B$1&amp;Monthly_FY!AG$2)</f>
        <v>0</v>
      </c>
      <c r="AH6" s="13">
        <f>COUNTIF(defects!$W:$W,Monthly_FY!$B6&amp;Monthly_FY!$B$2&amp;$B$1&amp;Monthly_FY!AH$2)</f>
        <v>0</v>
      </c>
      <c r="AI6" s="13">
        <f>COUNTIF(defects!$W:$W,Monthly_FY!$B6&amp;Monthly_FY!$B$2&amp;$B$1&amp;Monthly_FY!AI$2)</f>
        <v>0</v>
      </c>
      <c r="AJ6" s="13">
        <f>COUNTIF(defects!$W:$W,Monthly_FY!$B6&amp;Monthly_FY!$B$2&amp;$B$1&amp;Monthly_FY!AJ$2)</f>
        <v>0</v>
      </c>
      <c r="AK6" s="13">
        <f>COUNTIF(defects!$W:$W,Monthly_FY!$B6&amp;Monthly_FY!$B$2&amp;$B$1&amp;Monthly_FY!AK$2)</f>
        <v>0</v>
      </c>
      <c r="AL6" s="13">
        <f>COUNTIF(defects!$W:$W,Monthly_FY!$B6&amp;Monthly_FY!$B$2&amp;$B$1&amp;Monthly_FY!AL$2)</f>
        <v>0</v>
      </c>
      <c r="AM6" s="13">
        <f>COUNTIF(defects!$W:$W,Monthly_FY!$B6&amp;Monthly_FY!$B$2&amp;$B$1&amp;Monthly_FY!AM$2)</f>
        <v>0</v>
      </c>
      <c r="AN6" s="13">
        <f>COUNTIF(defects!$W:$W,Monthly_FY!$B6&amp;Monthly_FY!$B$2&amp;$B$1&amp;Monthly_FY!AN$2)</f>
        <v>0</v>
      </c>
      <c r="AO6" s="13">
        <f>COUNTIF(defects!$W:$W,Monthly_FY!$B6&amp;Monthly_FY!$B$2&amp;$B$1&amp;Monthly_FY!AO$2)</f>
        <v>0</v>
      </c>
      <c r="AP6" s="13">
        <f>COUNTIF(defects!$W:$W,Monthly_FY!$B6&amp;Monthly_FY!$B$2&amp;$B$1&amp;Monthly_FY!AP$2)</f>
        <v>0</v>
      </c>
      <c r="AQ6" s="13"/>
      <c r="AR6" s="13">
        <f>HLOOKUP(AR$2,Weekly!$3:$25,MATCH($B6,Weekly!$B$3:$B$25,0),0)</f>
        <v>0</v>
      </c>
      <c r="AS6" s="13">
        <f>HLOOKUP(AS$2,Weekly!$3:$25,MATCH($B6,Weekly!$B$3:$B$25,0),0)</f>
        <v>0</v>
      </c>
      <c r="AT6" s="13">
        <f>HLOOKUP(AT$2,Weekly!$3:$25,MATCH($B6,Weekly!$B$3:$B$25,0),0)</f>
        <v>0</v>
      </c>
      <c r="AU6" s="13"/>
      <c r="AV6" s="13">
        <f t="shared" ref="AV6:AV23" si="19">SUM(F6:AP6)</f>
        <v>2</v>
      </c>
    </row>
    <row r="7" spans="2:48" x14ac:dyDescent="0.35">
      <c r="B7" s="13" t="s">
        <v>1342</v>
      </c>
      <c r="C7" s="13">
        <f t="shared" si="17"/>
        <v>13</v>
      </c>
      <c r="D7" s="13">
        <f t="shared" si="17"/>
        <v>0</v>
      </c>
      <c r="E7" s="13"/>
      <c r="F7" s="13">
        <f>COUNTIF(defects!$W:$W,Monthly_FY!$B7&amp;Monthly_FY!$B$2&amp;$B$1&amp;Monthly_FY!F$2)</f>
        <v>0</v>
      </c>
      <c r="G7" s="13">
        <f>COUNTIF(defects!$W:$W,Monthly_FY!$B7&amp;Monthly_FY!$B$2&amp;$B$1&amp;Monthly_FY!G$2)</f>
        <v>0</v>
      </c>
      <c r="H7" s="13">
        <f>COUNTIF(defects!$W:$W,Monthly_FY!$B7&amp;Monthly_FY!$B$2&amp;$B$1&amp;Monthly_FY!H$2)</f>
        <v>0</v>
      </c>
      <c r="I7" s="13">
        <f>COUNTIF(defects!$W:$W,Monthly_FY!$B7&amp;Monthly_FY!$B$2&amp;$B$1&amp;Monthly_FY!I$2)</f>
        <v>0</v>
      </c>
      <c r="J7" s="13">
        <f>COUNTIF(defects!$W:$W,Monthly_FY!$B7&amp;Monthly_FY!$B$2&amp;$B$1&amp;Monthly_FY!J$2)</f>
        <v>0</v>
      </c>
      <c r="K7" s="13">
        <f>COUNTIF(defects!$W:$W,Monthly_FY!$B7&amp;Monthly_FY!$B$2&amp;$B$1&amp;Monthly_FY!K$2)</f>
        <v>0</v>
      </c>
      <c r="L7" s="13">
        <f>COUNTIF(defects!$W:$W,Monthly_FY!$B7&amp;Monthly_FY!$B$2&amp;$B$1&amp;Monthly_FY!L$2)</f>
        <v>0</v>
      </c>
      <c r="M7" s="13">
        <f>COUNTIF(defects!$W:$W,Monthly_FY!$B7&amp;Monthly_FY!$B$2&amp;$B$1&amp;Monthly_FY!M$2)</f>
        <v>0</v>
      </c>
      <c r="N7" s="13">
        <f>COUNTIF(defects!$W:$W,Monthly_FY!$B7&amp;Monthly_FY!$B$2&amp;$B$1&amp;Monthly_FY!N$2)</f>
        <v>0</v>
      </c>
      <c r="O7" s="13">
        <f>COUNTIF(defects!$W:$W,Monthly_FY!$B7&amp;Monthly_FY!$B$2&amp;$B$1&amp;Monthly_FY!O$2)</f>
        <v>0</v>
      </c>
      <c r="P7" s="13">
        <f>COUNTIF(defects!$W:$W,Monthly_FY!$B7&amp;Monthly_FY!$B$2&amp;$B$1&amp;Monthly_FY!P$2)</f>
        <v>0</v>
      </c>
      <c r="Q7" s="13">
        <f>COUNTIF(defects!$W:$W,Monthly_FY!$B7&amp;Monthly_FY!$B$2&amp;$B$1&amp;Monthly_FY!Q$2)</f>
        <v>0</v>
      </c>
      <c r="R7" s="13">
        <f>COUNTIF(defects!$W:$W,Monthly_FY!$B7&amp;Monthly_FY!$B$2&amp;$B$1&amp;Monthly_FY!R$2)</f>
        <v>0</v>
      </c>
      <c r="S7" s="13">
        <f>COUNTIF(defects!$W:$W,Monthly_FY!$B7&amp;Monthly_FY!$B$2&amp;$B$1&amp;Monthly_FY!S$2)</f>
        <v>0</v>
      </c>
      <c r="T7" s="13">
        <f>COUNTIF(defects!$W:$W,Monthly_FY!$B7&amp;Monthly_FY!$B$2&amp;$B$1&amp;Monthly_FY!T$2)</f>
        <v>1</v>
      </c>
      <c r="U7" s="13">
        <f>COUNTIF(defects!$W:$W,Monthly_FY!$B7&amp;Monthly_FY!$B$2&amp;$B$1&amp;Monthly_FY!U$2)</f>
        <v>2</v>
      </c>
      <c r="V7" s="13">
        <f>COUNTIF(defects!$W:$W,Monthly_FY!$B7&amp;Monthly_FY!$B$2&amp;$B$1&amp;Monthly_FY!V$2)</f>
        <v>1</v>
      </c>
      <c r="W7" s="13">
        <f>COUNTIF(defects!$W:$W,Monthly_FY!$B7&amp;Monthly_FY!$B$2&amp;$B$1&amp;Monthly_FY!W$2)</f>
        <v>3</v>
      </c>
      <c r="X7" s="13">
        <f>COUNTIF(defects!$W:$W,Monthly_FY!$B7&amp;Monthly_FY!$B$2&amp;$B$1&amp;Monthly_FY!X$2)</f>
        <v>4</v>
      </c>
      <c r="Y7" s="13">
        <f>COUNTIF(defects!$W:$W,Monthly_FY!$B7&amp;Monthly_FY!$B$2&amp;$B$1&amp;Monthly_FY!Y$2)</f>
        <v>2</v>
      </c>
      <c r="Z7" s="13">
        <f>COUNTIF(defects!$W:$W,Monthly_FY!$B7&amp;Monthly_FY!$B$2&amp;$B$1&amp;Monthly_FY!Z$2)</f>
        <v>0</v>
      </c>
      <c r="AA7" s="13">
        <f>COUNTIF(defects!$W:$W,Monthly_FY!$B7&amp;Monthly_FY!$B$2&amp;$B$1&amp;Monthly_FY!AA$2)</f>
        <v>0</v>
      </c>
      <c r="AB7" s="13">
        <f>COUNTIF(defects!$W:$W,Monthly_FY!$B7&amp;Monthly_FY!$B$2&amp;$B$1&amp;Monthly_FY!AB$2)</f>
        <v>0</v>
      </c>
      <c r="AC7" s="13">
        <f>COUNTIF(defects!$W:$W,Monthly_FY!$B7&amp;Monthly_FY!$B$2&amp;$B$1&amp;Monthly_FY!AC$2)</f>
        <v>0</v>
      </c>
      <c r="AD7" s="13">
        <f>COUNTIF(defects!$W:$W,Monthly_FY!$B7&amp;Monthly_FY!$B$2&amp;$B$1&amp;Monthly_FY!AD$2)</f>
        <v>0</v>
      </c>
      <c r="AE7" s="13">
        <f>COUNTIF(defects!$W:$W,Monthly_FY!$B7&amp;Monthly_FY!$B$2&amp;$B$1&amp;Monthly_FY!AE$2)</f>
        <v>0</v>
      </c>
      <c r="AF7" s="13">
        <f>COUNTIF(defects!$W:$W,Monthly_FY!$B7&amp;Monthly_FY!$B$2&amp;$B$1&amp;Monthly_FY!AF$2)</f>
        <v>0</v>
      </c>
      <c r="AG7" s="13">
        <f>COUNTIF(defects!$W:$W,Monthly_FY!$B7&amp;Monthly_FY!$B$2&amp;$B$1&amp;Monthly_FY!AG$2)</f>
        <v>0</v>
      </c>
      <c r="AH7" s="13">
        <f>COUNTIF(defects!$W:$W,Monthly_FY!$B7&amp;Monthly_FY!$B$2&amp;$B$1&amp;Monthly_FY!AH$2)</f>
        <v>0</v>
      </c>
      <c r="AI7" s="13">
        <f>COUNTIF(defects!$W:$W,Monthly_FY!$B7&amp;Monthly_FY!$B$2&amp;$B$1&amp;Monthly_FY!AI$2)</f>
        <v>0</v>
      </c>
      <c r="AJ7" s="13">
        <f>COUNTIF(defects!$W:$W,Monthly_FY!$B7&amp;Monthly_FY!$B$2&amp;$B$1&amp;Monthly_FY!AJ$2)</f>
        <v>0</v>
      </c>
      <c r="AK7" s="13">
        <f>COUNTIF(defects!$W:$W,Monthly_FY!$B7&amp;Monthly_FY!$B$2&amp;$B$1&amp;Monthly_FY!AK$2)</f>
        <v>0</v>
      </c>
      <c r="AL7" s="13">
        <f>COUNTIF(defects!$W:$W,Monthly_FY!$B7&amp;Monthly_FY!$B$2&amp;$B$1&amp;Monthly_FY!AL$2)</f>
        <v>0</v>
      </c>
      <c r="AM7" s="13">
        <f>COUNTIF(defects!$W:$W,Monthly_FY!$B7&amp;Monthly_FY!$B$2&amp;$B$1&amp;Monthly_FY!AM$2)</f>
        <v>0</v>
      </c>
      <c r="AN7" s="13">
        <f>COUNTIF(defects!$W:$W,Monthly_FY!$B7&amp;Monthly_FY!$B$2&amp;$B$1&amp;Monthly_FY!AN$2)</f>
        <v>0</v>
      </c>
      <c r="AO7" s="13">
        <f>COUNTIF(defects!$W:$W,Monthly_FY!$B7&amp;Monthly_FY!$B$2&amp;$B$1&amp;Monthly_FY!AO$2)</f>
        <v>0</v>
      </c>
      <c r="AP7" s="13">
        <f>COUNTIF(defects!$W:$W,Monthly_FY!$B7&amp;Monthly_FY!$B$2&amp;$B$1&amp;Monthly_FY!AP$2)</f>
        <v>0</v>
      </c>
      <c r="AQ7" s="13"/>
      <c r="AR7" s="13">
        <f>HLOOKUP(AR$2,Weekly!$3:$25,MATCH($B7,Weekly!$B$3:$B$25,0),0)</f>
        <v>1</v>
      </c>
      <c r="AS7" s="13">
        <f>HLOOKUP(AS$2,Weekly!$3:$25,MATCH($B7,Weekly!$B$3:$B$25,0),0)</f>
        <v>1</v>
      </c>
      <c r="AT7" s="13">
        <f>HLOOKUP(AT$2,Weekly!$3:$25,MATCH($B7,Weekly!$B$3:$B$25,0),0)</f>
        <v>1</v>
      </c>
      <c r="AU7" s="13"/>
      <c r="AV7" s="13">
        <f t="shared" si="19"/>
        <v>13</v>
      </c>
    </row>
    <row r="8" spans="2:48" x14ac:dyDescent="0.35">
      <c r="B8" s="13" t="s">
        <v>1340</v>
      </c>
      <c r="C8" s="13">
        <f t="shared" si="17"/>
        <v>2</v>
      </c>
      <c r="D8" s="13">
        <f t="shared" si="17"/>
        <v>0</v>
      </c>
      <c r="E8" s="13"/>
      <c r="F8" s="13">
        <f>COUNTIF(defects!$W:$W,Monthly_FY!$B8&amp;Monthly_FY!$B$2&amp;$B$1&amp;Monthly_FY!F$2)</f>
        <v>0</v>
      </c>
      <c r="G8" s="13">
        <f>COUNTIF(defects!$W:$W,Monthly_FY!$B8&amp;Monthly_FY!$B$2&amp;$B$1&amp;Monthly_FY!G$2)</f>
        <v>0</v>
      </c>
      <c r="H8" s="13">
        <f>COUNTIF(defects!$W:$W,Monthly_FY!$B8&amp;Monthly_FY!$B$2&amp;$B$1&amp;Monthly_FY!H$2)</f>
        <v>0</v>
      </c>
      <c r="I8" s="13">
        <f>COUNTIF(defects!$W:$W,Monthly_FY!$B8&amp;Monthly_FY!$B$2&amp;$B$1&amp;Monthly_FY!I$2)</f>
        <v>0</v>
      </c>
      <c r="J8" s="13">
        <f>COUNTIF(defects!$W:$W,Monthly_FY!$B8&amp;Monthly_FY!$B$2&amp;$B$1&amp;Monthly_FY!J$2)</f>
        <v>0</v>
      </c>
      <c r="K8" s="13">
        <f>COUNTIF(defects!$W:$W,Monthly_FY!$B8&amp;Monthly_FY!$B$2&amp;$B$1&amp;Monthly_FY!K$2)</f>
        <v>0</v>
      </c>
      <c r="L8" s="13">
        <f>COUNTIF(defects!$W:$W,Monthly_FY!$B8&amp;Monthly_FY!$B$2&amp;$B$1&amp;Monthly_FY!L$2)</f>
        <v>0</v>
      </c>
      <c r="M8" s="13">
        <f>COUNTIF(defects!$W:$W,Monthly_FY!$B8&amp;Monthly_FY!$B$2&amp;$B$1&amp;Monthly_FY!M$2)</f>
        <v>0</v>
      </c>
      <c r="N8" s="13">
        <f>COUNTIF(defects!$W:$W,Monthly_FY!$B8&amp;Monthly_FY!$B$2&amp;$B$1&amp;Monthly_FY!N$2)</f>
        <v>0</v>
      </c>
      <c r="O8" s="13">
        <f>COUNTIF(defects!$W:$W,Monthly_FY!$B8&amp;Monthly_FY!$B$2&amp;$B$1&amp;Monthly_FY!O$2)</f>
        <v>0</v>
      </c>
      <c r="P8" s="13">
        <f>COUNTIF(defects!$W:$W,Monthly_FY!$B8&amp;Monthly_FY!$B$2&amp;$B$1&amp;Monthly_FY!P$2)</f>
        <v>0</v>
      </c>
      <c r="Q8" s="13">
        <f>COUNTIF(defects!$W:$W,Monthly_FY!$B8&amp;Monthly_FY!$B$2&amp;$B$1&amp;Monthly_FY!Q$2)</f>
        <v>0</v>
      </c>
      <c r="R8" s="13">
        <f>COUNTIF(defects!$W:$W,Monthly_FY!$B8&amp;Monthly_FY!$B$2&amp;$B$1&amp;Monthly_FY!R$2)</f>
        <v>0</v>
      </c>
      <c r="S8" s="13">
        <f>COUNTIF(defects!$W:$W,Monthly_FY!$B8&amp;Monthly_FY!$B$2&amp;$B$1&amp;Monthly_FY!S$2)</f>
        <v>0</v>
      </c>
      <c r="T8" s="13">
        <f>COUNTIF(defects!$W:$W,Monthly_FY!$B8&amp;Monthly_FY!$B$2&amp;$B$1&amp;Monthly_FY!T$2)</f>
        <v>0</v>
      </c>
      <c r="U8" s="13">
        <f>COUNTIF(defects!$W:$W,Monthly_FY!$B8&amp;Monthly_FY!$B$2&amp;$B$1&amp;Monthly_FY!U$2)</f>
        <v>1</v>
      </c>
      <c r="V8" s="13">
        <f>COUNTIF(defects!$W:$W,Monthly_FY!$B8&amp;Monthly_FY!$B$2&amp;$B$1&amp;Monthly_FY!V$2)</f>
        <v>0</v>
      </c>
      <c r="W8" s="13">
        <f>COUNTIF(defects!$W:$W,Monthly_FY!$B8&amp;Monthly_FY!$B$2&amp;$B$1&amp;Monthly_FY!W$2)</f>
        <v>0</v>
      </c>
      <c r="X8" s="13">
        <f>COUNTIF(defects!$W:$W,Monthly_FY!$B8&amp;Monthly_FY!$B$2&amp;$B$1&amp;Monthly_FY!X$2)</f>
        <v>1</v>
      </c>
      <c r="Y8" s="13">
        <f>COUNTIF(defects!$W:$W,Monthly_FY!$B8&amp;Monthly_FY!$B$2&amp;$B$1&amp;Monthly_FY!Y$2)</f>
        <v>0</v>
      </c>
      <c r="Z8" s="13">
        <f>COUNTIF(defects!$W:$W,Monthly_FY!$B8&amp;Monthly_FY!$B$2&amp;$B$1&amp;Monthly_FY!Z$2)</f>
        <v>0</v>
      </c>
      <c r="AA8" s="13">
        <f>COUNTIF(defects!$W:$W,Monthly_FY!$B8&amp;Monthly_FY!$B$2&amp;$B$1&amp;Monthly_FY!AA$2)</f>
        <v>0</v>
      </c>
      <c r="AB8" s="13">
        <f>COUNTIF(defects!$W:$W,Monthly_FY!$B8&amp;Monthly_FY!$B$2&amp;$B$1&amp;Monthly_FY!AB$2)</f>
        <v>0</v>
      </c>
      <c r="AC8" s="13">
        <f>COUNTIF(defects!$W:$W,Monthly_FY!$B8&amp;Monthly_FY!$B$2&amp;$B$1&amp;Monthly_FY!AC$2)</f>
        <v>0</v>
      </c>
      <c r="AD8" s="13">
        <f>COUNTIF(defects!$W:$W,Monthly_FY!$B8&amp;Monthly_FY!$B$2&amp;$B$1&amp;Monthly_FY!AD$2)</f>
        <v>0</v>
      </c>
      <c r="AE8" s="13">
        <f>COUNTIF(defects!$W:$W,Monthly_FY!$B8&amp;Monthly_FY!$B$2&amp;$B$1&amp;Monthly_FY!AE$2)</f>
        <v>0</v>
      </c>
      <c r="AF8" s="13">
        <f>COUNTIF(defects!$W:$W,Monthly_FY!$B8&amp;Monthly_FY!$B$2&amp;$B$1&amp;Monthly_FY!AF$2)</f>
        <v>0</v>
      </c>
      <c r="AG8" s="13">
        <f>COUNTIF(defects!$W:$W,Monthly_FY!$B8&amp;Monthly_FY!$B$2&amp;$B$1&amp;Monthly_FY!AG$2)</f>
        <v>0</v>
      </c>
      <c r="AH8" s="13">
        <f>COUNTIF(defects!$W:$W,Monthly_FY!$B8&amp;Monthly_FY!$B$2&amp;$B$1&amp;Monthly_FY!AH$2)</f>
        <v>0</v>
      </c>
      <c r="AI8" s="13">
        <f>COUNTIF(defects!$W:$W,Monthly_FY!$B8&amp;Monthly_FY!$B$2&amp;$B$1&amp;Monthly_FY!AI$2)</f>
        <v>0</v>
      </c>
      <c r="AJ8" s="13">
        <f>COUNTIF(defects!$W:$W,Monthly_FY!$B8&amp;Monthly_FY!$B$2&amp;$B$1&amp;Monthly_FY!AJ$2)</f>
        <v>0</v>
      </c>
      <c r="AK8" s="13">
        <f>COUNTIF(defects!$W:$W,Monthly_FY!$B8&amp;Monthly_FY!$B$2&amp;$B$1&amp;Monthly_FY!AK$2)</f>
        <v>0</v>
      </c>
      <c r="AL8" s="13">
        <f>COUNTIF(defects!$W:$W,Monthly_FY!$B8&amp;Monthly_FY!$B$2&amp;$B$1&amp;Monthly_FY!AL$2)</f>
        <v>0</v>
      </c>
      <c r="AM8" s="13">
        <f>COUNTIF(defects!$W:$W,Monthly_FY!$B8&amp;Monthly_FY!$B$2&amp;$B$1&amp;Monthly_FY!AM$2)</f>
        <v>0</v>
      </c>
      <c r="AN8" s="13">
        <f>COUNTIF(defects!$W:$W,Monthly_FY!$B8&amp;Monthly_FY!$B$2&amp;$B$1&amp;Monthly_FY!AN$2)</f>
        <v>0</v>
      </c>
      <c r="AO8" s="13">
        <f>COUNTIF(defects!$W:$W,Monthly_FY!$B8&amp;Monthly_FY!$B$2&amp;$B$1&amp;Monthly_FY!AO$2)</f>
        <v>0</v>
      </c>
      <c r="AP8" s="13">
        <f>COUNTIF(defects!$W:$W,Monthly_FY!$B8&amp;Monthly_FY!$B$2&amp;$B$1&amp;Monthly_FY!AP$2)</f>
        <v>0</v>
      </c>
      <c r="AQ8" s="13"/>
      <c r="AR8" s="13">
        <f>HLOOKUP(AR$2,Weekly!$3:$25,MATCH($B8,Weekly!$B$3:$B$25,0),0)</f>
        <v>0</v>
      </c>
      <c r="AS8" s="13">
        <f>HLOOKUP(AS$2,Weekly!$3:$25,MATCH($B8,Weekly!$B$3:$B$25,0),0)</f>
        <v>0</v>
      </c>
      <c r="AT8" s="13">
        <f>HLOOKUP(AT$2,Weekly!$3:$25,MATCH($B8,Weekly!$B$3:$B$25,0),0)</f>
        <v>0</v>
      </c>
      <c r="AU8" s="13"/>
      <c r="AV8" s="13">
        <f t="shared" si="19"/>
        <v>2</v>
      </c>
    </row>
    <row r="9" spans="2:48" x14ac:dyDescent="0.35">
      <c r="B9" s="13" t="s">
        <v>1341</v>
      </c>
      <c r="C9" s="13">
        <f t="shared" si="17"/>
        <v>10</v>
      </c>
      <c r="D9" s="13">
        <f t="shared" si="17"/>
        <v>0</v>
      </c>
      <c r="E9" s="13"/>
      <c r="F9" s="13">
        <f>COUNTIF(defects!$W:$W,Monthly_FY!$B9&amp;Monthly_FY!$B$2&amp;$B$1&amp;Monthly_FY!F$2)</f>
        <v>0</v>
      </c>
      <c r="G9" s="13">
        <f>COUNTIF(defects!$W:$W,Monthly_FY!$B9&amp;Monthly_FY!$B$2&amp;$B$1&amp;Monthly_FY!G$2)</f>
        <v>0</v>
      </c>
      <c r="H9" s="13">
        <f>COUNTIF(defects!$W:$W,Monthly_FY!$B9&amp;Monthly_FY!$B$2&amp;$B$1&amp;Monthly_FY!H$2)</f>
        <v>0</v>
      </c>
      <c r="I9" s="13">
        <f>COUNTIF(defects!$W:$W,Monthly_FY!$B9&amp;Monthly_FY!$B$2&amp;$B$1&amp;Monthly_FY!I$2)</f>
        <v>0</v>
      </c>
      <c r="J9" s="13">
        <f>COUNTIF(defects!$W:$W,Monthly_FY!$B9&amp;Monthly_FY!$B$2&amp;$B$1&amp;Monthly_FY!J$2)</f>
        <v>0</v>
      </c>
      <c r="K9" s="13">
        <f>COUNTIF(defects!$W:$W,Monthly_FY!$B9&amp;Monthly_FY!$B$2&amp;$B$1&amp;Monthly_FY!K$2)</f>
        <v>0</v>
      </c>
      <c r="L9" s="13">
        <f>COUNTIF(defects!$W:$W,Monthly_FY!$B9&amp;Monthly_FY!$B$2&amp;$B$1&amp;Monthly_FY!L$2)</f>
        <v>0</v>
      </c>
      <c r="M9" s="13">
        <f>COUNTIF(defects!$W:$W,Monthly_FY!$B9&amp;Monthly_FY!$B$2&amp;$B$1&amp;Monthly_FY!M$2)</f>
        <v>0</v>
      </c>
      <c r="N9" s="13">
        <f>COUNTIF(defects!$W:$W,Monthly_FY!$B9&amp;Monthly_FY!$B$2&amp;$B$1&amp;Monthly_FY!N$2)</f>
        <v>0</v>
      </c>
      <c r="O9" s="13">
        <f>COUNTIF(defects!$W:$W,Monthly_FY!$B9&amp;Monthly_FY!$B$2&amp;$B$1&amp;Monthly_FY!O$2)</f>
        <v>0</v>
      </c>
      <c r="P9" s="13">
        <f>COUNTIF(defects!$W:$W,Monthly_FY!$B9&amp;Monthly_FY!$B$2&amp;$B$1&amp;Monthly_FY!P$2)</f>
        <v>0</v>
      </c>
      <c r="Q9" s="13">
        <f>COUNTIF(defects!$W:$W,Monthly_FY!$B9&amp;Monthly_FY!$B$2&amp;$B$1&amp;Monthly_FY!Q$2)</f>
        <v>0</v>
      </c>
      <c r="R9" s="13">
        <f>COUNTIF(defects!$W:$W,Monthly_FY!$B9&amp;Monthly_FY!$B$2&amp;$B$1&amp;Monthly_FY!R$2)</f>
        <v>0</v>
      </c>
      <c r="S9" s="13">
        <f>COUNTIF(defects!$W:$W,Monthly_FY!$B9&amp;Monthly_FY!$B$2&amp;$B$1&amp;Monthly_FY!S$2)</f>
        <v>0</v>
      </c>
      <c r="T9" s="13">
        <f>COUNTIF(defects!$W:$W,Monthly_FY!$B9&amp;Monthly_FY!$B$2&amp;$B$1&amp;Monthly_FY!T$2)</f>
        <v>0</v>
      </c>
      <c r="U9" s="13">
        <f>COUNTIF(defects!$W:$W,Monthly_FY!$B9&amp;Monthly_FY!$B$2&amp;$B$1&amp;Monthly_FY!U$2)</f>
        <v>0</v>
      </c>
      <c r="V9" s="13">
        <f>COUNTIF(defects!$W:$W,Monthly_FY!$B9&amp;Monthly_FY!$B$2&amp;$B$1&amp;Monthly_FY!V$2)</f>
        <v>5</v>
      </c>
      <c r="W9" s="13">
        <f>COUNTIF(defects!$W:$W,Monthly_FY!$B9&amp;Monthly_FY!$B$2&amp;$B$1&amp;Monthly_FY!W$2)</f>
        <v>4</v>
      </c>
      <c r="X9" s="13">
        <f>COUNTIF(defects!$W:$W,Monthly_FY!$B9&amp;Monthly_FY!$B$2&amp;$B$1&amp;Monthly_FY!X$2)</f>
        <v>0</v>
      </c>
      <c r="Y9" s="13">
        <f>COUNTIF(defects!$W:$W,Monthly_FY!$B9&amp;Monthly_FY!$B$2&amp;$B$1&amp;Monthly_FY!Y$2)</f>
        <v>1</v>
      </c>
      <c r="Z9" s="13">
        <f>COUNTIF(defects!$W:$W,Monthly_FY!$B9&amp;Monthly_FY!$B$2&amp;$B$1&amp;Monthly_FY!Z$2)</f>
        <v>0</v>
      </c>
      <c r="AA9" s="13">
        <f>COUNTIF(defects!$W:$W,Monthly_FY!$B9&amp;Monthly_FY!$B$2&amp;$B$1&amp;Monthly_FY!AA$2)</f>
        <v>0</v>
      </c>
      <c r="AB9" s="13">
        <f>COUNTIF(defects!$W:$W,Monthly_FY!$B9&amp;Monthly_FY!$B$2&amp;$B$1&amp;Monthly_FY!AB$2)</f>
        <v>0</v>
      </c>
      <c r="AC9" s="13">
        <f>COUNTIF(defects!$W:$W,Monthly_FY!$B9&amp;Monthly_FY!$B$2&amp;$B$1&amp;Monthly_FY!AC$2)</f>
        <v>0</v>
      </c>
      <c r="AD9" s="13">
        <f>COUNTIF(defects!$W:$W,Monthly_FY!$B9&amp;Monthly_FY!$B$2&amp;$B$1&amp;Monthly_FY!AD$2)</f>
        <v>0</v>
      </c>
      <c r="AE9" s="13">
        <f>COUNTIF(defects!$W:$W,Monthly_FY!$B9&amp;Monthly_FY!$B$2&amp;$B$1&amp;Monthly_FY!AE$2)</f>
        <v>0</v>
      </c>
      <c r="AF9" s="13">
        <f>COUNTIF(defects!$W:$W,Monthly_FY!$B9&amp;Monthly_FY!$B$2&amp;$B$1&amp;Monthly_FY!AF$2)</f>
        <v>0</v>
      </c>
      <c r="AG9" s="13">
        <f>COUNTIF(defects!$W:$W,Monthly_FY!$B9&amp;Monthly_FY!$B$2&amp;$B$1&amp;Monthly_FY!AG$2)</f>
        <v>0</v>
      </c>
      <c r="AH9" s="13">
        <f>COUNTIF(defects!$W:$W,Monthly_FY!$B9&amp;Monthly_FY!$B$2&amp;$B$1&amp;Monthly_FY!AH$2)</f>
        <v>0</v>
      </c>
      <c r="AI9" s="13">
        <f>COUNTIF(defects!$W:$W,Monthly_FY!$B9&amp;Monthly_FY!$B$2&amp;$B$1&amp;Monthly_FY!AI$2)</f>
        <v>0</v>
      </c>
      <c r="AJ9" s="13">
        <f>COUNTIF(defects!$W:$W,Monthly_FY!$B9&amp;Monthly_FY!$B$2&amp;$B$1&amp;Monthly_FY!AJ$2)</f>
        <v>0</v>
      </c>
      <c r="AK9" s="13">
        <f>COUNTIF(defects!$W:$W,Monthly_FY!$B9&amp;Monthly_FY!$B$2&amp;$B$1&amp;Monthly_FY!AK$2)</f>
        <v>0</v>
      </c>
      <c r="AL9" s="13">
        <f>COUNTIF(defects!$W:$W,Monthly_FY!$B9&amp;Monthly_FY!$B$2&amp;$B$1&amp;Monthly_FY!AL$2)</f>
        <v>0</v>
      </c>
      <c r="AM9" s="13">
        <f>COUNTIF(defects!$W:$W,Monthly_FY!$B9&amp;Monthly_FY!$B$2&amp;$B$1&amp;Monthly_FY!AM$2)</f>
        <v>0</v>
      </c>
      <c r="AN9" s="13">
        <f>COUNTIF(defects!$W:$W,Monthly_FY!$B9&amp;Monthly_FY!$B$2&amp;$B$1&amp;Monthly_FY!AN$2)</f>
        <v>0</v>
      </c>
      <c r="AO9" s="13">
        <f>COUNTIF(defects!$W:$W,Monthly_FY!$B9&amp;Monthly_FY!$B$2&amp;$B$1&amp;Monthly_FY!AO$2)</f>
        <v>0</v>
      </c>
      <c r="AP9" s="13">
        <f>COUNTIF(defects!$W:$W,Monthly_FY!$B9&amp;Monthly_FY!$B$2&amp;$B$1&amp;Monthly_FY!AP$2)</f>
        <v>0</v>
      </c>
      <c r="AQ9" s="13"/>
      <c r="AR9" s="13">
        <f>HLOOKUP(AR$2,Weekly!$3:$25,MATCH($B9,Weekly!$B$3:$B$25,0),0)</f>
        <v>0</v>
      </c>
      <c r="AS9" s="13">
        <f>HLOOKUP(AS$2,Weekly!$3:$25,MATCH($B9,Weekly!$B$3:$B$25,0),0)</f>
        <v>1</v>
      </c>
      <c r="AT9" s="13">
        <f>HLOOKUP(AT$2,Weekly!$3:$25,MATCH($B9,Weekly!$B$3:$B$25,0),0)</f>
        <v>0</v>
      </c>
      <c r="AU9" s="13"/>
      <c r="AV9" s="13">
        <f t="shared" si="19"/>
        <v>10</v>
      </c>
    </row>
    <row r="10" spans="2:48" x14ac:dyDescent="0.35">
      <c r="B10" s="13" t="s">
        <v>1343</v>
      </c>
      <c r="C10" s="13">
        <f t="shared" si="17"/>
        <v>2</v>
      </c>
      <c r="D10" s="13">
        <f t="shared" si="17"/>
        <v>0</v>
      </c>
      <c r="E10" s="13"/>
      <c r="F10" s="13">
        <f>COUNTIF(defects!$W:$W,Monthly_FY!$B10&amp;Monthly_FY!$B$2&amp;$B$1&amp;Monthly_FY!F$2)</f>
        <v>0</v>
      </c>
      <c r="G10" s="13">
        <f>COUNTIF(defects!$W:$W,Monthly_FY!$B10&amp;Monthly_FY!$B$2&amp;$B$1&amp;Monthly_FY!G$2)</f>
        <v>0</v>
      </c>
      <c r="H10" s="13">
        <f>COUNTIF(defects!$W:$W,Monthly_FY!$B10&amp;Monthly_FY!$B$2&amp;$B$1&amp;Monthly_FY!H$2)</f>
        <v>0</v>
      </c>
      <c r="I10" s="13">
        <f>COUNTIF(defects!$W:$W,Monthly_FY!$B10&amp;Monthly_FY!$B$2&amp;$B$1&amp;Monthly_FY!I$2)</f>
        <v>0</v>
      </c>
      <c r="J10" s="13">
        <f>COUNTIF(defects!$W:$W,Monthly_FY!$B10&amp;Monthly_FY!$B$2&amp;$B$1&amp;Monthly_FY!J$2)</f>
        <v>0</v>
      </c>
      <c r="K10" s="13">
        <f>COUNTIF(defects!$W:$W,Monthly_FY!$B10&amp;Monthly_FY!$B$2&amp;$B$1&amp;Monthly_FY!K$2)</f>
        <v>0</v>
      </c>
      <c r="L10" s="13">
        <f>COUNTIF(defects!$W:$W,Monthly_FY!$B10&amp;Monthly_FY!$B$2&amp;$B$1&amp;Monthly_FY!L$2)</f>
        <v>0</v>
      </c>
      <c r="M10" s="13">
        <f>COUNTIF(defects!$W:$W,Monthly_FY!$B10&amp;Monthly_FY!$B$2&amp;$B$1&amp;Monthly_FY!M$2)</f>
        <v>0</v>
      </c>
      <c r="N10" s="13">
        <f>COUNTIF(defects!$W:$W,Monthly_FY!$B10&amp;Monthly_FY!$B$2&amp;$B$1&amp;Monthly_FY!N$2)</f>
        <v>0</v>
      </c>
      <c r="O10" s="13">
        <f>COUNTIF(defects!$W:$W,Monthly_FY!$B10&amp;Monthly_FY!$B$2&amp;$B$1&amp;Monthly_FY!O$2)</f>
        <v>0</v>
      </c>
      <c r="P10" s="13">
        <f>COUNTIF(defects!$W:$W,Monthly_FY!$B10&amp;Monthly_FY!$B$2&amp;$B$1&amp;Monthly_FY!P$2)</f>
        <v>0</v>
      </c>
      <c r="Q10" s="13">
        <f>COUNTIF(defects!$W:$W,Monthly_FY!$B10&amp;Monthly_FY!$B$2&amp;$B$1&amp;Monthly_FY!Q$2)</f>
        <v>0</v>
      </c>
      <c r="R10" s="13">
        <f>COUNTIF(defects!$W:$W,Monthly_FY!$B10&amp;Monthly_FY!$B$2&amp;$B$1&amp;Monthly_FY!R$2)</f>
        <v>0</v>
      </c>
      <c r="S10" s="13">
        <f>COUNTIF(defects!$W:$W,Monthly_FY!$B10&amp;Monthly_FY!$B$2&amp;$B$1&amp;Monthly_FY!S$2)</f>
        <v>0</v>
      </c>
      <c r="T10" s="13">
        <f>COUNTIF(defects!$W:$W,Monthly_FY!$B10&amp;Monthly_FY!$B$2&amp;$B$1&amp;Monthly_FY!T$2)</f>
        <v>0</v>
      </c>
      <c r="U10" s="13">
        <f>COUNTIF(defects!$W:$W,Monthly_FY!$B10&amp;Monthly_FY!$B$2&amp;$B$1&amp;Monthly_FY!U$2)</f>
        <v>0</v>
      </c>
      <c r="V10" s="13">
        <f>COUNTIF(defects!$W:$W,Monthly_FY!$B10&amp;Monthly_FY!$B$2&amp;$B$1&amp;Monthly_FY!V$2)</f>
        <v>0</v>
      </c>
      <c r="W10" s="13">
        <f>COUNTIF(defects!$W:$W,Monthly_FY!$B10&amp;Monthly_FY!$B$2&amp;$B$1&amp;Monthly_FY!W$2)</f>
        <v>1</v>
      </c>
      <c r="X10" s="13">
        <f>COUNTIF(defects!$W:$W,Monthly_FY!$B10&amp;Monthly_FY!$B$2&amp;$B$1&amp;Monthly_FY!X$2)</f>
        <v>0</v>
      </c>
      <c r="Y10" s="13">
        <f>COUNTIF(defects!$W:$W,Monthly_FY!$B10&amp;Monthly_FY!$B$2&amp;$B$1&amp;Monthly_FY!Y$2)</f>
        <v>1</v>
      </c>
      <c r="Z10" s="13">
        <f>COUNTIF(defects!$W:$W,Monthly_FY!$B10&amp;Monthly_FY!$B$2&amp;$B$1&amp;Monthly_FY!Z$2)</f>
        <v>0</v>
      </c>
      <c r="AA10" s="13">
        <f>COUNTIF(defects!$W:$W,Monthly_FY!$B10&amp;Monthly_FY!$B$2&amp;$B$1&amp;Monthly_FY!AA$2)</f>
        <v>0</v>
      </c>
      <c r="AB10" s="13">
        <f>COUNTIF(defects!$W:$W,Monthly_FY!$B10&amp;Monthly_FY!$B$2&amp;$B$1&amp;Monthly_FY!AB$2)</f>
        <v>0</v>
      </c>
      <c r="AC10" s="13">
        <f>COUNTIF(defects!$W:$W,Monthly_FY!$B10&amp;Monthly_FY!$B$2&amp;$B$1&amp;Monthly_FY!AC$2)</f>
        <v>0</v>
      </c>
      <c r="AD10" s="13">
        <f>COUNTIF(defects!$W:$W,Monthly_FY!$B10&amp;Monthly_FY!$B$2&amp;$B$1&amp;Monthly_FY!AD$2)</f>
        <v>0</v>
      </c>
      <c r="AE10" s="13">
        <f>COUNTIF(defects!$W:$W,Monthly_FY!$B10&amp;Monthly_FY!$B$2&amp;$B$1&amp;Monthly_FY!AE$2)</f>
        <v>0</v>
      </c>
      <c r="AF10" s="13">
        <f>COUNTIF(defects!$W:$W,Monthly_FY!$B10&amp;Monthly_FY!$B$2&amp;$B$1&amp;Monthly_FY!AF$2)</f>
        <v>0</v>
      </c>
      <c r="AG10" s="13">
        <f>COUNTIF(defects!$W:$W,Monthly_FY!$B10&amp;Monthly_FY!$B$2&amp;$B$1&amp;Monthly_FY!AG$2)</f>
        <v>0</v>
      </c>
      <c r="AH10" s="13">
        <f>COUNTIF(defects!$W:$W,Monthly_FY!$B10&amp;Monthly_FY!$B$2&amp;$B$1&amp;Monthly_FY!AH$2)</f>
        <v>0</v>
      </c>
      <c r="AI10" s="13">
        <f>COUNTIF(defects!$W:$W,Monthly_FY!$B10&amp;Monthly_FY!$B$2&amp;$B$1&amp;Monthly_FY!AI$2)</f>
        <v>0</v>
      </c>
      <c r="AJ10" s="13">
        <f>COUNTIF(defects!$W:$W,Monthly_FY!$B10&amp;Monthly_FY!$B$2&amp;$B$1&amp;Monthly_FY!AJ$2)</f>
        <v>0</v>
      </c>
      <c r="AK10" s="13">
        <f>COUNTIF(defects!$W:$W,Monthly_FY!$B10&amp;Monthly_FY!$B$2&amp;$B$1&amp;Monthly_FY!AK$2)</f>
        <v>0</v>
      </c>
      <c r="AL10" s="13">
        <f>COUNTIF(defects!$W:$W,Monthly_FY!$B10&amp;Monthly_FY!$B$2&amp;$B$1&amp;Monthly_FY!AL$2)</f>
        <v>0</v>
      </c>
      <c r="AM10" s="13">
        <f>COUNTIF(defects!$W:$W,Monthly_FY!$B10&amp;Monthly_FY!$B$2&amp;$B$1&amp;Monthly_FY!AM$2)</f>
        <v>0</v>
      </c>
      <c r="AN10" s="13">
        <f>COUNTIF(defects!$W:$W,Monthly_FY!$B10&amp;Monthly_FY!$B$2&amp;$B$1&amp;Monthly_FY!AN$2)</f>
        <v>0</v>
      </c>
      <c r="AO10" s="13">
        <f>COUNTIF(defects!$W:$W,Monthly_FY!$B10&amp;Monthly_FY!$B$2&amp;$B$1&amp;Monthly_FY!AO$2)</f>
        <v>0</v>
      </c>
      <c r="AP10" s="13">
        <f>COUNTIF(defects!$W:$W,Monthly_FY!$B10&amp;Monthly_FY!$B$2&amp;$B$1&amp;Monthly_FY!AP$2)</f>
        <v>0</v>
      </c>
      <c r="AQ10" s="13"/>
      <c r="AR10" s="13">
        <f>HLOOKUP(AR$2,Weekly!$3:$25,MATCH($B10,Weekly!$B$3:$B$25,0),0)</f>
        <v>0</v>
      </c>
      <c r="AS10" s="13">
        <f>HLOOKUP(AS$2,Weekly!$3:$25,MATCH($B10,Weekly!$B$3:$B$25,0),0)</f>
        <v>0</v>
      </c>
      <c r="AT10" s="13">
        <f>HLOOKUP(AT$2,Weekly!$3:$25,MATCH($B10,Weekly!$B$3:$B$25,0),0)</f>
        <v>1</v>
      </c>
      <c r="AU10" s="13"/>
      <c r="AV10" s="13">
        <f t="shared" si="19"/>
        <v>2</v>
      </c>
    </row>
    <row r="11" spans="2:48" x14ac:dyDescent="0.35">
      <c r="B11" s="13" t="s">
        <v>1380</v>
      </c>
      <c r="C11" s="13">
        <f t="shared" si="17"/>
        <v>0</v>
      </c>
      <c r="D11" s="13">
        <f t="shared" si="17"/>
        <v>0</v>
      </c>
      <c r="E11" s="13"/>
      <c r="F11" s="13">
        <f>COUNTIF(defects!$W:$W,Monthly_FY!$B11&amp;Monthly_FY!$B$2&amp;$B$1&amp;Monthly_FY!F$2)</f>
        <v>0</v>
      </c>
      <c r="G11" s="13">
        <f>COUNTIF(defects!$W:$W,Monthly_FY!$B11&amp;Monthly_FY!$B$2&amp;$B$1&amp;Monthly_FY!G$2)</f>
        <v>0</v>
      </c>
      <c r="H11" s="13">
        <f>COUNTIF(defects!$W:$W,Monthly_FY!$B11&amp;Monthly_FY!$B$2&amp;$B$1&amp;Monthly_FY!H$2)</f>
        <v>0</v>
      </c>
      <c r="I11" s="13">
        <f>COUNTIF(defects!$W:$W,Monthly_FY!$B11&amp;Monthly_FY!$B$2&amp;$B$1&amp;Monthly_FY!I$2)</f>
        <v>0</v>
      </c>
      <c r="J11" s="13">
        <f>COUNTIF(defects!$W:$W,Monthly_FY!$B11&amp;Monthly_FY!$B$2&amp;$B$1&amp;Monthly_FY!J$2)</f>
        <v>0</v>
      </c>
      <c r="K11" s="13">
        <f>COUNTIF(defects!$W:$W,Monthly_FY!$B11&amp;Monthly_FY!$B$2&amp;$B$1&amp;Monthly_FY!K$2)</f>
        <v>0</v>
      </c>
      <c r="L11" s="13">
        <f>COUNTIF(defects!$W:$W,Monthly_FY!$B11&amp;Monthly_FY!$B$2&amp;$B$1&amp;Monthly_FY!L$2)</f>
        <v>0</v>
      </c>
      <c r="M11" s="13">
        <f>COUNTIF(defects!$W:$W,Monthly_FY!$B11&amp;Monthly_FY!$B$2&amp;$B$1&amp;Monthly_FY!M$2)</f>
        <v>0</v>
      </c>
      <c r="N11" s="13">
        <f>COUNTIF(defects!$W:$W,Monthly_FY!$B11&amp;Monthly_FY!$B$2&amp;$B$1&amp;Monthly_FY!N$2)</f>
        <v>0</v>
      </c>
      <c r="O11" s="13">
        <f>COUNTIF(defects!$W:$W,Monthly_FY!$B11&amp;Monthly_FY!$B$2&amp;$B$1&amp;Monthly_FY!O$2)</f>
        <v>0</v>
      </c>
      <c r="P11" s="13">
        <f>COUNTIF(defects!$W:$W,Monthly_FY!$B11&amp;Monthly_FY!$B$2&amp;$B$1&amp;Monthly_FY!P$2)</f>
        <v>0</v>
      </c>
      <c r="Q11" s="13">
        <f>COUNTIF(defects!$W:$W,Monthly_FY!$B11&amp;Monthly_FY!$B$2&amp;$B$1&amp;Monthly_FY!Q$2)</f>
        <v>0</v>
      </c>
      <c r="R11" s="13">
        <f>COUNTIF(defects!$W:$W,Monthly_FY!$B11&amp;Monthly_FY!$B$2&amp;$B$1&amp;Monthly_FY!R$2)</f>
        <v>0</v>
      </c>
      <c r="S11" s="13">
        <f>COUNTIF(defects!$W:$W,Monthly_FY!$B11&amp;Monthly_FY!$B$2&amp;$B$1&amp;Monthly_FY!S$2)</f>
        <v>0</v>
      </c>
      <c r="T11" s="13">
        <f>COUNTIF(defects!$W:$W,Monthly_FY!$B11&amp;Monthly_FY!$B$2&amp;$B$1&amp;Monthly_FY!T$2)</f>
        <v>0</v>
      </c>
      <c r="U11" s="13">
        <f>COUNTIF(defects!$W:$W,Monthly_FY!$B11&amp;Monthly_FY!$B$2&amp;$B$1&amp;Monthly_FY!U$2)</f>
        <v>0</v>
      </c>
      <c r="V11" s="13">
        <f>COUNTIF(defects!$W:$W,Monthly_FY!$B11&amp;Monthly_FY!$B$2&amp;$B$1&amp;Monthly_FY!V$2)</f>
        <v>0</v>
      </c>
      <c r="W11" s="13">
        <f>COUNTIF(defects!$W:$W,Monthly_FY!$B11&amp;Monthly_FY!$B$2&amp;$B$1&amp;Monthly_FY!W$2)</f>
        <v>0</v>
      </c>
      <c r="X11" s="13">
        <f>COUNTIF(defects!$W:$W,Monthly_FY!$B11&amp;Monthly_FY!$B$2&amp;$B$1&amp;Monthly_FY!X$2)</f>
        <v>0</v>
      </c>
      <c r="Y11" s="13">
        <f>COUNTIF(defects!$W:$W,Monthly_FY!$B11&amp;Monthly_FY!$B$2&amp;$B$1&amp;Monthly_FY!Y$2)</f>
        <v>0</v>
      </c>
      <c r="Z11" s="13">
        <f>COUNTIF(defects!$W:$W,Monthly_FY!$B11&amp;Monthly_FY!$B$2&amp;$B$1&amp;Monthly_FY!Z$2)</f>
        <v>0</v>
      </c>
      <c r="AA11" s="13">
        <f>COUNTIF(defects!$W:$W,Monthly_FY!$B11&amp;Monthly_FY!$B$2&amp;$B$1&amp;Monthly_FY!AA$2)</f>
        <v>0</v>
      </c>
      <c r="AB11" s="13">
        <f>COUNTIF(defects!$W:$W,Monthly_FY!$B11&amp;Monthly_FY!$B$2&amp;$B$1&amp;Monthly_FY!AB$2)</f>
        <v>0</v>
      </c>
      <c r="AC11" s="13">
        <f>COUNTIF(defects!$W:$W,Monthly_FY!$B11&amp;Monthly_FY!$B$2&amp;$B$1&amp;Monthly_FY!AC$2)</f>
        <v>0</v>
      </c>
      <c r="AD11" s="13">
        <f>COUNTIF(defects!$W:$W,Monthly_FY!$B11&amp;Monthly_FY!$B$2&amp;$B$1&amp;Monthly_FY!AD$2)</f>
        <v>0</v>
      </c>
      <c r="AE11" s="13">
        <f>COUNTIF(defects!$W:$W,Monthly_FY!$B11&amp;Monthly_FY!$B$2&amp;$B$1&amp;Monthly_FY!AE$2)</f>
        <v>0</v>
      </c>
      <c r="AF11" s="13">
        <f>COUNTIF(defects!$W:$W,Monthly_FY!$B11&amp;Monthly_FY!$B$2&amp;$B$1&amp;Monthly_FY!AF$2)</f>
        <v>0</v>
      </c>
      <c r="AG11" s="13">
        <f>COUNTIF(defects!$W:$W,Monthly_FY!$B11&amp;Monthly_FY!$B$2&amp;$B$1&amp;Monthly_FY!AG$2)</f>
        <v>0</v>
      </c>
      <c r="AH11" s="13">
        <f>COUNTIF(defects!$W:$W,Monthly_FY!$B11&amp;Monthly_FY!$B$2&amp;$B$1&amp;Monthly_FY!AH$2)</f>
        <v>0</v>
      </c>
      <c r="AI11" s="13">
        <f>COUNTIF(defects!$W:$W,Monthly_FY!$B11&amp;Monthly_FY!$B$2&amp;$B$1&amp;Monthly_FY!AI$2)</f>
        <v>0</v>
      </c>
      <c r="AJ11" s="13">
        <f>COUNTIF(defects!$W:$W,Monthly_FY!$B11&amp;Monthly_FY!$B$2&amp;$B$1&amp;Monthly_FY!AJ$2)</f>
        <v>0</v>
      </c>
      <c r="AK11" s="13">
        <f>COUNTIF(defects!$W:$W,Monthly_FY!$B11&amp;Monthly_FY!$B$2&amp;$B$1&amp;Monthly_FY!AK$2)</f>
        <v>0</v>
      </c>
      <c r="AL11" s="13">
        <f>COUNTIF(defects!$W:$W,Monthly_FY!$B11&amp;Monthly_FY!$B$2&amp;$B$1&amp;Monthly_FY!AL$2)</f>
        <v>0</v>
      </c>
      <c r="AM11" s="13">
        <f>COUNTIF(defects!$W:$W,Monthly_FY!$B11&amp;Monthly_FY!$B$2&amp;$B$1&amp;Monthly_FY!AM$2)</f>
        <v>0</v>
      </c>
      <c r="AN11" s="13">
        <f>COUNTIF(defects!$W:$W,Monthly_FY!$B11&amp;Monthly_FY!$B$2&amp;$B$1&amp;Monthly_FY!AN$2)</f>
        <v>0</v>
      </c>
      <c r="AO11" s="13">
        <f>COUNTIF(defects!$W:$W,Monthly_FY!$B11&amp;Monthly_FY!$B$2&amp;$B$1&amp;Monthly_FY!AO$2)</f>
        <v>0</v>
      </c>
      <c r="AP11" s="13">
        <f>COUNTIF(defects!$W:$W,Monthly_FY!$B11&amp;Monthly_FY!$B$2&amp;$B$1&amp;Monthly_FY!AP$2)</f>
        <v>0</v>
      </c>
      <c r="AQ11" s="13"/>
      <c r="AR11" s="13">
        <f>HLOOKUP(AR$2,Weekly!$3:$25,MATCH($B11,Weekly!$B$3:$B$25,0),0)</f>
        <v>0</v>
      </c>
      <c r="AS11" s="13">
        <f>HLOOKUP(AS$2,Weekly!$3:$25,MATCH($B11,Weekly!$B$3:$B$25,0),0)</f>
        <v>0</v>
      </c>
      <c r="AT11" s="13">
        <f>HLOOKUP(AT$2,Weekly!$3:$25,MATCH($B11,Weekly!$B$3:$B$25,0),0)</f>
        <v>0</v>
      </c>
      <c r="AU11" s="13"/>
      <c r="AV11" s="13">
        <f t="shared" si="19"/>
        <v>0</v>
      </c>
    </row>
    <row r="12" spans="2:48" x14ac:dyDescent="0.35">
      <c r="B12" s="13" t="s">
        <v>1337</v>
      </c>
      <c r="C12" s="13">
        <f t="shared" si="17"/>
        <v>19</v>
      </c>
      <c r="D12" s="13">
        <f t="shared" si="17"/>
        <v>0</v>
      </c>
      <c r="E12" s="13"/>
      <c r="F12" s="13">
        <f>COUNTIF(defects!$W:$W,Monthly_FY!$B12&amp;Monthly_FY!$B$2&amp;$B$1&amp;Monthly_FY!F$2)</f>
        <v>0</v>
      </c>
      <c r="G12" s="13">
        <f>COUNTIF(defects!$W:$W,Monthly_FY!$B12&amp;Monthly_FY!$B$2&amp;$B$1&amp;Monthly_FY!G$2)</f>
        <v>0</v>
      </c>
      <c r="H12" s="13">
        <f>COUNTIF(defects!$W:$W,Monthly_FY!$B12&amp;Monthly_FY!$B$2&amp;$B$1&amp;Monthly_FY!H$2)</f>
        <v>0</v>
      </c>
      <c r="I12" s="13">
        <f>COUNTIF(defects!$W:$W,Monthly_FY!$B12&amp;Monthly_FY!$B$2&amp;$B$1&amp;Monthly_FY!I$2)</f>
        <v>0</v>
      </c>
      <c r="J12" s="13">
        <f>COUNTIF(defects!$W:$W,Monthly_FY!$B12&amp;Monthly_FY!$B$2&amp;$B$1&amp;Monthly_FY!J$2)</f>
        <v>0</v>
      </c>
      <c r="K12" s="13">
        <f>COUNTIF(defects!$W:$W,Monthly_FY!$B12&amp;Monthly_FY!$B$2&amp;$B$1&amp;Monthly_FY!K$2)</f>
        <v>0</v>
      </c>
      <c r="L12" s="13">
        <f>COUNTIF(defects!$W:$W,Monthly_FY!$B12&amp;Monthly_FY!$B$2&amp;$B$1&amp;Monthly_FY!L$2)</f>
        <v>0</v>
      </c>
      <c r="M12" s="13">
        <f>COUNTIF(defects!$W:$W,Monthly_FY!$B12&amp;Monthly_FY!$B$2&amp;$B$1&amp;Monthly_FY!M$2)</f>
        <v>0</v>
      </c>
      <c r="N12" s="13">
        <f>COUNTIF(defects!$W:$W,Monthly_FY!$B12&amp;Monthly_FY!$B$2&amp;$B$1&amp;Monthly_FY!N$2)</f>
        <v>0</v>
      </c>
      <c r="O12" s="13">
        <f>COUNTIF(defects!$W:$W,Monthly_FY!$B12&amp;Monthly_FY!$B$2&amp;$B$1&amp;Monthly_FY!O$2)</f>
        <v>0</v>
      </c>
      <c r="P12" s="13">
        <f>COUNTIF(defects!$W:$W,Monthly_FY!$B12&amp;Monthly_FY!$B$2&amp;$B$1&amp;Monthly_FY!P$2)</f>
        <v>0</v>
      </c>
      <c r="Q12" s="13">
        <f>COUNTIF(defects!$W:$W,Monthly_FY!$B12&amp;Monthly_FY!$B$2&amp;$B$1&amp;Monthly_FY!Q$2)</f>
        <v>0</v>
      </c>
      <c r="R12" s="13">
        <f>COUNTIF(defects!$W:$W,Monthly_FY!$B12&amp;Monthly_FY!$B$2&amp;$B$1&amp;Monthly_FY!R$2)</f>
        <v>0</v>
      </c>
      <c r="S12" s="13">
        <f>COUNTIF(defects!$W:$W,Monthly_FY!$B12&amp;Monthly_FY!$B$2&amp;$B$1&amp;Monthly_FY!S$2)</f>
        <v>0</v>
      </c>
      <c r="T12" s="13">
        <f>COUNTIF(defects!$W:$W,Monthly_FY!$B12&amp;Monthly_FY!$B$2&amp;$B$1&amp;Monthly_FY!T$2)</f>
        <v>0</v>
      </c>
      <c r="U12" s="13">
        <f>COUNTIF(defects!$W:$W,Monthly_FY!$B12&amp;Monthly_FY!$B$2&amp;$B$1&amp;Monthly_FY!U$2)</f>
        <v>3</v>
      </c>
      <c r="V12" s="13">
        <f>COUNTIF(defects!$W:$W,Monthly_FY!$B12&amp;Monthly_FY!$B$2&amp;$B$1&amp;Monthly_FY!V$2)</f>
        <v>4</v>
      </c>
      <c r="W12" s="13">
        <f>COUNTIF(defects!$W:$W,Monthly_FY!$B12&amp;Monthly_FY!$B$2&amp;$B$1&amp;Monthly_FY!W$2)</f>
        <v>2</v>
      </c>
      <c r="X12" s="13">
        <f>COUNTIF(defects!$W:$W,Monthly_FY!$B12&amp;Monthly_FY!$B$2&amp;$B$1&amp;Monthly_FY!X$2)</f>
        <v>8</v>
      </c>
      <c r="Y12" s="13">
        <f>COUNTIF(defects!$W:$W,Monthly_FY!$B12&amp;Monthly_FY!$B$2&amp;$B$1&amp;Monthly_FY!Y$2)</f>
        <v>2</v>
      </c>
      <c r="Z12" s="13">
        <f>COUNTIF(defects!$W:$W,Monthly_FY!$B12&amp;Monthly_FY!$B$2&amp;$B$1&amp;Monthly_FY!Z$2)</f>
        <v>0</v>
      </c>
      <c r="AA12" s="13">
        <f>COUNTIF(defects!$W:$W,Monthly_FY!$B12&amp;Monthly_FY!$B$2&amp;$B$1&amp;Monthly_FY!AA$2)</f>
        <v>0</v>
      </c>
      <c r="AB12" s="13">
        <f>COUNTIF(defects!$W:$W,Monthly_FY!$B12&amp;Monthly_FY!$B$2&amp;$B$1&amp;Monthly_FY!AB$2)</f>
        <v>0</v>
      </c>
      <c r="AC12" s="13">
        <f>COUNTIF(defects!$W:$W,Monthly_FY!$B12&amp;Monthly_FY!$B$2&amp;$B$1&amp;Monthly_FY!AC$2)</f>
        <v>0</v>
      </c>
      <c r="AD12" s="13">
        <f>COUNTIF(defects!$W:$W,Monthly_FY!$B12&amp;Monthly_FY!$B$2&amp;$B$1&amp;Monthly_FY!AD$2)</f>
        <v>0</v>
      </c>
      <c r="AE12" s="13">
        <f>COUNTIF(defects!$W:$W,Monthly_FY!$B12&amp;Monthly_FY!$B$2&amp;$B$1&amp;Monthly_FY!AE$2)</f>
        <v>0</v>
      </c>
      <c r="AF12" s="13">
        <f>COUNTIF(defects!$W:$W,Monthly_FY!$B12&amp;Monthly_FY!$B$2&amp;$B$1&amp;Monthly_FY!AF$2)</f>
        <v>0</v>
      </c>
      <c r="AG12" s="13">
        <f>COUNTIF(defects!$W:$W,Monthly_FY!$B12&amp;Monthly_FY!$B$2&amp;$B$1&amp;Monthly_FY!AG$2)</f>
        <v>0</v>
      </c>
      <c r="AH12" s="13">
        <f>COUNTIF(defects!$W:$W,Monthly_FY!$B12&amp;Monthly_FY!$B$2&amp;$B$1&amp;Monthly_FY!AH$2)</f>
        <v>0</v>
      </c>
      <c r="AI12" s="13">
        <f>COUNTIF(defects!$W:$W,Monthly_FY!$B12&amp;Monthly_FY!$B$2&amp;$B$1&amp;Monthly_FY!AI$2)</f>
        <v>0</v>
      </c>
      <c r="AJ12" s="13">
        <f>COUNTIF(defects!$W:$W,Monthly_FY!$B12&amp;Monthly_FY!$B$2&amp;$B$1&amp;Monthly_FY!AJ$2)</f>
        <v>0</v>
      </c>
      <c r="AK12" s="13">
        <f>COUNTIF(defects!$W:$W,Monthly_FY!$B12&amp;Monthly_FY!$B$2&amp;$B$1&amp;Monthly_FY!AK$2)</f>
        <v>0</v>
      </c>
      <c r="AL12" s="13">
        <f>COUNTIF(defects!$W:$W,Monthly_FY!$B12&amp;Monthly_FY!$B$2&amp;$B$1&amp;Monthly_FY!AL$2)</f>
        <v>0</v>
      </c>
      <c r="AM12" s="13">
        <f>COUNTIF(defects!$W:$W,Monthly_FY!$B12&amp;Monthly_FY!$B$2&amp;$B$1&amp;Monthly_FY!AM$2)</f>
        <v>0</v>
      </c>
      <c r="AN12" s="13">
        <f>COUNTIF(defects!$W:$W,Monthly_FY!$B12&amp;Monthly_FY!$B$2&amp;$B$1&amp;Monthly_FY!AN$2)</f>
        <v>0</v>
      </c>
      <c r="AO12" s="13">
        <f>COUNTIF(defects!$W:$W,Monthly_FY!$B12&amp;Monthly_FY!$B$2&amp;$B$1&amp;Monthly_FY!AO$2)</f>
        <v>0</v>
      </c>
      <c r="AP12" s="13">
        <f>COUNTIF(defects!$W:$W,Monthly_FY!$B12&amp;Monthly_FY!$B$2&amp;$B$1&amp;Monthly_FY!AP$2)</f>
        <v>0</v>
      </c>
      <c r="AQ12" s="13"/>
      <c r="AR12" s="13">
        <f>HLOOKUP(AR$2,Weekly!$3:$25,MATCH($B12,Weekly!$B$3:$B$25,0),0)</f>
        <v>1</v>
      </c>
      <c r="AS12" s="13">
        <f>HLOOKUP(AS$2,Weekly!$3:$25,MATCH($B12,Weekly!$B$3:$B$25,0),0)</f>
        <v>0</v>
      </c>
      <c r="AT12" s="13">
        <f>HLOOKUP(AT$2,Weekly!$3:$25,MATCH($B12,Weekly!$B$3:$B$25,0),0)</f>
        <v>2</v>
      </c>
      <c r="AU12" s="13"/>
      <c r="AV12" s="13">
        <f t="shared" si="19"/>
        <v>19</v>
      </c>
    </row>
    <row r="13" spans="2:48" x14ac:dyDescent="0.35">
      <c r="B13" s="13" t="s">
        <v>1381</v>
      </c>
      <c r="C13" s="13">
        <f t="shared" si="17"/>
        <v>0</v>
      </c>
      <c r="D13" s="13">
        <f t="shared" si="17"/>
        <v>0</v>
      </c>
      <c r="E13" s="13"/>
      <c r="F13" s="13">
        <f>COUNTIF(defects!$W:$W,Monthly_FY!$B13&amp;Monthly_FY!$B$2&amp;$B$1&amp;Monthly_FY!F$2)</f>
        <v>0</v>
      </c>
      <c r="G13" s="13">
        <f>COUNTIF(defects!$W:$W,Monthly_FY!$B13&amp;Monthly_FY!$B$2&amp;$B$1&amp;Monthly_FY!G$2)</f>
        <v>0</v>
      </c>
      <c r="H13" s="13">
        <f>COUNTIF(defects!$W:$W,Monthly_FY!$B13&amp;Monthly_FY!$B$2&amp;$B$1&amp;Monthly_FY!H$2)</f>
        <v>0</v>
      </c>
      <c r="I13" s="13">
        <f>COUNTIF(defects!$W:$W,Monthly_FY!$B13&amp;Monthly_FY!$B$2&amp;$B$1&amp;Monthly_FY!I$2)</f>
        <v>0</v>
      </c>
      <c r="J13" s="13">
        <f>COUNTIF(defects!$W:$W,Monthly_FY!$B13&amp;Monthly_FY!$B$2&amp;$B$1&amp;Monthly_FY!J$2)</f>
        <v>0</v>
      </c>
      <c r="K13" s="13">
        <f>COUNTIF(defects!$W:$W,Monthly_FY!$B13&amp;Monthly_FY!$B$2&amp;$B$1&amp;Monthly_FY!K$2)</f>
        <v>0</v>
      </c>
      <c r="L13" s="13">
        <f>COUNTIF(defects!$W:$W,Monthly_FY!$B13&amp;Monthly_FY!$B$2&amp;$B$1&amp;Monthly_FY!L$2)</f>
        <v>0</v>
      </c>
      <c r="M13" s="13">
        <f>COUNTIF(defects!$W:$W,Monthly_FY!$B13&amp;Monthly_FY!$B$2&amp;$B$1&amp;Monthly_FY!M$2)</f>
        <v>0</v>
      </c>
      <c r="N13" s="13">
        <f>COUNTIF(defects!$W:$W,Monthly_FY!$B13&amp;Monthly_FY!$B$2&amp;$B$1&amp;Monthly_FY!N$2)</f>
        <v>0</v>
      </c>
      <c r="O13" s="13">
        <f>COUNTIF(defects!$W:$W,Monthly_FY!$B13&amp;Monthly_FY!$B$2&amp;$B$1&amp;Monthly_FY!O$2)</f>
        <v>0</v>
      </c>
      <c r="P13" s="13">
        <f>COUNTIF(defects!$W:$W,Monthly_FY!$B13&amp;Monthly_FY!$B$2&amp;$B$1&amp;Monthly_FY!P$2)</f>
        <v>0</v>
      </c>
      <c r="Q13" s="13">
        <f>COUNTIF(defects!$W:$W,Monthly_FY!$B13&amp;Monthly_FY!$B$2&amp;$B$1&amp;Monthly_FY!Q$2)</f>
        <v>0</v>
      </c>
      <c r="R13" s="13">
        <f>COUNTIF(defects!$W:$W,Monthly_FY!$B13&amp;Monthly_FY!$B$2&amp;$B$1&amp;Monthly_FY!R$2)</f>
        <v>0</v>
      </c>
      <c r="S13" s="13">
        <f>COUNTIF(defects!$W:$W,Monthly_FY!$B13&amp;Monthly_FY!$B$2&amp;$B$1&amp;Monthly_FY!S$2)</f>
        <v>0</v>
      </c>
      <c r="T13" s="13">
        <f>COUNTIF(defects!$W:$W,Monthly_FY!$B13&amp;Monthly_FY!$B$2&amp;$B$1&amp;Monthly_FY!T$2)</f>
        <v>0</v>
      </c>
      <c r="U13" s="13">
        <f>COUNTIF(defects!$W:$W,Monthly_FY!$B13&amp;Monthly_FY!$B$2&amp;$B$1&amp;Monthly_FY!U$2)</f>
        <v>0</v>
      </c>
      <c r="V13" s="13">
        <f>COUNTIF(defects!$W:$W,Monthly_FY!$B13&amp;Monthly_FY!$B$2&amp;$B$1&amp;Monthly_FY!V$2)</f>
        <v>0</v>
      </c>
      <c r="W13" s="13">
        <f>COUNTIF(defects!$W:$W,Monthly_FY!$B13&amp;Monthly_FY!$B$2&amp;$B$1&amp;Monthly_FY!W$2)</f>
        <v>0</v>
      </c>
      <c r="X13" s="13">
        <f>COUNTIF(defects!$W:$W,Monthly_FY!$B13&amp;Monthly_FY!$B$2&amp;$B$1&amp;Monthly_FY!X$2)</f>
        <v>0</v>
      </c>
      <c r="Y13" s="13">
        <f>COUNTIF(defects!$W:$W,Monthly_FY!$B13&amp;Monthly_FY!$B$2&amp;$B$1&amp;Monthly_FY!Y$2)</f>
        <v>0</v>
      </c>
      <c r="Z13" s="13">
        <f>COUNTIF(defects!$W:$W,Monthly_FY!$B13&amp;Monthly_FY!$B$2&amp;$B$1&amp;Monthly_FY!Z$2)</f>
        <v>0</v>
      </c>
      <c r="AA13" s="13">
        <f>COUNTIF(defects!$W:$W,Monthly_FY!$B13&amp;Monthly_FY!$B$2&amp;$B$1&amp;Monthly_FY!AA$2)</f>
        <v>0</v>
      </c>
      <c r="AB13" s="13">
        <f>COUNTIF(defects!$W:$W,Monthly_FY!$B13&amp;Monthly_FY!$B$2&amp;$B$1&amp;Monthly_FY!AB$2)</f>
        <v>0</v>
      </c>
      <c r="AC13" s="13">
        <f>COUNTIF(defects!$W:$W,Monthly_FY!$B13&amp;Monthly_FY!$B$2&amp;$B$1&amp;Monthly_FY!AC$2)</f>
        <v>0</v>
      </c>
      <c r="AD13" s="13">
        <f>COUNTIF(defects!$W:$W,Monthly_FY!$B13&amp;Monthly_FY!$B$2&amp;$B$1&amp;Monthly_FY!AD$2)</f>
        <v>0</v>
      </c>
      <c r="AE13" s="13">
        <f>COUNTIF(defects!$W:$W,Monthly_FY!$B13&amp;Monthly_FY!$B$2&amp;$B$1&amp;Monthly_FY!AE$2)</f>
        <v>0</v>
      </c>
      <c r="AF13" s="13">
        <f>COUNTIF(defects!$W:$W,Monthly_FY!$B13&amp;Monthly_FY!$B$2&amp;$B$1&amp;Monthly_FY!AF$2)</f>
        <v>0</v>
      </c>
      <c r="AG13" s="13">
        <f>COUNTIF(defects!$W:$W,Monthly_FY!$B13&amp;Monthly_FY!$B$2&amp;$B$1&amp;Monthly_FY!AG$2)</f>
        <v>0</v>
      </c>
      <c r="AH13" s="13">
        <f>COUNTIF(defects!$W:$W,Monthly_FY!$B13&amp;Monthly_FY!$B$2&amp;$B$1&amp;Monthly_FY!AH$2)</f>
        <v>0</v>
      </c>
      <c r="AI13" s="13">
        <f>COUNTIF(defects!$W:$W,Monthly_FY!$B13&amp;Monthly_FY!$B$2&amp;$B$1&amp;Monthly_FY!AI$2)</f>
        <v>0</v>
      </c>
      <c r="AJ13" s="13">
        <f>COUNTIF(defects!$W:$W,Monthly_FY!$B13&amp;Monthly_FY!$B$2&amp;$B$1&amp;Monthly_FY!AJ$2)</f>
        <v>0</v>
      </c>
      <c r="AK13" s="13">
        <f>COUNTIF(defects!$W:$W,Monthly_FY!$B13&amp;Monthly_FY!$B$2&amp;$B$1&amp;Monthly_FY!AK$2)</f>
        <v>0</v>
      </c>
      <c r="AL13" s="13">
        <f>COUNTIF(defects!$W:$W,Monthly_FY!$B13&amp;Monthly_FY!$B$2&amp;$B$1&amp;Monthly_FY!AL$2)</f>
        <v>0</v>
      </c>
      <c r="AM13" s="13">
        <f>COUNTIF(defects!$W:$W,Monthly_FY!$B13&amp;Monthly_FY!$B$2&amp;$B$1&amp;Monthly_FY!AM$2)</f>
        <v>0</v>
      </c>
      <c r="AN13" s="13">
        <f>COUNTIF(defects!$W:$W,Monthly_FY!$B13&amp;Monthly_FY!$B$2&amp;$B$1&amp;Monthly_FY!AN$2)</f>
        <v>0</v>
      </c>
      <c r="AO13" s="13">
        <f>COUNTIF(defects!$W:$W,Monthly_FY!$B13&amp;Monthly_FY!$B$2&amp;$B$1&amp;Monthly_FY!AO$2)</f>
        <v>0</v>
      </c>
      <c r="AP13" s="13">
        <f>COUNTIF(defects!$W:$W,Monthly_FY!$B13&amp;Monthly_FY!$B$2&amp;$B$1&amp;Monthly_FY!AP$2)</f>
        <v>0</v>
      </c>
      <c r="AQ13" s="13"/>
      <c r="AR13" s="13">
        <f>HLOOKUP(AR$2,Weekly!$3:$25,MATCH($B13,Weekly!$B$3:$B$25,0),0)</f>
        <v>0</v>
      </c>
      <c r="AS13" s="13">
        <f>HLOOKUP(AS$2,Weekly!$3:$25,MATCH($B13,Weekly!$B$3:$B$25,0),0)</f>
        <v>0</v>
      </c>
      <c r="AT13" s="13">
        <f>HLOOKUP(AT$2,Weekly!$3:$25,MATCH($B13,Weekly!$B$3:$B$25,0),0)</f>
        <v>0</v>
      </c>
      <c r="AU13" s="13"/>
      <c r="AV13" s="13">
        <f t="shared" si="19"/>
        <v>0</v>
      </c>
    </row>
    <row r="14" spans="2:48" x14ac:dyDescent="0.35">
      <c r="B14" s="13" t="s">
        <v>1336</v>
      </c>
      <c r="C14" s="13">
        <f t="shared" si="17"/>
        <v>21</v>
      </c>
      <c r="D14" s="13">
        <f t="shared" si="17"/>
        <v>0</v>
      </c>
      <c r="E14" s="13"/>
      <c r="F14" s="13">
        <f>COUNTIF(defects!$W:$W,Monthly_FY!$B14&amp;Monthly_FY!$B$2&amp;$B$1&amp;Monthly_FY!F$2)</f>
        <v>0</v>
      </c>
      <c r="G14" s="13">
        <f>COUNTIF(defects!$W:$W,Monthly_FY!$B14&amp;Monthly_FY!$B$2&amp;$B$1&amp;Monthly_FY!G$2)</f>
        <v>0</v>
      </c>
      <c r="H14" s="13">
        <f>COUNTIF(defects!$W:$W,Monthly_FY!$B14&amp;Monthly_FY!$B$2&amp;$B$1&amp;Monthly_FY!H$2)</f>
        <v>0</v>
      </c>
      <c r="I14" s="13">
        <f>COUNTIF(defects!$W:$W,Monthly_FY!$B14&amp;Monthly_FY!$B$2&amp;$B$1&amp;Monthly_FY!I$2)</f>
        <v>0</v>
      </c>
      <c r="J14" s="13">
        <f>COUNTIF(defects!$W:$W,Monthly_FY!$B14&amp;Monthly_FY!$B$2&amp;$B$1&amp;Monthly_FY!J$2)</f>
        <v>0</v>
      </c>
      <c r="K14" s="13">
        <f>COUNTIF(defects!$W:$W,Monthly_FY!$B14&amp;Monthly_FY!$B$2&amp;$B$1&amp;Monthly_FY!K$2)</f>
        <v>0</v>
      </c>
      <c r="L14" s="13">
        <f>COUNTIF(defects!$W:$W,Monthly_FY!$B14&amp;Monthly_FY!$B$2&amp;$B$1&amp;Monthly_FY!L$2)</f>
        <v>0</v>
      </c>
      <c r="M14" s="13">
        <f>COUNTIF(defects!$W:$W,Monthly_FY!$B14&amp;Monthly_FY!$B$2&amp;$B$1&amp;Monthly_FY!M$2)</f>
        <v>0</v>
      </c>
      <c r="N14" s="13">
        <f>COUNTIF(defects!$W:$W,Monthly_FY!$B14&amp;Monthly_FY!$B$2&amp;$B$1&amp;Monthly_FY!N$2)</f>
        <v>0</v>
      </c>
      <c r="O14" s="13">
        <f>COUNTIF(defects!$W:$W,Monthly_FY!$B14&amp;Monthly_FY!$B$2&amp;$B$1&amp;Monthly_FY!O$2)</f>
        <v>0</v>
      </c>
      <c r="P14" s="13">
        <f>COUNTIF(defects!$W:$W,Monthly_FY!$B14&amp;Monthly_FY!$B$2&amp;$B$1&amp;Monthly_FY!P$2)</f>
        <v>0</v>
      </c>
      <c r="Q14" s="13">
        <f>COUNTIF(defects!$W:$W,Monthly_FY!$B14&amp;Monthly_FY!$B$2&amp;$B$1&amp;Monthly_FY!Q$2)</f>
        <v>0</v>
      </c>
      <c r="R14" s="13">
        <f>COUNTIF(defects!$W:$W,Monthly_FY!$B14&amp;Monthly_FY!$B$2&amp;$B$1&amp;Monthly_FY!R$2)</f>
        <v>0</v>
      </c>
      <c r="S14" s="13">
        <f>COUNTIF(defects!$W:$W,Monthly_FY!$B14&amp;Monthly_FY!$B$2&amp;$B$1&amp;Monthly_FY!S$2)</f>
        <v>0</v>
      </c>
      <c r="T14" s="13">
        <f>COUNTIF(defects!$W:$W,Monthly_FY!$B14&amp;Monthly_FY!$B$2&amp;$B$1&amp;Monthly_FY!T$2)</f>
        <v>0</v>
      </c>
      <c r="U14" s="13">
        <f>COUNTIF(defects!$W:$W,Monthly_FY!$B14&amp;Monthly_FY!$B$2&amp;$B$1&amp;Monthly_FY!U$2)</f>
        <v>1</v>
      </c>
      <c r="V14" s="13">
        <f>COUNTIF(defects!$W:$W,Monthly_FY!$B14&amp;Monthly_FY!$B$2&amp;$B$1&amp;Monthly_FY!V$2)</f>
        <v>1</v>
      </c>
      <c r="W14" s="13">
        <f>COUNTIF(defects!$W:$W,Monthly_FY!$B14&amp;Monthly_FY!$B$2&amp;$B$1&amp;Monthly_FY!W$2)</f>
        <v>4</v>
      </c>
      <c r="X14" s="13">
        <f>COUNTIF(defects!$W:$W,Monthly_FY!$B14&amp;Monthly_FY!$B$2&amp;$B$1&amp;Monthly_FY!X$2)</f>
        <v>10</v>
      </c>
      <c r="Y14" s="13">
        <f>COUNTIF(defects!$W:$W,Monthly_FY!$B14&amp;Monthly_FY!$B$2&amp;$B$1&amp;Monthly_FY!Y$2)</f>
        <v>5</v>
      </c>
      <c r="Z14" s="13">
        <f>COUNTIF(defects!$W:$W,Monthly_FY!$B14&amp;Monthly_FY!$B$2&amp;$B$1&amp;Monthly_FY!Z$2)</f>
        <v>0</v>
      </c>
      <c r="AA14" s="13">
        <f>COUNTIF(defects!$W:$W,Monthly_FY!$B14&amp;Monthly_FY!$B$2&amp;$B$1&amp;Monthly_FY!AA$2)</f>
        <v>0</v>
      </c>
      <c r="AB14" s="13">
        <f>COUNTIF(defects!$W:$W,Monthly_FY!$B14&amp;Monthly_FY!$B$2&amp;$B$1&amp;Monthly_FY!AB$2)</f>
        <v>0</v>
      </c>
      <c r="AC14" s="13">
        <f>COUNTIF(defects!$W:$W,Monthly_FY!$B14&amp;Monthly_FY!$B$2&amp;$B$1&amp;Monthly_FY!AC$2)</f>
        <v>0</v>
      </c>
      <c r="AD14" s="13">
        <f>COUNTIF(defects!$W:$W,Monthly_FY!$B14&amp;Monthly_FY!$B$2&amp;$B$1&amp;Monthly_FY!AD$2)</f>
        <v>0</v>
      </c>
      <c r="AE14" s="13">
        <f>COUNTIF(defects!$W:$W,Monthly_FY!$B14&amp;Monthly_FY!$B$2&amp;$B$1&amp;Monthly_FY!AE$2)</f>
        <v>0</v>
      </c>
      <c r="AF14" s="13">
        <f>COUNTIF(defects!$W:$W,Monthly_FY!$B14&amp;Monthly_FY!$B$2&amp;$B$1&amp;Monthly_FY!AF$2)</f>
        <v>0</v>
      </c>
      <c r="AG14" s="13">
        <f>COUNTIF(defects!$W:$W,Monthly_FY!$B14&amp;Monthly_FY!$B$2&amp;$B$1&amp;Monthly_FY!AG$2)</f>
        <v>0</v>
      </c>
      <c r="AH14" s="13">
        <f>COUNTIF(defects!$W:$W,Monthly_FY!$B14&amp;Monthly_FY!$B$2&amp;$B$1&amp;Monthly_FY!AH$2)</f>
        <v>0</v>
      </c>
      <c r="AI14" s="13">
        <f>COUNTIF(defects!$W:$W,Monthly_FY!$B14&amp;Monthly_FY!$B$2&amp;$B$1&amp;Monthly_FY!AI$2)</f>
        <v>0</v>
      </c>
      <c r="AJ14" s="13">
        <f>COUNTIF(defects!$W:$W,Monthly_FY!$B14&amp;Monthly_FY!$B$2&amp;$B$1&amp;Monthly_FY!AJ$2)</f>
        <v>0</v>
      </c>
      <c r="AK14" s="13">
        <f>COUNTIF(defects!$W:$W,Monthly_FY!$B14&amp;Monthly_FY!$B$2&amp;$B$1&amp;Monthly_FY!AK$2)</f>
        <v>0</v>
      </c>
      <c r="AL14" s="13">
        <f>COUNTIF(defects!$W:$W,Monthly_FY!$B14&amp;Monthly_FY!$B$2&amp;$B$1&amp;Monthly_FY!AL$2)</f>
        <v>0</v>
      </c>
      <c r="AM14" s="13">
        <f>COUNTIF(defects!$W:$W,Monthly_FY!$B14&amp;Monthly_FY!$B$2&amp;$B$1&amp;Monthly_FY!AM$2)</f>
        <v>0</v>
      </c>
      <c r="AN14" s="13">
        <f>COUNTIF(defects!$W:$W,Monthly_FY!$B14&amp;Monthly_FY!$B$2&amp;$B$1&amp;Monthly_FY!AN$2)</f>
        <v>0</v>
      </c>
      <c r="AO14" s="13">
        <f>COUNTIF(defects!$W:$W,Monthly_FY!$B14&amp;Monthly_FY!$B$2&amp;$B$1&amp;Monthly_FY!AO$2)</f>
        <v>0</v>
      </c>
      <c r="AP14" s="13">
        <f>COUNTIF(defects!$W:$W,Monthly_FY!$B14&amp;Monthly_FY!$B$2&amp;$B$1&amp;Monthly_FY!AP$2)</f>
        <v>0</v>
      </c>
      <c r="AQ14" s="13"/>
      <c r="AR14" s="13">
        <f>HLOOKUP(AR$2,Weekly!$3:$25,MATCH($B14,Weekly!$B$3:$B$25,0),0)</f>
        <v>0</v>
      </c>
      <c r="AS14" s="13">
        <f>HLOOKUP(AS$2,Weekly!$3:$25,MATCH($B14,Weekly!$B$3:$B$25,0),0)</f>
        <v>4</v>
      </c>
      <c r="AT14" s="13">
        <f>HLOOKUP(AT$2,Weekly!$3:$25,MATCH($B14,Weekly!$B$3:$B$25,0),0)</f>
        <v>1</v>
      </c>
      <c r="AU14" s="13"/>
      <c r="AV14" s="13">
        <f t="shared" si="19"/>
        <v>21</v>
      </c>
    </row>
    <row r="15" spans="2:48" x14ac:dyDescent="0.35">
      <c r="B15" s="13" t="s">
        <v>410</v>
      </c>
      <c r="C15" s="13">
        <f t="shared" si="17"/>
        <v>37</v>
      </c>
      <c r="D15" s="13">
        <f t="shared" si="17"/>
        <v>0</v>
      </c>
      <c r="E15" s="13"/>
      <c r="F15" s="13">
        <f>COUNTIF(defects!$W:$W,Monthly_FY!$B15&amp;Monthly_FY!$B$2&amp;$B$1&amp;Monthly_FY!F$2)</f>
        <v>0</v>
      </c>
      <c r="G15" s="13">
        <f>COUNTIF(defects!$W:$W,Monthly_FY!$B15&amp;Monthly_FY!$B$2&amp;$B$1&amp;Monthly_FY!G$2)</f>
        <v>0</v>
      </c>
      <c r="H15" s="13">
        <f>COUNTIF(defects!$W:$W,Monthly_FY!$B15&amp;Monthly_FY!$B$2&amp;$B$1&amp;Monthly_FY!H$2)</f>
        <v>0</v>
      </c>
      <c r="I15" s="13">
        <f>COUNTIF(defects!$W:$W,Monthly_FY!$B15&amp;Monthly_FY!$B$2&amp;$B$1&amp;Monthly_FY!I$2)</f>
        <v>0</v>
      </c>
      <c r="J15" s="13">
        <f>COUNTIF(defects!$W:$W,Monthly_FY!$B15&amp;Monthly_FY!$B$2&amp;$B$1&amp;Monthly_FY!J$2)</f>
        <v>0</v>
      </c>
      <c r="K15" s="13">
        <f>COUNTIF(defects!$W:$W,Monthly_FY!$B15&amp;Monthly_FY!$B$2&amp;$B$1&amp;Monthly_FY!K$2)</f>
        <v>0</v>
      </c>
      <c r="L15" s="13">
        <f>COUNTIF(defects!$W:$W,Monthly_FY!$B15&amp;Monthly_FY!$B$2&amp;$B$1&amp;Monthly_FY!L$2)</f>
        <v>0</v>
      </c>
      <c r="M15" s="13">
        <f>COUNTIF(defects!$W:$W,Monthly_FY!$B15&amp;Monthly_FY!$B$2&amp;$B$1&amp;Monthly_FY!M$2)</f>
        <v>0</v>
      </c>
      <c r="N15" s="13">
        <f>COUNTIF(defects!$W:$W,Monthly_FY!$B15&amp;Monthly_FY!$B$2&amp;$B$1&amp;Monthly_FY!N$2)</f>
        <v>0</v>
      </c>
      <c r="O15" s="13">
        <f>COUNTIF(defects!$W:$W,Monthly_FY!$B15&amp;Monthly_FY!$B$2&amp;$B$1&amp;Monthly_FY!O$2)</f>
        <v>0</v>
      </c>
      <c r="P15" s="13">
        <f>COUNTIF(defects!$W:$W,Monthly_FY!$B15&amp;Monthly_FY!$B$2&amp;$B$1&amp;Monthly_FY!P$2)</f>
        <v>0</v>
      </c>
      <c r="Q15" s="13">
        <f>COUNTIF(defects!$W:$W,Monthly_FY!$B15&amp;Monthly_FY!$B$2&amp;$B$1&amp;Monthly_FY!Q$2)</f>
        <v>0</v>
      </c>
      <c r="R15" s="13">
        <f>COUNTIF(defects!$W:$W,Monthly_FY!$B15&amp;Monthly_FY!$B$2&amp;$B$1&amp;Monthly_FY!R$2)</f>
        <v>0</v>
      </c>
      <c r="S15" s="13">
        <f>COUNTIF(defects!$W:$W,Monthly_FY!$B15&amp;Monthly_FY!$B$2&amp;$B$1&amp;Monthly_FY!S$2)</f>
        <v>0</v>
      </c>
      <c r="T15" s="13">
        <f>COUNTIF(defects!$W:$W,Monthly_FY!$B15&amp;Monthly_FY!$B$2&amp;$B$1&amp;Monthly_FY!T$2)</f>
        <v>0</v>
      </c>
      <c r="U15" s="13">
        <f>COUNTIF(defects!$W:$W,Monthly_FY!$B15&amp;Monthly_FY!$B$2&amp;$B$1&amp;Monthly_FY!U$2)</f>
        <v>5</v>
      </c>
      <c r="V15" s="13">
        <f>COUNTIF(defects!$W:$W,Monthly_FY!$B15&amp;Monthly_FY!$B$2&amp;$B$1&amp;Monthly_FY!V$2)</f>
        <v>3</v>
      </c>
      <c r="W15" s="13">
        <f>COUNTIF(defects!$W:$W,Monthly_FY!$B15&amp;Monthly_FY!$B$2&amp;$B$1&amp;Monthly_FY!W$2)</f>
        <v>6</v>
      </c>
      <c r="X15" s="13">
        <f>COUNTIF(defects!$W:$W,Monthly_FY!$B15&amp;Monthly_FY!$B$2&amp;$B$1&amp;Monthly_FY!X$2)</f>
        <v>15</v>
      </c>
      <c r="Y15" s="13">
        <f>COUNTIF(defects!$W:$W,Monthly_FY!$B15&amp;Monthly_FY!$B$2&amp;$B$1&amp;Monthly_FY!Y$2)</f>
        <v>8</v>
      </c>
      <c r="Z15" s="13">
        <f>COUNTIF(defects!$W:$W,Monthly_FY!$B15&amp;Monthly_FY!$B$2&amp;$B$1&amp;Monthly_FY!Z$2)</f>
        <v>0</v>
      </c>
      <c r="AA15" s="13">
        <f>COUNTIF(defects!$W:$W,Monthly_FY!$B15&amp;Monthly_FY!$B$2&amp;$B$1&amp;Monthly_FY!AA$2)</f>
        <v>0</v>
      </c>
      <c r="AB15" s="13">
        <f>COUNTIF(defects!$W:$W,Monthly_FY!$B15&amp;Monthly_FY!$B$2&amp;$B$1&amp;Monthly_FY!AB$2)</f>
        <v>0</v>
      </c>
      <c r="AC15" s="13">
        <f>COUNTIF(defects!$W:$W,Monthly_FY!$B15&amp;Monthly_FY!$B$2&amp;$B$1&amp;Monthly_FY!AC$2)</f>
        <v>0</v>
      </c>
      <c r="AD15" s="13">
        <f>COUNTIF(defects!$W:$W,Monthly_FY!$B15&amp;Monthly_FY!$B$2&amp;$B$1&amp;Monthly_FY!AD$2)</f>
        <v>0</v>
      </c>
      <c r="AE15" s="13">
        <f>COUNTIF(defects!$W:$W,Monthly_FY!$B15&amp;Monthly_FY!$B$2&amp;$B$1&amp;Monthly_FY!AE$2)</f>
        <v>0</v>
      </c>
      <c r="AF15" s="13">
        <f>COUNTIF(defects!$W:$W,Monthly_FY!$B15&amp;Monthly_FY!$B$2&amp;$B$1&amp;Monthly_FY!AF$2)</f>
        <v>0</v>
      </c>
      <c r="AG15" s="13">
        <f>COUNTIF(defects!$W:$W,Monthly_FY!$B15&amp;Monthly_FY!$B$2&amp;$B$1&amp;Monthly_FY!AG$2)</f>
        <v>0</v>
      </c>
      <c r="AH15" s="13">
        <f>COUNTIF(defects!$W:$W,Monthly_FY!$B15&amp;Monthly_FY!$B$2&amp;$B$1&amp;Monthly_FY!AH$2)</f>
        <v>0</v>
      </c>
      <c r="AI15" s="13">
        <f>COUNTIF(defects!$W:$W,Monthly_FY!$B15&amp;Monthly_FY!$B$2&amp;$B$1&amp;Monthly_FY!AI$2)</f>
        <v>0</v>
      </c>
      <c r="AJ15" s="13">
        <f>COUNTIF(defects!$W:$W,Monthly_FY!$B15&amp;Monthly_FY!$B$2&amp;$B$1&amp;Monthly_FY!AJ$2)</f>
        <v>0</v>
      </c>
      <c r="AK15" s="13">
        <f>COUNTIF(defects!$W:$W,Monthly_FY!$B15&amp;Monthly_FY!$B$2&amp;$B$1&amp;Monthly_FY!AK$2)</f>
        <v>0</v>
      </c>
      <c r="AL15" s="13">
        <f>COUNTIF(defects!$W:$W,Monthly_FY!$B15&amp;Monthly_FY!$B$2&amp;$B$1&amp;Monthly_FY!AL$2)</f>
        <v>0</v>
      </c>
      <c r="AM15" s="13">
        <f>COUNTIF(defects!$W:$W,Monthly_FY!$B15&amp;Monthly_FY!$B$2&amp;$B$1&amp;Monthly_FY!AM$2)</f>
        <v>0</v>
      </c>
      <c r="AN15" s="13">
        <f>COUNTIF(defects!$W:$W,Monthly_FY!$B15&amp;Monthly_FY!$B$2&amp;$B$1&amp;Monthly_FY!AN$2)</f>
        <v>0</v>
      </c>
      <c r="AO15" s="13">
        <f>COUNTIF(defects!$W:$W,Monthly_FY!$B15&amp;Monthly_FY!$B$2&amp;$B$1&amp;Monthly_FY!AO$2)</f>
        <v>0</v>
      </c>
      <c r="AP15" s="13">
        <f>COUNTIF(defects!$W:$W,Monthly_FY!$B15&amp;Monthly_FY!$B$2&amp;$B$1&amp;Monthly_FY!AP$2)</f>
        <v>0</v>
      </c>
      <c r="AQ15" s="13"/>
      <c r="AR15" s="13">
        <f>HLOOKUP(AR$2,Weekly!$3:$25,MATCH($B15,Weekly!$B$3:$B$25,0),0)</f>
        <v>2</v>
      </c>
      <c r="AS15" s="13">
        <f>HLOOKUP(AS$2,Weekly!$3:$25,MATCH($B15,Weekly!$B$3:$B$25,0),0)</f>
        <v>3</v>
      </c>
      <c r="AT15" s="13">
        <f>HLOOKUP(AT$2,Weekly!$3:$25,MATCH($B15,Weekly!$B$3:$B$25,0),0)</f>
        <v>5</v>
      </c>
      <c r="AU15" s="13"/>
      <c r="AV15" s="13">
        <f t="shared" si="19"/>
        <v>37</v>
      </c>
    </row>
    <row r="16" spans="2:48" x14ac:dyDescent="0.35">
      <c r="B16" s="13" t="s">
        <v>1382</v>
      </c>
      <c r="C16" s="13">
        <f t="shared" si="17"/>
        <v>0</v>
      </c>
      <c r="D16" s="13">
        <f t="shared" si="17"/>
        <v>0</v>
      </c>
      <c r="E16" s="13"/>
      <c r="F16" s="13">
        <f>COUNTIF(defects!$W:$W,Monthly_FY!$B16&amp;Monthly_FY!$B$2&amp;$B$1&amp;Monthly_FY!F$2)</f>
        <v>0</v>
      </c>
      <c r="G16" s="13">
        <f>COUNTIF(defects!$W:$W,Monthly_FY!$B16&amp;Monthly_FY!$B$2&amp;$B$1&amp;Monthly_FY!G$2)</f>
        <v>0</v>
      </c>
      <c r="H16" s="13">
        <f>COUNTIF(defects!$W:$W,Monthly_FY!$B16&amp;Monthly_FY!$B$2&amp;$B$1&amp;Monthly_FY!H$2)</f>
        <v>0</v>
      </c>
      <c r="I16" s="13">
        <f>COUNTIF(defects!$W:$W,Monthly_FY!$B16&amp;Monthly_FY!$B$2&amp;$B$1&amp;Monthly_FY!I$2)</f>
        <v>0</v>
      </c>
      <c r="J16" s="13">
        <f>COUNTIF(defects!$W:$W,Monthly_FY!$B16&amp;Monthly_FY!$B$2&amp;$B$1&amp;Monthly_FY!J$2)</f>
        <v>0</v>
      </c>
      <c r="K16" s="13">
        <f>COUNTIF(defects!$W:$W,Monthly_FY!$B16&amp;Monthly_FY!$B$2&amp;$B$1&amp;Monthly_FY!K$2)</f>
        <v>0</v>
      </c>
      <c r="L16" s="13">
        <f>COUNTIF(defects!$W:$W,Monthly_FY!$B16&amp;Monthly_FY!$B$2&amp;$B$1&amp;Monthly_FY!L$2)</f>
        <v>0</v>
      </c>
      <c r="M16" s="13">
        <f>COUNTIF(defects!$W:$W,Monthly_FY!$B16&amp;Monthly_FY!$B$2&amp;$B$1&amp;Monthly_FY!M$2)</f>
        <v>0</v>
      </c>
      <c r="N16" s="13">
        <f>COUNTIF(defects!$W:$W,Monthly_FY!$B16&amp;Monthly_FY!$B$2&amp;$B$1&amp;Monthly_FY!N$2)</f>
        <v>0</v>
      </c>
      <c r="O16" s="13">
        <f>COUNTIF(defects!$W:$W,Monthly_FY!$B16&amp;Monthly_FY!$B$2&amp;$B$1&amp;Monthly_FY!O$2)</f>
        <v>0</v>
      </c>
      <c r="P16" s="13">
        <f>COUNTIF(defects!$W:$W,Monthly_FY!$B16&amp;Monthly_FY!$B$2&amp;$B$1&amp;Monthly_FY!P$2)</f>
        <v>0</v>
      </c>
      <c r="Q16" s="13">
        <f>COUNTIF(defects!$W:$W,Monthly_FY!$B16&amp;Monthly_FY!$B$2&amp;$B$1&amp;Monthly_FY!Q$2)</f>
        <v>0</v>
      </c>
      <c r="R16" s="13">
        <f>COUNTIF(defects!$W:$W,Monthly_FY!$B16&amp;Monthly_FY!$B$2&amp;$B$1&amp;Monthly_FY!R$2)</f>
        <v>0</v>
      </c>
      <c r="S16" s="13">
        <f>COUNTIF(defects!$W:$W,Monthly_FY!$B16&amp;Monthly_FY!$B$2&amp;$B$1&amp;Monthly_FY!S$2)</f>
        <v>0</v>
      </c>
      <c r="T16" s="13">
        <f>COUNTIF(defects!$W:$W,Monthly_FY!$B16&amp;Monthly_FY!$B$2&amp;$B$1&amp;Monthly_FY!T$2)</f>
        <v>0</v>
      </c>
      <c r="U16" s="13">
        <f>COUNTIF(defects!$W:$W,Monthly_FY!$B16&amp;Monthly_FY!$B$2&amp;$B$1&amp;Monthly_FY!U$2)</f>
        <v>0</v>
      </c>
      <c r="V16" s="13">
        <f>COUNTIF(defects!$W:$W,Monthly_FY!$B16&amp;Monthly_FY!$B$2&amp;$B$1&amp;Monthly_FY!V$2)</f>
        <v>0</v>
      </c>
      <c r="W16" s="13">
        <f>COUNTIF(defects!$W:$W,Monthly_FY!$B16&amp;Monthly_FY!$B$2&amp;$B$1&amp;Monthly_FY!W$2)</f>
        <v>0</v>
      </c>
      <c r="X16" s="13">
        <f>COUNTIF(defects!$W:$W,Monthly_FY!$B16&amp;Monthly_FY!$B$2&amp;$B$1&amp;Monthly_FY!X$2)</f>
        <v>0</v>
      </c>
      <c r="Y16" s="13">
        <f>COUNTIF(defects!$W:$W,Monthly_FY!$B16&amp;Monthly_FY!$B$2&amp;$B$1&amp;Monthly_FY!Y$2)</f>
        <v>0</v>
      </c>
      <c r="Z16" s="13">
        <f>COUNTIF(defects!$W:$W,Monthly_FY!$B16&amp;Monthly_FY!$B$2&amp;$B$1&amp;Monthly_FY!Z$2)</f>
        <v>0</v>
      </c>
      <c r="AA16" s="13">
        <f>COUNTIF(defects!$W:$W,Monthly_FY!$B16&amp;Monthly_FY!$B$2&amp;$B$1&amp;Monthly_FY!AA$2)</f>
        <v>0</v>
      </c>
      <c r="AB16" s="13">
        <f>COUNTIF(defects!$W:$W,Monthly_FY!$B16&amp;Monthly_FY!$B$2&amp;$B$1&amp;Monthly_FY!AB$2)</f>
        <v>0</v>
      </c>
      <c r="AC16" s="13">
        <f>COUNTIF(defects!$W:$W,Monthly_FY!$B16&amp;Monthly_FY!$B$2&amp;$B$1&amp;Monthly_FY!AC$2)</f>
        <v>0</v>
      </c>
      <c r="AD16" s="13">
        <f>COUNTIF(defects!$W:$W,Monthly_FY!$B16&amp;Monthly_FY!$B$2&amp;$B$1&amp;Monthly_FY!AD$2)</f>
        <v>0</v>
      </c>
      <c r="AE16" s="13">
        <f>COUNTIF(defects!$W:$W,Monthly_FY!$B16&amp;Monthly_FY!$B$2&amp;$B$1&amp;Monthly_FY!AE$2)</f>
        <v>0</v>
      </c>
      <c r="AF16" s="13">
        <f>COUNTIF(defects!$W:$W,Monthly_FY!$B16&amp;Monthly_FY!$B$2&amp;$B$1&amp;Monthly_FY!AF$2)</f>
        <v>0</v>
      </c>
      <c r="AG16" s="13">
        <f>COUNTIF(defects!$W:$W,Monthly_FY!$B16&amp;Monthly_FY!$B$2&amp;$B$1&amp;Monthly_FY!AG$2)</f>
        <v>0</v>
      </c>
      <c r="AH16" s="13">
        <f>COUNTIF(defects!$W:$W,Monthly_FY!$B16&amp;Monthly_FY!$B$2&amp;$B$1&amp;Monthly_FY!AH$2)</f>
        <v>0</v>
      </c>
      <c r="AI16" s="13">
        <f>COUNTIF(defects!$W:$W,Monthly_FY!$B16&amp;Monthly_FY!$B$2&amp;$B$1&amp;Monthly_FY!AI$2)</f>
        <v>0</v>
      </c>
      <c r="AJ16" s="13">
        <f>COUNTIF(defects!$W:$W,Monthly_FY!$B16&amp;Monthly_FY!$B$2&amp;$B$1&amp;Monthly_FY!AJ$2)</f>
        <v>0</v>
      </c>
      <c r="AK16" s="13">
        <f>COUNTIF(defects!$W:$W,Monthly_FY!$B16&amp;Monthly_FY!$B$2&amp;$B$1&amp;Monthly_FY!AK$2)</f>
        <v>0</v>
      </c>
      <c r="AL16" s="13">
        <f>COUNTIF(defects!$W:$W,Monthly_FY!$B16&amp;Monthly_FY!$B$2&amp;$B$1&amp;Monthly_FY!AL$2)</f>
        <v>0</v>
      </c>
      <c r="AM16" s="13">
        <f>COUNTIF(defects!$W:$W,Monthly_FY!$B16&amp;Monthly_FY!$B$2&amp;$B$1&amp;Monthly_FY!AM$2)</f>
        <v>0</v>
      </c>
      <c r="AN16" s="13">
        <f>COUNTIF(defects!$W:$W,Monthly_FY!$B16&amp;Monthly_FY!$B$2&amp;$B$1&amp;Monthly_FY!AN$2)</f>
        <v>0</v>
      </c>
      <c r="AO16" s="13">
        <f>COUNTIF(defects!$W:$W,Monthly_FY!$B16&amp;Monthly_FY!$B$2&amp;$B$1&amp;Monthly_FY!AO$2)</f>
        <v>0</v>
      </c>
      <c r="AP16" s="13">
        <f>COUNTIF(defects!$W:$W,Monthly_FY!$B16&amp;Monthly_FY!$B$2&amp;$B$1&amp;Monthly_FY!AP$2)</f>
        <v>0</v>
      </c>
      <c r="AQ16" s="13"/>
      <c r="AR16" s="13">
        <f>HLOOKUP(AR$2,Weekly!$3:$25,MATCH($B16,Weekly!$B$3:$B$25,0),0)</f>
        <v>0</v>
      </c>
      <c r="AS16" s="13">
        <f>HLOOKUP(AS$2,Weekly!$3:$25,MATCH($B16,Weekly!$B$3:$B$25,0),0)</f>
        <v>0</v>
      </c>
      <c r="AT16" s="13">
        <f>HLOOKUP(AT$2,Weekly!$3:$25,MATCH($B16,Weekly!$B$3:$B$25,0),0)</f>
        <v>0</v>
      </c>
      <c r="AU16" s="13"/>
      <c r="AV16" s="13">
        <f t="shared" si="19"/>
        <v>0</v>
      </c>
    </row>
    <row r="17" spans="2:48" x14ac:dyDescent="0.35">
      <c r="B17" s="13" t="s">
        <v>1278</v>
      </c>
      <c r="C17" s="13">
        <f t="shared" si="17"/>
        <v>10</v>
      </c>
      <c r="D17" s="13">
        <f t="shared" si="17"/>
        <v>0</v>
      </c>
      <c r="E17" s="13"/>
      <c r="F17" s="13">
        <f>COUNTIF(defects!$W:$W,Monthly_FY!$B17&amp;Monthly_FY!$B$2&amp;$B$1&amp;Monthly_FY!F$2)</f>
        <v>0</v>
      </c>
      <c r="G17" s="13">
        <f>COUNTIF(defects!$W:$W,Monthly_FY!$B17&amp;Monthly_FY!$B$2&amp;$B$1&amp;Monthly_FY!G$2)</f>
        <v>0</v>
      </c>
      <c r="H17" s="13">
        <f>COUNTIF(defects!$W:$W,Monthly_FY!$B17&amp;Monthly_FY!$B$2&amp;$B$1&amp;Monthly_FY!H$2)</f>
        <v>0</v>
      </c>
      <c r="I17" s="13">
        <f>COUNTIF(defects!$W:$W,Monthly_FY!$B17&amp;Monthly_FY!$B$2&amp;$B$1&amp;Monthly_FY!I$2)</f>
        <v>0</v>
      </c>
      <c r="J17" s="13">
        <f>COUNTIF(defects!$W:$W,Monthly_FY!$B17&amp;Monthly_FY!$B$2&amp;$B$1&amp;Monthly_FY!J$2)</f>
        <v>0</v>
      </c>
      <c r="K17" s="13">
        <f>COUNTIF(defects!$W:$W,Monthly_FY!$B17&amp;Monthly_FY!$B$2&amp;$B$1&amp;Monthly_FY!K$2)</f>
        <v>0</v>
      </c>
      <c r="L17" s="13">
        <f>COUNTIF(defects!$W:$W,Monthly_FY!$B17&amp;Monthly_FY!$B$2&amp;$B$1&amp;Monthly_FY!L$2)</f>
        <v>0</v>
      </c>
      <c r="M17" s="13">
        <f>COUNTIF(defects!$W:$W,Monthly_FY!$B17&amp;Monthly_FY!$B$2&amp;$B$1&amp;Monthly_FY!M$2)</f>
        <v>0</v>
      </c>
      <c r="N17" s="13">
        <f>COUNTIF(defects!$W:$W,Monthly_FY!$B17&amp;Monthly_FY!$B$2&amp;$B$1&amp;Monthly_FY!N$2)</f>
        <v>0</v>
      </c>
      <c r="O17" s="13">
        <f>COUNTIF(defects!$W:$W,Monthly_FY!$B17&amp;Monthly_FY!$B$2&amp;$B$1&amp;Monthly_FY!O$2)</f>
        <v>0</v>
      </c>
      <c r="P17" s="13">
        <f>COUNTIF(defects!$W:$W,Monthly_FY!$B17&amp;Monthly_FY!$B$2&amp;$B$1&amp;Monthly_FY!P$2)</f>
        <v>0</v>
      </c>
      <c r="Q17" s="13">
        <f>COUNTIF(defects!$W:$W,Monthly_FY!$B17&amp;Monthly_FY!$B$2&amp;$B$1&amp;Monthly_FY!Q$2)</f>
        <v>0</v>
      </c>
      <c r="R17" s="13">
        <f>COUNTIF(defects!$W:$W,Monthly_FY!$B17&amp;Monthly_FY!$B$2&amp;$B$1&amp;Monthly_FY!R$2)</f>
        <v>0</v>
      </c>
      <c r="S17" s="13">
        <f>COUNTIF(defects!$W:$W,Monthly_FY!$B17&amp;Monthly_FY!$B$2&amp;$B$1&amp;Monthly_FY!S$2)</f>
        <v>0</v>
      </c>
      <c r="T17" s="13">
        <f>COUNTIF(defects!$W:$W,Monthly_FY!$B17&amp;Monthly_FY!$B$2&amp;$B$1&amp;Monthly_FY!T$2)</f>
        <v>0</v>
      </c>
      <c r="U17" s="13">
        <f>COUNTIF(defects!$W:$W,Monthly_FY!$B17&amp;Monthly_FY!$B$2&amp;$B$1&amp;Monthly_FY!U$2)</f>
        <v>0</v>
      </c>
      <c r="V17" s="13">
        <f>COUNTIF(defects!$W:$W,Monthly_FY!$B17&amp;Monthly_FY!$B$2&amp;$B$1&amp;Monthly_FY!V$2)</f>
        <v>1</v>
      </c>
      <c r="W17" s="13">
        <f>COUNTIF(defects!$W:$W,Monthly_FY!$B17&amp;Monthly_FY!$B$2&amp;$B$1&amp;Monthly_FY!W$2)</f>
        <v>4</v>
      </c>
      <c r="X17" s="13">
        <f>COUNTIF(defects!$W:$W,Monthly_FY!$B17&amp;Monthly_FY!$B$2&amp;$B$1&amp;Monthly_FY!X$2)</f>
        <v>3</v>
      </c>
      <c r="Y17" s="13">
        <f>COUNTIF(defects!$W:$W,Monthly_FY!$B17&amp;Monthly_FY!$B$2&amp;$B$1&amp;Monthly_FY!Y$2)</f>
        <v>2</v>
      </c>
      <c r="Z17" s="13">
        <f>COUNTIF(defects!$W:$W,Monthly_FY!$B17&amp;Monthly_FY!$B$2&amp;$B$1&amp;Monthly_FY!Z$2)</f>
        <v>0</v>
      </c>
      <c r="AA17" s="13">
        <f>COUNTIF(defects!$W:$W,Monthly_FY!$B17&amp;Monthly_FY!$B$2&amp;$B$1&amp;Monthly_FY!AA$2)</f>
        <v>0</v>
      </c>
      <c r="AB17" s="13">
        <f>COUNTIF(defects!$W:$W,Monthly_FY!$B17&amp;Monthly_FY!$B$2&amp;$B$1&amp;Monthly_FY!AB$2)</f>
        <v>0</v>
      </c>
      <c r="AC17" s="13">
        <f>COUNTIF(defects!$W:$W,Monthly_FY!$B17&amp;Monthly_FY!$B$2&amp;$B$1&amp;Monthly_FY!AC$2)</f>
        <v>0</v>
      </c>
      <c r="AD17" s="13">
        <f>COUNTIF(defects!$W:$W,Monthly_FY!$B17&amp;Monthly_FY!$B$2&amp;$B$1&amp;Monthly_FY!AD$2)</f>
        <v>0</v>
      </c>
      <c r="AE17" s="13">
        <f>COUNTIF(defects!$W:$W,Monthly_FY!$B17&amp;Monthly_FY!$B$2&amp;$B$1&amp;Monthly_FY!AE$2)</f>
        <v>0</v>
      </c>
      <c r="AF17" s="13">
        <f>COUNTIF(defects!$W:$W,Monthly_FY!$B17&amp;Monthly_FY!$B$2&amp;$B$1&amp;Monthly_FY!AF$2)</f>
        <v>0</v>
      </c>
      <c r="AG17" s="13">
        <f>COUNTIF(defects!$W:$W,Monthly_FY!$B17&amp;Monthly_FY!$B$2&amp;$B$1&amp;Monthly_FY!AG$2)</f>
        <v>0</v>
      </c>
      <c r="AH17" s="13">
        <f>COUNTIF(defects!$W:$W,Monthly_FY!$B17&amp;Monthly_FY!$B$2&amp;$B$1&amp;Monthly_FY!AH$2)</f>
        <v>0</v>
      </c>
      <c r="AI17" s="13">
        <f>COUNTIF(defects!$W:$W,Monthly_FY!$B17&amp;Monthly_FY!$B$2&amp;$B$1&amp;Monthly_FY!AI$2)</f>
        <v>0</v>
      </c>
      <c r="AJ17" s="13">
        <f>COUNTIF(defects!$W:$W,Monthly_FY!$B17&amp;Monthly_FY!$B$2&amp;$B$1&amp;Monthly_FY!AJ$2)</f>
        <v>0</v>
      </c>
      <c r="AK17" s="13">
        <f>COUNTIF(defects!$W:$W,Monthly_FY!$B17&amp;Monthly_FY!$B$2&amp;$B$1&amp;Monthly_FY!AK$2)</f>
        <v>0</v>
      </c>
      <c r="AL17" s="13">
        <f>COUNTIF(defects!$W:$W,Monthly_FY!$B17&amp;Monthly_FY!$B$2&amp;$B$1&amp;Monthly_FY!AL$2)</f>
        <v>0</v>
      </c>
      <c r="AM17" s="13">
        <f>COUNTIF(defects!$W:$W,Monthly_FY!$B17&amp;Monthly_FY!$B$2&amp;$B$1&amp;Monthly_FY!AM$2)</f>
        <v>0</v>
      </c>
      <c r="AN17" s="13">
        <f>COUNTIF(defects!$W:$W,Monthly_FY!$B17&amp;Monthly_FY!$B$2&amp;$B$1&amp;Monthly_FY!AN$2)</f>
        <v>0</v>
      </c>
      <c r="AO17" s="13">
        <f>COUNTIF(defects!$W:$W,Monthly_FY!$B17&amp;Monthly_FY!$B$2&amp;$B$1&amp;Monthly_FY!AO$2)</f>
        <v>0</v>
      </c>
      <c r="AP17" s="13">
        <f>COUNTIF(defects!$W:$W,Monthly_FY!$B17&amp;Monthly_FY!$B$2&amp;$B$1&amp;Monthly_FY!AP$2)</f>
        <v>0</v>
      </c>
      <c r="AQ17" s="13"/>
      <c r="AR17" s="13">
        <f>HLOOKUP(AR$2,Weekly!$3:$25,MATCH($B17,Weekly!$B$3:$B$25,0),0)</f>
        <v>1</v>
      </c>
      <c r="AS17" s="13">
        <f>HLOOKUP(AS$2,Weekly!$3:$25,MATCH($B17,Weekly!$B$3:$B$25,0),0)</f>
        <v>1</v>
      </c>
      <c r="AT17" s="13">
        <f>HLOOKUP(AT$2,Weekly!$3:$25,MATCH($B17,Weekly!$B$3:$B$25,0),0)</f>
        <v>1</v>
      </c>
      <c r="AU17" s="13"/>
      <c r="AV17" s="13">
        <f t="shared" si="19"/>
        <v>10</v>
      </c>
    </row>
    <row r="18" spans="2:48" x14ac:dyDescent="0.35">
      <c r="B18" s="13" t="s">
        <v>1383</v>
      </c>
      <c r="C18" s="13">
        <f t="shared" si="17"/>
        <v>0</v>
      </c>
      <c r="D18" s="13">
        <f t="shared" si="17"/>
        <v>0</v>
      </c>
      <c r="E18" s="13"/>
      <c r="F18" s="13">
        <f>COUNTIF(defects!$W:$W,Monthly_FY!$B18&amp;Monthly_FY!$B$2&amp;$B$1&amp;Monthly_FY!F$2)</f>
        <v>0</v>
      </c>
      <c r="G18" s="13">
        <f>COUNTIF(defects!$W:$W,Monthly_FY!$B18&amp;Monthly_FY!$B$2&amp;$B$1&amp;Monthly_FY!G$2)</f>
        <v>0</v>
      </c>
      <c r="H18" s="13">
        <f>COUNTIF(defects!$W:$W,Monthly_FY!$B18&amp;Monthly_FY!$B$2&amp;$B$1&amp;Monthly_FY!H$2)</f>
        <v>0</v>
      </c>
      <c r="I18" s="13">
        <f>COUNTIF(defects!$W:$W,Monthly_FY!$B18&amp;Monthly_FY!$B$2&amp;$B$1&amp;Monthly_FY!I$2)</f>
        <v>0</v>
      </c>
      <c r="J18" s="13">
        <f>COUNTIF(defects!$W:$W,Monthly_FY!$B18&amp;Monthly_FY!$B$2&amp;$B$1&amp;Monthly_FY!J$2)</f>
        <v>0</v>
      </c>
      <c r="K18" s="13">
        <f>COUNTIF(defects!$W:$W,Monthly_FY!$B18&amp;Monthly_FY!$B$2&amp;$B$1&amp;Monthly_FY!K$2)</f>
        <v>0</v>
      </c>
      <c r="L18" s="13">
        <f>COUNTIF(defects!$W:$W,Monthly_FY!$B18&amp;Monthly_FY!$B$2&amp;$B$1&amp;Monthly_FY!L$2)</f>
        <v>0</v>
      </c>
      <c r="M18" s="13">
        <f>COUNTIF(defects!$W:$W,Monthly_FY!$B18&amp;Monthly_FY!$B$2&amp;$B$1&amp;Monthly_FY!M$2)</f>
        <v>0</v>
      </c>
      <c r="N18" s="13">
        <f>COUNTIF(defects!$W:$W,Monthly_FY!$B18&amp;Monthly_FY!$B$2&amp;$B$1&amp;Monthly_FY!N$2)</f>
        <v>0</v>
      </c>
      <c r="O18" s="13">
        <f>COUNTIF(defects!$W:$W,Monthly_FY!$B18&amp;Monthly_FY!$B$2&amp;$B$1&amp;Monthly_FY!O$2)</f>
        <v>0</v>
      </c>
      <c r="P18" s="13">
        <f>COUNTIF(defects!$W:$W,Monthly_FY!$B18&amp;Monthly_FY!$B$2&amp;$B$1&amp;Monthly_FY!P$2)</f>
        <v>0</v>
      </c>
      <c r="Q18" s="13">
        <f>COUNTIF(defects!$W:$W,Monthly_FY!$B18&amp;Monthly_FY!$B$2&amp;$B$1&amp;Monthly_FY!Q$2)</f>
        <v>0</v>
      </c>
      <c r="R18" s="13">
        <f>COUNTIF(defects!$W:$W,Monthly_FY!$B18&amp;Monthly_FY!$B$2&amp;$B$1&amp;Monthly_FY!R$2)</f>
        <v>0</v>
      </c>
      <c r="S18" s="13">
        <f>COUNTIF(defects!$W:$W,Monthly_FY!$B18&amp;Monthly_FY!$B$2&amp;$B$1&amp;Monthly_FY!S$2)</f>
        <v>0</v>
      </c>
      <c r="T18" s="13">
        <f>COUNTIF(defects!$W:$W,Monthly_FY!$B18&amp;Monthly_FY!$B$2&amp;$B$1&amp;Monthly_FY!T$2)</f>
        <v>0</v>
      </c>
      <c r="U18" s="13">
        <f>COUNTIF(defects!$W:$W,Monthly_FY!$B18&amp;Monthly_FY!$B$2&amp;$B$1&amp;Monthly_FY!U$2)</f>
        <v>0</v>
      </c>
      <c r="V18" s="13">
        <f>COUNTIF(defects!$W:$W,Monthly_FY!$B18&amp;Monthly_FY!$B$2&amp;$B$1&amp;Monthly_FY!V$2)</f>
        <v>0</v>
      </c>
      <c r="W18" s="13">
        <f>COUNTIF(defects!$W:$W,Monthly_FY!$B18&amp;Monthly_FY!$B$2&amp;$B$1&amp;Monthly_FY!W$2)</f>
        <v>0</v>
      </c>
      <c r="X18" s="13">
        <f>COUNTIF(defects!$W:$W,Monthly_FY!$B18&amp;Monthly_FY!$B$2&amp;$B$1&amp;Monthly_FY!X$2)</f>
        <v>0</v>
      </c>
      <c r="Y18" s="13">
        <f>COUNTIF(defects!$W:$W,Monthly_FY!$B18&amp;Monthly_FY!$B$2&amp;$B$1&amp;Monthly_FY!Y$2)</f>
        <v>0</v>
      </c>
      <c r="Z18" s="13">
        <f>COUNTIF(defects!$W:$W,Monthly_FY!$B18&amp;Monthly_FY!$B$2&amp;$B$1&amp;Monthly_FY!Z$2)</f>
        <v>0</v>
      </c>
      <c r="AA18" s="13">
        <f>COUNTIF(defects!$W:$W,Monthly_FY!$B18&amp;Monthly_FY!$B$2&amp;$B$1&amp;Monthly_FY!AA$2)</f>
        <v>0</v>
      </c>
      <c r="AB18" s="13">
        <f>COUNTIF(defects!$W:$W,Monthly_FY!$B18&amp;Monthly_FY!$B$2&amp;$B$1&amp;Monthly_FY!AB$2)</f>
        <v>0</v>
      </c>
      <c r="AC18" s="13">
        <f>COUNTIF(defects!$W:$W,Monthly_FY!$B18&amp;Monthly_FY!$B$2&amp;$B$1&amp;Monthly_FY!AC$2)</f>
        <v>0</v>
      </c>
      <c r="AD18" s="13">
        <f>COUNTIF(defects!$W:$W,Monthly_FY!$B18&amp;Monthly_FY!$B$2&amp;$B$1&amp;Monthly_FY!AD$2)</f>
        <v>0</v>
      </c>
      <c r="AE18" s="13">
        <f>COUNTIF(defects!$W:$W,Monthly_FY!$B18&amp;Monthly_FY!$B$2&amp;$B$1&amp;Monthly_FY!AE$2)</f>
        <v>0</v>
      </c>
      <c r="AF18" s="13">
        <f>COUNTIF(defects!$W:$W,Monthly_FY!$B18&amp;Monthly_FY!$B$2&amp;$B$1&amp;Monthly_FY!AF$2)</f>
        <v>0</v>
      </c>
      <c r="AG18" s="13">
        <f>COUNTIF(defects!$W:$W,Monthly_FY!$B18&amp;Monthly_FY!$B$2&amp;$B$1&amp;Monthly_FY!AG$2)</f>
        <v>0</v>
      </c>
      <c r="AH18" s="13">
        <f>COUNTIF(defects!$W:$W,Monthly_FY!$B18&amp;Monthly_FY!$B$2&amp;$B$1&amp;Monthly_FY!AH$2)</f>
        <v>0</v>
      </c>
      <c r="AI18" s="13">
        <f>COUNTIF(defects!$W:$W,Monthly_FY!$B18&amp;Monthly_FY!$B$2&amp;$B$1&amp;Monthly_FY!AI$2)</f>
        <v>0</v>
      </c>
      <c r="AJ18" s="13">
        <f>COUNTIF(defects!$W:$W,Monthly_FY!$B18&amp;Monthly_FY!$B$2&amp;$B$1&amp;Monthly_FY!AJ$2)</f>
        <v>0</v>
      </c>
      <c r="AK18" s="13">
        <f>COUNTIF(defects!$W:$W,Monthly_FY!$B18&amp;Monthly_FY!$B$2&amp;$B$1&amp;Monthly_FY!AK$2)</f>
        <v>0</v>
      </c>
      <c r="AL18" s="13">
        <f>COUNTIF(defects!$W:$W,Monthly_FY!$B18&amp;Monthly_FY!$B$2&amp;$B$1&amp;Monthly_FY!AL$2)</f>
        <v>0</v>
      </c>
      <c r="AM18" s="13">
        <f>COUNTIF(defects!$W:$W,Monthly_FY!$B18&amp;Monthly_FY!$B$2&amp;$B$1&amp;Monthly_FY!AM$2)</f>
        <v>0</v>
      </c>
      <c r="AN18" s="13">
        <f>COUNTIF(defects!$W:$W,Monthly_FY!$B18&amp;Monthly_FY!$B$2&amp;$B$1&amp;Monthly_FY!AN$2)</f>
        <v>0</v>
      </c>
      <c r="AO18" s="13">
        <f>COUNTIF(defects!$W:$W,Monthly_FY!$B18&amp;Monthly_FY!$B$2&amp;$B$1&amp;Monthly_FY!AO$2)</f>
        <v>0</v>
      </c>
      <c r="AP18" s="13">
        <f>COUNTIF(defects!$W:$W,Monthly_FY!$B18&amp;Monthly_FY!$B$2&amp;$B$1&amp;Monthly_FY!AP$2)</f>
        <v>0</v>
      </c>
      <c r="AQ18" s="13"/>
      <c r="AR18" s="13">
        <f>HLOOKUP(AR$2,Weekly!$3:$25,MATCH($B18,Weekly!$B$3:$B$25,0),0)</f>
        <v>0</v>
      </c>
      <c r="AS18" s="13">
        <f>HLOOKUP(AS$2,Weekly!$3:$25,MATCH($B18,Weekly!$B$3:$B$25,0),0)</f>
        <v>0</v>
      </c>
      <c r="AT18" s="13">
        <f>HLOOKUP(AT$2,Weekly!$3:$25,MATCH($B18,Weekly!$B$3:$B$25,0),0)</f>
        <v>0</v>
      </c>
      <c r="AU18" s="13"/>
      <c r="AV18" s="13">
        <f t="shared" si="19"/>
        <v>0</v>
      </c>
    </row>
    <row r="19" spans="2:48" x14ac:dyDescent="0.35">
      <c r="B19" s="13" t="s">
        <v>1339</v>
      </c>
      <c r="C19" s="13">
        <f t="shared" si="17"/>
        <v>3</v>
      </c>
      <c r="D19" s="13">
        <f t="shared" si="17"/>
        <v>0</v>
      </c>
      <c r="E19" s="13"/>
      <c r="F19" s="13">
        <f>COUNTIF(defects!$W:$W,Monthly_FY!$B19&amp;Monthly_FY!$B$2&amp;$B$1&amp;Monthly_FY!F$2)</f>
        <v>0</v>
      </c>
      <c r="G19" s="13">
        <f>COUNTIF(defects!$W:$W,Monthly_FY!$B19&amp;Monthly_FY!$B$2&amp;$B$1&amp;Monthly_FY!G$2)</f>
        <v>0</v>
      </c>
      <c r="H19" s="13">
        <f>COUNTIF(defects!$W:$W,Monthly_FY!$B19&amp;Monthly_FY!$B$2&amp;$B$1&amp;Monthly_FY!H$2)</f>
        <v>0</v>
      </c>
      <c r="I19" s="13">
        <f>COUNTIF(defects!$W:$W,Monthly_FY!$B19&amp;Monthly_FY!$B$2&amp;$B$1&amp;Monthly_FY!I$2)</f>
        <v>0</v>
      </c>
      <c r="J19" s="13">
        <f>COUNTIF(defects!$W:$W,Monthly_FY!$B19&amp;Monthly_FY!$B$2&amp;$B$1&amp;Monthly_FY!J$2)</f>
        <v>0</v>
      </c>
      <c r="K19" s="13">
        <f>COUNTIF(defects!$W:$W,Monthly_FY!$B19&amp;Monthly_FY!$B$2&amp;$B$1&amp;Monthly_FY!K$2)</f>
        <v>0</v>
      </c>
      <c r="L19" s="13">
        <f>COUNTIF(defects!$W:$W,Monthly_FY!$B19&amp;Monthly_FY!$B$2&amp;$B$1&amp;Monthly_FY!L$2)</f>
        <v>0</v>
      </c>
      <c r="M19" s="13">
        <f>COUNTIF(defects!$W:$W,Monthly_FY!$B19&amp;Monthly_FY!$B$2&amp;$B$1&amp;Monthly_FY!M$2)</f>
        <v>0</v>
      </c>
      <c r="N19" s="13">
        <f>COUNTIF(defects!$W:$W,Monthly_FY!$B19&amp;Monthly_FY!$B$2&amp;$B$1&amp;Monthly_FY!N$2)</f>
        <v>0</v>
      </c>
      <c r="O19" s="13">
        <f>COUNTIF(defects!$W:$W,Monthly_FY!$B19&amp;Monthly_FY!$B$2&amp;$B$1&amp;Monthly_FY!O$2)</f>
        <v>0</v>
      </c>
      <c r="P19" s="13">
        <f>COUNTIF(defects!$W:$W,Monthly_FY!$B19&amp;Monthly_FY!$B$2&amp;$B$1&amp;Monthly_FY!P$2)</f>
        <v>0</v>
      </c>
      <c r="Q19" s="13">
        <f>COUNTIF(defects!$W:$W,Monthly_FY!$B19&amp;Monthly_FY!$B$2&amp;$B$1&amp;Monthly_FY!Q$2)</f>
        <v>0</v>
      </c>
      <c r="R19" s="13">
        <f>COUNTIF(defects!$W:$W,Monthly_FY!$B19&amp;Monthly_FY!$B$2&amp;$B$1&amp;Monthly_FY!R$2)</f>
        <v>0</v>
      </c>
      <c r="S19" s="13">
        <f>COUNTIF(defects!$W:$W,Monthly_FY!$B19&amp;Monthly_FY!$B$2&amp;$B$1&amp;Monthly_FY!S$2)</f>
        <v>0</v>
      </c>
      <c r="T19" s="13">
        <f>COUNTIF(defects!$W:$W,Monthly_FY!$B19&amp;Monthly_FY!$B$2&amp;$B$1&amp;Monthly_FY!T$2)</f>
        <v>0</v>
      </c>
      <c r="U19" s="13">
        <f>COUNTIF(defects!$W:$W,Monthly_FY!$B19&amp;Monthly_FY!$B$2&amp;$B$1&amp;Monthly_FY!U$2)</f>
        <v>0</v>
      </c>
      <c r="V19" s="13">
        <f>COUNTIF(defects!$W:$W,Monthly_FY!$B19&amp;Monthly_FY!$B$2&amp;$B$1&amp;Monthly_FY!V$2)</f>
        <v>1</v>
      </c>
      <c r="W19" s="13">
        <f>COUNTIF(defects!$W:$W,Monthly_FY!$B19&amp;Monthly_FY!$B$2&amp;$B$1&amp;Monthly_FY!W$2)</f>
        <v>0</v>
      </c>
      <c r="X19" s="13">
        <f>COUNTIF(defects!$W:$W,Monthly_FY!$B19&amp;Monthly_FY!$B$2&amp;$B$1&amp;Monthly_FY!X$2)</f>
        <v>1</v>
      </c>
      <c r="Y19" s="13">
        <f>COUNTIF(defects!$W:$W,Monthly_FY!$B19&amp;Monthly_FY!$B$2&amp;$B$1&amp;Monthly_FY!Y$2)</f>
        <v>1</v>
      </c>
      <c r="Z19" s="13">
        <f>COUNTIF(defects!$W:$W,Monthly_FY!$B19&amp;Monthly_FY!$B$2&amp;$B$1&amp;Monthly_FY!Z$2)</f>
        <v>0</v>
      </c>
      <c r="AA19" s="13">
        <f>COUNTIF(defects!$W:$W,Monthly_FY!$B19&amp;Monthly_FY!$B$2&amp;$B$1&amp;Monthly_FY!AA$2)</f>
        <v>0</v>
      </c>
      <c r="AB19" s="13">
        <f>COUNTIF(defects!$W:$W,Monthly_FY!$B19&amp;Monthly_FY!$B$2&amp;$B$1&amp;Monthly_FY!AB$2)</f>
        <v>0</v>
      </c>
      <c r="AC19" s="13">
        <f>COUNTIF(defects!$W:$W,Monthly_FY!$B19&amp;Monthly_FY!$B$2&amp;$B$1&amp;Monthly_FY!AC$2)</f>
        <v>0</v>
      </c>
      <c r="AD19" s="13">
        <f>COUNTIF(defects!$W:$W,Monthly_FY!$B19&amp;Monthly_FY!$B$2&amp;$B$1&amp;Monthly_FY!AD$2)</f>
        <v>0</v>
      </c>
      <c r="AE19" s="13">
        <f>COUNTIF(defects!$W:$W,Monthly_FY!$B19&amp;Monthly_FY!$B$2&amp;$B$1&amp;Monthly_FY!AE$2)</f>
        <v>0</v>
      </c>
      <c r="AF19" s="13">
        <f>COUNTIF(defects!$W:$W,Monthly_FY!$B19&amp;Monthly_FY!$B$2&amp;$B$1&amp;Monthly_FY!AF$2)</f>
        <v>0</v>
      </c>
      <c r="AG19" s="13">
        <f>COUNTIF(defects!$W:$W,Monthly_FY!$B19&amp;Monthly_FY!$B$2&amp;$B$1&amp;Monthly_FY!AG$2)</f>
        <v>0</v>
      </c>
      <c r="AH19" s="13">
        <f>COUNTIF(defects!$W:$W,Monthly_FY!$B19&amp;Monthly_FY!$B$2&amp;$B$1&amp;Monthly_FY!AH$2)</f>
        <v>0</v>
      </c>
      <c r="AI19" s="13">
        <f>COUNTIF(defects!$W:$W,Monthly_FY!$B19&amp;Monthly_FY!$B$2&amp;$B$1&amp;Monthly_FY!AI$2)</f>
        <v>0</v>
      </c>
      <c r="AJ19" s="13">
        <f>COUNTIF(defects!$W:$W,Monthly_FY!$B19&amp;Monthly_FY!$B$2&amp;$B$1&amp;Monthly_FY!AJ$2)</f>
        <v>0</v>
      </c>
      <c r="AK19" s="13">
        <f>COUNTIF(defects!$W:$W,Monthly_FY!$B19&amp;Monthly_FY!$B$2&amp;$B$1&amp;Monthly_FY!AK$2)</f>
        <v>0</v>
      </c>
      <c r="AL19" s="13">
        <f>COUNTIF(defects!$W:$W,Monthly_FY!$B19&amp;Monthly_FY!$B$2&amp;$B$1&amp;Monthly_FY!AL$2)</f>
        <v>0</v>
      </c>
      <c r="AM19" s="13">
        <f>COUNTIF(defects!$W:$W,Monthly_FY!$B19&amp;Monthly_FY!$B$2&amp;$B$1&amp;Monthly_FY!AM$2)</f>
        <v>0</v>
      </c>
      <c r="AN19" s="13">
        <f>COUNTIF(defects!$W:$W,Monthly_FY!$B19&amp;Monthly_FY!$B$2&amp;$B$1&amp;Monthly_FY!AN$2)</f>
        <v>0</v>
      </c>
      <c r="AO19" s="13">
        <f>COUNTIF(defects!$W:$W,Monthly_FY!$B19&amp;Monthly_FY!$B$2&amp;$B$1&amp;Monthly_FY!AO$2)</f>
        <v>0</v>
      </c>
      <c r="AP19" s="13">
        <f>COUNTIF(defects!$W:$W,Monthly_FY!$B19&amp;Monthly_FY!$B$2&amp;$B$1&amp;Monthly_FY!AP$2)</f>
        <v>0</v>
      </c>
      <c r="AQ19" s="13"/>
      <c r="AR19" s="13">
        <f>HLOOKUP(AR$2,Weekly!$3:$25,MATCH($B19,Weekly!$B$3:$B$25,0),0)</f>
        <v>0</v>
      </c>
      <c r="AS19" s="13">
        <f>HLOOKUP(AS$2,Weekly!$3:$25,MATCH($B19,Weekly!$B$3:$B$25,0),0)</f>
        <v>0</v>
      </c>
      <c r="AT19" s="13">
        <f>HLOOKUP(AT$2,Weekly!$3:$25,MATCH($B19,Weekly!$B$3:$B$25,0),0)</f>
        <v>1</v>
      </c>
      <c r="AU19" s="13"/>
      <c r="AV19" s="13">
        <f t="shared" si="19"/>
        <v>3</v>
      </c>
    </row>
    <row r="20" spans="2:48" x14ac:dyDescent="0.35">
      <c r="B20" s="13" t="s">
        <v>1335</v>
      </c>
      <c r="C20" s="13">
        <f t="shared" si="17"/>
        <v>7</v>
      </c>
      <c r="D20" s="13">
        <f t="shared" si="17"/>
        <v>0</v>
      </c>
      <c r="E20" s="13"/>
      <c r="F20" s="13">
        <f>COUNTIF(defects!$W:$W,Monthly_FY!$B20&amp;Monthly_FY!$B$2&amp;$B$1&amp;Monthly_FY!F$2)</f>
        <v>0</v>
      </c>
      <c r="G20" s="13">
        <f>COUNTIF(defects!$W:$W,Monthly_FY!$B20&amp;Monthly_FY!$B$2&amp;$B$1&amp;Monthly_FY!G$2)</f>
        <v>0</v>
      </c>
      <c r="H20" s="13">
        <f>COUNTIF(defects!$W:$W,Monthly_FY!$B20&amp;Monthly_FY!$B$2&amp;$B$1&amp;Monthly_FY!H$2)</f>
        <v>0</v>
      </c>
      <c r="I20" s="13">
        <f>COUNTIF(defects!$W:$W,Monthly_FY!$B20&amp;Monthly_FY!$B$2&amp;$B$1&amp;Monthly_FY!I$2)</f>
        <v>0</v>
      </c>
      <c r="J20" s="13">
        <f>COUNTIF(defects!$W:$W,Monthly_FY!$B20&amp;Monthly_FY!$B$2&amp;$B$1&amp;Monthly_FY!J$2)</f>
        <v>0</v>
      </c>
      <c r="K20" s="13">
        <f>COUNTIF(defects!$W:$W,Monthly_FY!$B20&amp;Monthly_FY!$B$2&amp;$B$1&amp;Monthly_FY!K$2)</f>
        <v>0</v>
      </c>
      <c r="L20" s="13">
        <f>COUNTIF(defects!$W:$W,Monthly_FY!$B20&amp;Monthly_FY!$B$2&amp;$B$1&amp;Monthly_FY!L$2)</f>
        <v>0</v>
      </c>
      <c r="M20" s="13">
        <f>COUNTIF(defects!$W:$W,Monthly_FY!$B20&amp;Monthly_FY!$B$2&amp;$B$1&amp;Monthly_FY!M$2)</f>
        <v>0</v>
      </c>
      <c r="N20" s="13">
        <f>COUNTIF(defects!$W:$W,Monthly_FY!$B20&amp;Monthly_FY!$B$2&amp;$B$1&amp;Monthly_FY!N$2)</f>
        <v>0</v>
      </c>
      <c r="O20" s="13">
        <f>COUNTIF(defects!$W:$W,Monthly_FY!$B20&amp;Monthly_FY!$B$2&amp;$B$1&amp;Monthly_FY!O$2)</f>
        <v>0</v>
      </c>
      <c r="P20" s="13">
        <f>COUNTIF(defects!$W:$W,Monthly_FY!$B20&amp;Monthly_FY!$B$2&amp;$B$1&amp;Monthly_FY!P$2)</f>
        <v>0</v>
      </c>
      <c r="Q20" s="13">
        <f>COUNTIF(defects!$W:$W,Monthly_FY!$B20&amp;Monthly_FY!$B$2&amp;$B$1&amp;Monthly_FY!Q$2)</f>
        <v>0</v>
      </c>
      <c r="R20" s="13">
        <f>COUNTIF(defects!$W:$W,Monthly_FY!$B20&amp;Monthly_FY!$B$2&amp;$B$1&amp;Monthly_FY!R$2)</f>
        <v>0</v>
      </c>
      <c r="S20" s="13">
        <f>COUNTIF(defects!$W:$W,Monthly_FY!$B20&amp;Monthly_FY!$B$2&amp;$B$1&amp;Monthly_FY!S$2)</f>
        <v>0</v>
      </c>
      <c r="T20" s="13">
        <f>COUNTIF(defects!$W:$W,Monthly_FY!$B20&amp;Monthly_FY!$B$2&amp;$B$1&amp;Monthly_FY!T$2)</f>
        <v>0</v>
      </c>
      <c r="U20" s="13">
        <f>COUNTIF(defects!$W:$W,Monthly_FY!$B20&amp;Monthly_FY!$B$2&amp;$B$1&amp;Monthly_FY!U$2)</f>
        <v>2</v>
      </c>
      <c r="V20" s="13">
        <f>COUNTIF(defects!$W:$W,Monthly_FY!$B20&amp;Monthly_FY!$B$2&amp;$B$1&amp;Monthly_FY!V$2)</f>
        <v>1</v>
      </c>
      <c r="W20" s="13">
        <f>COUNTIF(defects!$W:$W,Monthly_FY!$B20&amp;Monthly_FY!$B$2&amp;$B$1&amp;Monthly_FY!W$2)</f>
        <v>1</v>
      </c>
      <c r="X20" s="13">
        <f>COUNTIF(defects!$W:$W,Monthly_FY!$B20&amp;Monthly_FY!$B$2&amp;$B$1&amp;Monthly_FY!X$2)</f>
        <v>0</v>
      </c>
      <c r="Y20" s="13">
        <f>COUNTIF(defects!$W:$W,Monthly_FY!$B20&amp;Monthly_FY!$B$2&amp;$B$1&amp;Monthly_FY!Y$2)</f>
        <v>3</v>
      </c>
      <c r="Z20" s="13">
        <f>COUNTIF(defects!$W:$W,Monthly_FY!$B20&amp;Monthly_FY!$B$2&amp;$B$1&amp;Monthly_FY!Z$2)</f>
        <v>0</v>
      </c>
      <c r="AA20" s="13">
        <f>COUNTIF(defects!$W:$W,Monthly_FY!$B20&amp;Monthly_FY!$B$2&amp;$B$1&amp;Monthly_FY!AA$2)</f>
        <v>0</v>
      </c>
      <c r="AB20" s="13">
        <f>COUNTIF(defects!$W:$W,Monthly_FY!$B20&amp;Monthly_FY!$B$2&amp;$B$1&amp;Monthly_FY!AB$2)</f>
        <v>0</v>
      </c>
      <c r="AC20" s="13">
        <f>COUNTIF(defects!$W:$W,Monthly_FY!$B20&amp;Monthly_FY!$B$2&amp;$B$1&amp;Monthly_FY!AC$2)</f>
        <v>0</v>
      </c>
      <c r="AD20" s="13">
        <f>COUNTIF(defects!$W:$W,Monthly_FY!$B20&amp;Monthly_FY!$B$2&amp;$B$1&amp;Monthly_FY!AD$2)</f>
        <v>0</v>
      </c>
      <c r="AE20" s="13">
        <f>COUNTIF(defects!$W:$W,Monthly_FY!$B20&amp;Monthly_FY!$B$2&amp;$B$1&amp;Monthly_FY!AE$2)</f>
        <v>0</v>
      </c>
      <c r="AF20" s="13">
        <f>COUNTIF(defects!$W:$W,Monthly_FY!$B20&amp;Monthly_FY!$B$2&amp;$B$1&amp;Monthly_FY!AF$2)</f>
        <v>0</v>
      </c>
      <c r="AG20" s="13">
        <f>COUNTIF(defects!$W:$W,Monthly_FY!$B20&amp;Monthly_FY!$B$2&amp;$B$1&amp;Monthly_FY!AG$2)</f>
        <v>0</v>
      </c>
      <c r="AH20" s="13">
        <f>COUNTIF(defects!$W:$W,Monthly_FY!$B20&amp;Monthly_FY!$B$2&amp;$B$1&amp;Monthly_FY!AH$2)</f>
        <v>0</v>
      </c>
      <c r="AI20" s="13">
        <f>COUNTIF(defects!$W:$W,Monthly_FY!$B20&amp;Monthly_FY!$B$2&amp;$B$1&amp;Monthly_FY!AI$2)</f>
        <v>0</v>
      </c>
      <c r="AJ20" s="13">
        <f>COUNTIF(defects!$W:$W,Monthly_FY!$B20&amp;Monthly_FY!$B$2&amp;$B$1&amp;Monthly_FY!AJ$2)</f>
        <v>0</v>
      </c>
      <c r="AK20" s="13">
        <f>COUNTIF(defects!$W:$W,Monthly_FY!$B20&amp;Monthly_FY!$B$2&amp;$B$1&amp;Monthly_FY!AK$2)</f>
        <v>0</v>
      </c>
      <c r="AL20" s="13">
        <f>COUNTIF(defects!$W:$W,Monthly_FY!$B20&amp;Monthly_FY!$B$2&amp;$B$1&amp;Monthly_FY!AL$2)</f>
        <v>0</v>
      </c>
      <c r="AM20" s="13">
        <f>COUNTIF(defects!$W:$W,Monthly_FY!$B20&amp;Monthly_FY!$B$2&amp;$B$1&amp;Monthly_FY!AM$2)</f>
        <v>0</v>
      </c>
      <c r="AN20" s="13">
        <f>COUNTIF(defects!$W:$W,Monthly_FY!$B20&amp;Monthly_FY!$B$2&amp;$B$1&amp;Monthly_FY!AN$2)</f>
        <v>0</v>
      </c>
      <c r="AO20" s="13">
        <f>COUNTIF(defects!$W:$W,Monthly_FY!$B20&amp;Monthly_FY!$B$2&amp;$B$1&amp;Monthly_FY!AO$2)</f>
        <v>0</v>
      </c>
      <c r="AP20" s="13">
        <f>COUNTIF(defects!$W:$W,Monthly_FY!$B20&amp;Monthly_FY!$B$2&amp;$B$1&amp;Monthly_FY!AP$2)</f>
        <v>0</v>
      </c>
      <c r="AQ20" s="13"/>
      <c r="AR20" s="13">
        <f>HLOOKUP(AR$2,Weekly!$3:$25,MATCH($B20,Weekly!$B$3:$B$25,0),0)</f>
        <v>0</v>
      </c>
      <c r="AS20" s="13">
        <f>HLOOKUP(AS$2,Weekly!$3:$25,MATCH($B20,Weekly!$B$3:$B$25,0),0)</f>
        <v>0</v>
      </c>
      <c r="AT20" s="13">
        <f>HLOOKUP(AT$2,Weekly!$3:$25,MATCH($B20,Weekly!$B$3:$B$25,0),0)</f>
        <v>3</v>
      </c>
      <c r="AU20" s="13"/>
      <c r="AV20" s="13">
        <f t="shared" si="19"/>
        <v>7</v>
      </c>
    </row>
    <row r="21" spans="2:48" x14ac:dyDescent="0.35">
      <c r="B21" s="13" t="s">
        <v>1346</v>
      </c>
      <c r="C21" s="13">
        <f t="shared" si="17"/>
        <v>17</v>
      </c>
      <c r="D21" s="13">
        <f t="shared" si="17"/>
        <v>0</v>
      </c>
      <c r="E21" s="13"/>
      <c r="F21" s="13">
        <f>COUNTIF(defects!$W:$W,Monthly_FY!$B21&amp;Monthly_FY!$B$2&amp;$B$1&amp;Monthly_FY!F$2)</f>
        <v>0</v>
      </c>
      <c r="G21" s="13">
        <f>COUNTIF(defects!$W:$W,Monthly_FY!$B21&amp;Monthly_FY!$B$2&amp;$B$1&amp;Monthly_FY!G$2)</f>
        <v>0</v>
      </c>
      <c r="H21" s="13">
        <f>COUNTIF(defects!$W:$W,Monthly_FY!$B21&amp;Monthly_FY!$B$2&amp;$B$1&amp;Monthly_FY!H$2)</f>
        <v>0</v>
      </c>
      <c r="I21" s="13">
        <f>COUNTIF(defects!$W:$W,Monthly_FY!$B21&amp;Monthly_FY!$B$2&amp;$B$1&amp;Monthly_FY!I$2)</f>
        <v>0</v>
      </c>
      <c r="J21" s="13">
        <f>COUNTIF(defects!$W:$W,Monthly_FY!$B21&amp;Monthly_FY!$B$2&amp;$B$1&amp;Monthly_FY!J$2)</f>
        <v>0</v>
      </c>
      <c r="K21" s="13">
        <f>COUNTIF(defects!$W:$W,Monthly_FY!$B21&amp;Monthly_FY!$B$2&amp;$B$1&amp;Monthly_FY!K$2)</f>
        <v>0</v>
      </c>
      <c r="L21" s="13">
        <f>COUNTIF(defects!$W:$W,Monthly_FY!$B21&amp;Monthly_FY!$B$2&amp;$B$1&amp;Monthly_FY!L$2)</f>
        <v>0</v>
      </c>
      <c r="M21" s="13">
        <f>COUNTIF(defects!$W:$W,Monthly_FY!$B21&amp;Monthly_FY!$B$2&amp;$B$1&amp;Monthly_FY!M$2)</f>
        <v>0</v>
      </c>
      <c r="N21" s="13">
        <f>COUNTIF(defects!$W:$W,Monthly_FY!$B21&amp;Monthly_FY!$B$2&amp;$B$1&amp;Monthly_FY!N$2)</f>
        <v>0</v>
      </c>
      <c r="O21" s="13">
        <f>COUNTIF(defects!$W:$W,Monthly_FY!$B21&amp;Monthly_FY!$B$2&amp;$B$1&amp;Monthly_FY!O$2)</f>
        <v>0</v>
      </c>
      <c r="P21" s="13">
        <f>COUNTIF(defects!$W:$W,Monthly_FY!$B21&amp;Monthly_FY!$B$2&amp;$B$1&amp;Monthly_FY!P$2)</f>
        <v>0</v>
      </c>
      <c r="Q21" s="13">
        <f>COUNTIF(defects!$W:$W,Monthly_FY!$B21&amp;Monthly_FY!$B$2&amp;$B$1&amp;Monthly_FY!Q$2)</f>
        <v>0</v>
      </c>
      <c r="R21" s="13">
        <f>COUNTIF(defects!$W:$W,Monthly_FY!$B21&amp;Monthly_FY!$B$2&amp;$B$1&amp;Monthly_FY!R$2)</f>
        <v>0</v>
      </c>
      <c r="S21" s="13">
        <f>COUNTIF(defects!$W:$W,Monthly_FY!$B21&amp;Monthly_FY!$B$2&amp;$B$1&amp;Monthly_FY!S$2)</f>
        <v>0</v>
      </c>
      <c r="T21" s="13">
        <f>COUNTIF(defects!$W:$W,Monthly_FY!$B21&amp;Monthly_FY!$B$2&amp;$B$1&amp;Monthly_FY!T$2)</f>
        <v>1</v>
      </c>
      <c r="U21" s="13">
        <f>COUNTIF(defects!$W:$W,Monthly_FY!$B21&amp;Monthly_FY!$B$2&amp;$B$1&amp;Monthly_FY!U$2)</f>
        <v>1</v>
      </c>
      <c r="V21" s="13">
        <f>COUNTIF(defects!$W:$W,Monthly_FY!$B21&amp;Monthly_FY!$B$2&amp;$B$1&amp;Monthly_FY!V$2)</f>
        <v>1</v>
      </c>
      <c r="W21" s="13">
        <f>COUNTIF(defects!$W:$W,Monthly_FY!$B21&amp;Monthly_FY!$B$2&amp;$B$1&amp;Monthly_FY!W$2)</f>
        <v>3</v>
      </c>
      <c r="X21" s="13">
        <f>COUNTIF(defects!$W:$W,Monthly_FY!$B21&amp;Monthly_FY!$B$2&amp;$B$1&amp;Monthly_FY!X$2)</f>
        <v>7</v>
      </c>
      <c r="Y21" s="13">
        <f>COUNTIF(defects!$W:$W,Monthly_FY!$B21&amp;Monthly_FY!$B$2&amp;$B$1&amp;Monthly_FY!Y$2)</f>
        <v>4</v>
      </c>
      <c r="Z21" s="13">
        <f>COUNTIF(defects!$W:$W,Monthly_FY!$B21&amp;Monthly_FY!$B$2&amp;$B$1&amp;Monthly_FY!Z$2)</f>
        <v>0</v>
      </c>
      <c r="AA21" s="13">
        <f>COUNTIF(defects!$W:$W,Monthly_FY!$B21&amp;Monthly_FY!$B$2&amp;$B$1&amp;Monthly_FY!AA$2)</f>
        <v>0</v>
      </c>
      <c r="AB21" s="13">
        <f>COUNTIF(defects!$W:$W,Monthly_FY!$B21&amp;Monthly_FY!$B$2&amp;$B$1&amp;Monthly_FY!AB$2)</f>
        <v>0</v>
      </c>
      <c r="AC21" s="13">
        <f>COUNTIF(defects!$W:$W,Monthly_FY!$B21&amp;Monthly_FY!$B$2&amp;$B$1&amp;Monthly_FY!AC$2)</f>
        <v>0</v>
      </c>
      <c r="AD21" s="13">
        <f>COUNTIF(defects!$W:$W,Monthly_FY!$B21&amp;Monthly_FY!$B$2&amp;$B$1&amp;Monthly_FY!AD$2)</f>
        <v>0</v>
      </c>
      <c r="AE21" s="13">
        <f>COUNTIF(defects!$W:$W,Monthly_FY!$B21&amp;Monthly_FY!$B$2&amp;$B$1&amp;Monthly_FY!AE$2)</f>
        <v>0</v>
      </c>
      <c r="AF21" s="13">
        <f>COUNTIF(defects!$W:$W,Monthly_FY!$B21&amp;Monthly_FY!$B$2&amp;$B$1&amp;Monthly_FY!AF$2)</f>
        <v>0</v>
      </c>
      <c r="AG21" s="13">
        <f>COUNTIF(defects!$W:$W,Monthly_FY!$B21&amp;Monthly_FY!$B$2&amp;$B$1&amp;Monthly_FY!AG$2)</f>
        <v>0</v>
      </c>
      <c r="AH21" s="13">
        <f>COUNTIF(defects!$W:$W,Monthly_FY!$B21&amp;Monthly_FY!$B$2&amp;$B$1&amp;Monthly_FY!AH$2)</f>
        <v>0</v>
      </c>
      <c r="AI21" s="13">
        <f>COUNTIF(defects!$W:$W,Monthly_FY!$B21&amp;Monthly_FY!$B$2&amp;$B$1&amp;Monthly_FY!AI$2)</f>
        <v>0</v>
      </c>
      <c r="AJ21" s="13">
        <f>COUNTIF(defects!$W:$W,Monthly_FY!$B21&amp;Monthly_FY!$B$2&amp;$B$1&amp;Monthly_FY!AJ$2)</f>
        <v>0</v>
      </c>
      <c r="AK21" s="13">
        <f>COUNTIF(defects!$W:$W,Monthly_FY!$B21&amp;Monthly_FY!$B$2&amp;$B$1&amp;Monthly_FY!AK$2)</f>
        <v>0</v>
      </c>
      <c r="AL21" s="13">
        <f>COUNTIF(defects!$W:$W,Monthly_FY!$B21&amp;Monthly_FY!$B$2&amp;$B$1&amp;Monthly_FY!AL$2)</f>
        <v>0</v>
      </c>
      <c r="AM21" s="13">
        <f>COUNTIF(defects!$W:$W,Monthly_FY!$B21&amp;Monthly_FY!$B$2&amp;$B$1&amp;Monthly_FY!AM$2)</f>
        <v>0</v>
      </c>
      <c r="AN21" s="13">
        <f>COUNTIF(defects!$W:$W,Monthly_FY!$B21&amp;Monthly_FY!$B$2&amp;$B$1&amp;Monthly_FY!AN$2)</f>
        <v>0</v>
      </c>
      <c r="AO21" s="13">
        <f>COUNTIF(defects!$W:$W,Monthly_FY!$B21&amp;Monthly_FY!$B$2&amp;$B$1&amp;Monthly_FY!AO$2)</f>
        <v>0</v>
      </c>
      <c r="AP21" s="13">
        <f>COUNTIF(defects!$W:$W,Monthly_FY!$B21&amp;Monthly_FY!$B$2&amp;$B$1&amp;Monthly_FY!AP$2)</f>
        <v>0</v>
      </c>
      <c r="AQ21" s="13"/>
      <c r="AR21" s="13">
        <f>HLOOKUP(AR$2,Weekly!$3:$25,MATCH($B21,Weekly!$B$3:$B$25,0),0)</f>
        <v>0</v>
      </c>
      <c r="AS21" s="13">
        <f>HLOOKUP(AS$2,Weekly!$3:$25,MATCH($B21,Weekly!$B$3:$B$25,0),0)</f>
        <v>2</v>
      </c>
      <c r="AT21" s="13">
        <f>HLOOKUP(AT$2,Weekly!$3:$25,MATCH($B21,Weekly!$B$3:$B$25,0),0)</f>
        <v>2</v>
      </c>
      <c r="AU21" s="13"/>
      <c r="AV21" s="13">
        <f t="shared" si="19"/>
        <v>17</v>
      </c>
    </row>
    <row r="22" spans="2:48" x14ac:dyDescent="0.35">
      <c r="B22" s="13" t="s">
        <v>1338</v>
      </c>
      <c r="C22" s="13">
        <f t="shared" si="17"/>
        <v>2</v>
      </c>
      <c r="D22" s="13">
        <f t="shared" si="17"/>
        <v>0</v>
      </c>
      <c r="E22" s="13"/>
      <c r="F22" s="13">
        <f>COUNTIF(defects!$W:$W,Monthly_FY!$B22&amp;Monthly_FY!$B$2&amp;$B$1&amp;Monthly_FY!F$2)</f>
        <v>0</v>
      </c>
      <c r="G22" s="13">
        <f>COUNTIF(defects!$W:$W,Monthly_FY!$B22&amp;Monthly_FY!$B$2&amp;$B$1&amp;Monthly_FY!G$2)</f>
        <v>0</v>
      </c>
      <c r="H22" s="13">
        <f>COUNTIF(defects!$W:$W,Monthly_FY!$B22&amp;Monthly_FY!$B$2&amp;$B$1&amp;Monthly_FY!H$2)</f>
        <v>0</v>
      </c>
      <c r="I22" s="13">
        <f>COUNTIF(defects!$W:$W,Monthly_FY!$B22&amp;Monthly_FY!$B$2&amp;$B$1&amp;Monthly_FY!I$2)</f>
        <v>0</v>
      </c>
      <c r="J22" s="13">
        <f>COUNTIF(defects!$W:$W,Monthly_FY!$B22&amp;Monthly_FY!$B$2&amp;$B$1&amp;Monthly_FY!J$2)</f>
        <v>0</v>
      </c>
      <c r="K22" s="13">
        <f>COUNTIF(defects!$W:$W,Monthly_FY!$B22&amp;Monthly_FY!$B$2&amp;$B$1&amp;Monthly_FY!K$2)</f>
        <v>0</v>
      </c>
      <c r="L22" s="13">
        <f>COUNTIF(defects!$W:$W,Monthly_FY!$B22&amp;Monthly_FY!$B$2&amp;$B$1&amp;Monthly_FY!L$2)</f>
        <v>0</v>
      </c>
      <c r="M22" s="13">
        <f>COUNTIF(defects!$W:$W,Monthly_FY!$B22&amp;Monthly_FY!$B$2&amp;$B$1&amp;Monthly_FY!M$2)</f>
        <v>0</v>
      </c>
      <c r="N22" s="13">
        <f>COUNTIF(defects!$W:$W,Monthly_FY!$B22&amp;Monthly_FY!$B$2&amp;$B$1&amp;Monthly_FY!N$2)</f>
        <v>0</v>
      </c>
      <c r="O22" s="13">
        <f>COUNTIF(defects!$W:$W,Monthly_FY!$B22&amp;Monthly_FY!$B$2&amp;$B$1&amp;Monthly_FY!O$2)</f>
        <v>0</v>
      </c>
      <c r="P22" s="13">
        <f>COUNTIF(defects!$W:$W,Monthly_FY!$B22&amp;Monthly_FY!$B$2&amp;$B$1&amp;Monthly_FY!P$2)</f>
        <v>0</v>
      </c>
      <c r="Q22" s="13">
        <f>COUNTIF(defects!$W:$W,Monthly_FY!$B22&amp;Monthly_FY!$B$2&amp;$B$1&amp;Monthly_FY!Q$2)</f>
        <v>0</v>
      </c>
      <c r="R22" s="13">
        <f>COUNTIF(defects!$W:$W,Monthly_FY!$B22&amp;Monthly_FY!$B$2&amp;$B$1&amp;Monthly_FY!R$2)</f>
        <v>0</v>
      </c>
      <c r="S22" s="13">
        <f>COUNTIF(defects!$W:$W,Monthly_FY!$B22&amp;Monthly_FY!$B$2&amp;$B$1&amp;Monthly_FY!S$2)</f>
        <v>0</v>
      </c>
      <c r="T22" s="13">
        <f>COUNTIF(defects!$W:$W,Monthly_FY!$B22&amp;Monthly_FY!$B$2&amp;$B$1&amp;Monthly_FY!T$2)</f>
        <v>0</v>
      </c>
      <c r="U22" s="13">
        <f>COUNTIF(defects!$W:$W,Monthly_FY!$B22&amp;Monthly_FY!$B$2&amp;$B$1&amp;Monthly_FY!U$2)</f>
        <v>1</v>
      </c>
      <c r="V22" s="13">
        <f>COUNTIF(defects!$W:$W,Monthly_FY!$B22&amp;Monthly_FY!$B$2&amp;$B$1&amp;Monthly_FY!V$2)</f>
        <v>1</v>
      </c>
      <c r="W22" s="13">
        <f>COUNTIF(defects!$W:$W,Monthly_FY!$B22&amp;Monthly_FY!$B$2&amp;$B$1&amp;Monthly_FY!W$2)</f>
        <v>0</v>
      </c>
      <c r="X22" s="13">
        <f>COUNTIF(defects!$W:$W,Monthly_FY!$B22&amp;Monthly_FY!$B$2&amp;$B$1&amp;Monthly_FY!X$2)</f>
        <v>0</v>
      </c>
      <c r="Y22" s="13">
        <f>COUNTIF(defects!$W:$W,Monthly_FY!$B22&amp;Monthly_FY!$B$2&amp;$B$1&amp;Monthly_FY!Y$2)</f>
        <v>0</v>
      </c>
      <c r="Z22" s="13">
        <f>COUNTIF(defects!$W:$W,Monthly_FY!$B22&amp;Monthly_FY!$B$2&amp;$B$1&amp;Monthly_FY!Z$2)</f>
        <v>0</v>
      </c>
      <c r="AA22" s="13">
        <f>COUNTIF(defects!$W:$W,Monthly_FY!$B22&amp;Monthly_FY!$B$2&amp;$B$1&amp;Monthly_FY!AA$2)</f>
        <v>0</v>
      </c>
      <c r="AB22" s="13">
        <f>COUNTIF(defects!$W:$W,Monthly_FY!$B22&amp;Monthly_FY!$B$2&amp;$B$1&amp;Monthly_FY!AB$2)</f>
        <v>0</v>
      </c>
      <c r="AC22" s="13">
        <f>COUNTIF(defects!$W:$W,Monthly_FY!$B22&amp;Monthly_FY!$B$2&amp;$B$1&amp;Monthly_FY!AC$2)</f>
        <v>0</v>
      </c>
      <c r="AD22" s="13">
        <f>COUNTIF(defects!$W:$W,Monthly_FY!$B22&amp;Monthly_FY!$B$2&amp;$B$1&amp;Monthly_FY!AD$2)</f>
        <v>0</v>
      </c>
      <c r="AE22" s="13">
        <f>COUNTIF(defects!$W:$W,Monthly_FY!$B22&amp;Monthly_FY!$B$2&amp;$B$1&amp;Monthly_FY!AE$2)</f>
        <v>0</v>
      </c>
      <c r="AF22" s="13">
        <f>COUNTIF(defects!$W:$W,Monthly_FY!$B22&amp;Monthly_FY!$B$2&amp;$B$1&amp;Monthly_FY!AF$2)</f>
        <v>0</v>
      </c>
      <c r="AG22" s="13">
        <f>COUNTIF(defects!$W:$W,Monthly_FY!$B22&amp;Monthly_FY!$B$2&amp;$B$1&amp;Monthly_FY!AG$2)</f>
        <v>0</v>
      </c>
      <c r="AH22" s="13">
        <f>COUNTIF(defects!$W:$W,Monthly_FY!$B22&amp;Monthly_FY!$B$2&amp;$B$1&amp;Monthly_FY!AH$2)</f>
        <v>0</v>
      </c>
      <c r="AI22" s="13">
        <f>COUNTIF(defects!$W:$W,Monthly_FY!$B22&amp;Monthly_FY!$B$2&amp;$B$1&amp;Monthly_FY!AI$2)</f>
        <v>0</v>
      </c>
      <c r="AJ22" s="13">
        <f>COUNTIF(defects!$W:$W,Monthly_FY!$B22&amp;Monthly_FY!$B$2&amp;$B$1&amp;Monthly_FY!AJ$2)</f>
        <v>0</v>
      </c>
      <c r="AK22" s="13">
        <f>COUNTIF(defects!$W:$W,Monthly_FY!$B22&amp;Monthly_FY!$B$2&amp;$B$1&amp;Monthly_FY!AK$2)</f>
        <v>0</v>
      </c>
      <c r="AL22" s="13">
        <f>COUNTIF(defects!$W:$W,Monthly_FY!$B22&amp;Monthly_FY!$B$2&amp;$B$1&amp;Monthly_FY!AL$2)</f>
        <v>0</v>
      </c>
      <c r="AM22" s="13">
        <f>COUNTIF(defects!$W:$W,Monthly_FY!$B22&amp;Monthly_FY!$B$2&amp;$B$1&amp;Monthly_FY!AM$2)</f>
        <v>0</v>
      </c>
      <c r="AN22" s="13">
        <f>COUNTIF(defects!$W:$W,Monthly_FY!$B22&amp;Monthly_FY!$B$2&amp;$B$1&amp;Monthly_FY!AN$2)</f>
        <v>0</v>
      </c>
      <c r="AO22" s="13">
        <f>COUNTIF(defects!$W:$W,Monthly_FY!$B22&amp;Monthly_FY!$B$2&amp;$B$1&amp;Monthly_FY!AO$2)</f>
        <v>0</v>
      </c>
      <c r="AP22" s="13">
        <f>COUNTIF(defects!$W:$W,Monthly_FY!$B22&amp;Monthly_FY!$B$2&amp;$B$1&amp;Monthly_FY!AP$2)</f>
        <v>0</v>
      </c>
      <c r="AQ22" s="13"/>
      <c r="AR22" s="13">
        <f>HLOOKUP(AR$2,Weekly!$3:$25,MATCH($B22,Weekly!$B$3:$B$25,0),0)</f>
        <v>0</v>
      </c>
      <c r="AS22" s="13">
        <f>HLOOKUP(AS$2,Weekly!$3:$25,MATCH($B22,Weekly!$B$3:$B$25,0),0)</f>
        <v>0</v>
      </c>
      <c r="AT22" s="13">
        <f>HLOOKUP(AT$2,Weekly!$3:$25,MATCH($B22,Weekly!$B$3:$B$25,0),0)</f>
        <v>0</v>
      </c>
      <c r="AU22" s="13"/>
      <c r="AV22" s="13">
        <f t="shared" si="19"/>
        <v>2</v>
      </c>
    </row>
    <row r="23" spans="2:48" x14ac:dyDescent="0.35">
      <c r="B23" s="13" t="s">
        <v>1384</v>
      </c>
      <c r="C23" s="13">
        <f t="shared" si="17"/>
        <v>0</v>
      </c>
      <c r="D23" s="13">
        <f t="shared" si="17"/>
        <v>0</v>
      </c>
      <c r="E23" s="13"/>
      <c r="F23" s="13">
        <f>COUNTIF(defects!$W:$W,Monthly_FY!$B23&amp;Monthly_FY!$B$2&amp;$B$1&amp;Monthly_FY!F$2)</f>
        <v>0</v>
      </c>
      <c r="G23" s="13">
        <f>COUNTIF(defects!$W:$W,Monthly_FY!$B23&amp;Monthly_FY!$B$2&amp;$B$1&amp;Monthly_FY!G$2)</f>
        <v>0</v>
      </c>
      <c r="H23" s="13">
        <f>COUNTIF(defects!$W:$W,Monthly_FY!$B23&amp;Monthly_FY!$B$2&amp;$B$1&amp;Monthly_FY!H$2)</f>
        <v>0</v>
      </c>
      <c r="I23" s="13">
        <f>COUNTIF(defects!$W:$W,Monthly_FY!$B23&amp;Monthly_FY!$B$2&amp;$B$1&amp;Monthly_FY!I$2)</f>
        <v>0</v>
      </c>
      <c r="J23" s="13">
        <f>COUNTIF(defects!$W:$W,Monthly_FY!$B23&amp;Monthly_FY!$B$2&amp;$B$1&amp;Monthly_FY!J$2)</f>
        <v>0</v>
      </c>
      <c r="K23" s="13">
        <f>COUNTIF(defects!$W:$W,Monthly_FY!$B23&amp;Monthly_FY!$B$2&amp;$B$1&amp;Monthly_FY!K$2)</f>
        <v>0</v>
      </c>
      <c r="L23" s="13">
        <f>COUNTIF(defects!$W:$W,Monthly_FY!$B23&amp;Monthly_FY!$B$2&amp;$B$1&amp;Monthly_FY!L$2)</f>
        <v>0</v>
      </c>
      <c r="M23" s="13">
        <f>COUNTIF(defects!$W:$W,Monthly_FY!$B23&amp;Monthly_FY!$B$2&amp;$B$1&amp;Monthly_FY!M$2)</f>
        <v>0</v>
      </c>
      <c r="N23" s="13">
        <f>COUNTIF(defects!$W:$W,Monthly_FY!$B23&amp;Monthly_FY!$B$2&amp;$B$1&amp;Monthly_FY!N$2)</f>
        <v>0</v>
      </c>
      <c r="O23" s="13">
        <f>COUNTIF(defects!$W:$W,Monthly_FY!$B23&amp;Monthly_FY!$B$2&amp;$B$1&amp;Monthly_FY!O$2)</f>
        <v>0</v>
      </c>
      <c r="P23" s="13">
        <f>COUNTIF(defects!$W:$W,Monthly_FY!$B23&amp;Monthly_FY!$B$2&amp;$B$1&amp;Monthly_FY!P$2)</f>
        <v>0</v>
      </c>
      <c r="Q23" s="13">
        <f>COUNTIF(defects!$W:$W,Monthly_FY!$B23&amp;Monthly_FY!$B$2&amp;$B$1&amp;Monthly_FY!Q$2)</f>
        <v>0</v>
      </c>
      <c r="R23" s="13">
        <f>COUNTIF(defects!$W:$W,Monthly_FY!$B23&amp;Monthly_FY!$B$2&amp;$B$1&amp;Monthly_FY!R$2)</f>
        <v>0</v>
      </c>
      <c r="S23" s="13">
        <f>COUNTIF(defects!$W:$W,Monthly_FY!$B23&amp;Monthly_FY!$B$2&amp;$B$1&amp;Monthly_FY!S$2)</f>
        <v>0</v>
      </c>
      <c r="T23" s="13">
        <f>COUNTIF(defects!$W:$W,Monthly_FY!$B23&amp;Monthly_FY!$B$2&amp;$B$1&amp;Monthly_FY!T$2)</f>
        <v>0</v>
      </c>
      <c r="U23" s="13">
        <f>COUNTIF(defects!$W:$W,Monthly_FY!$B23&amp;Monthly_FY!$B$2&amp;$B$1&amp;Monthly_FY!U$2)</f>
        <v>0</v>
      </c>
      <c r="V23" s="13">
        <f>COUNTIF(defects!$W:$W,Monthly_FY!$B23&amp;Monthly_FY!$B$2&amp;$B$1&amp;Monthly_FY!V$2)</f>
        <v>0</v>
      </c>
      <c r="W23" s="13">
        <f>COUNTIF(defects!$W:$W,Monthly_FY!$B23&amp;Monthly_FY!$B$2&amp;$B$1&amp;Monthly_FY!W$2)</f>
        <v>0</v>
      </c>
      <c r="X23" s="13">
        <f>COUNTIF(defects!$W:$W,Monthly_FY!$B23&amp;Monthly_FY!$B$2&amp;$B$1&amp;Monthly_FY!X$2)</f>
        <v>0</v>
      </c>
      <c r="Y23" s="13">
        <f>COUNTIF(defects!$W:$W,Monthly_FY!$B23&amp;Monthly_FY!$B$2&amp;$B$1&amp;Monthly_FY!Y$2)</f>
        <v>0</v>
      </c>
      <c r="Z23" s="13">
        <f>COUNTIF(defects!$W:$W,Monthly_FY!$B23&amp;Monthly_FY!$B$2&amp;$B$1&amp;Monthly_FY!Z$2)</f>
        <v>0</v>
      </c>
      <c r="AA23" s="13">
        <f>COUNTIF(defects!$W:$W,Monthly_FY!$B23&amp;Monthly_FY!$B$2&amp;$B$1&amp;Monthly_FY!AA$2)</f>
        <v>0</v>
      </c>
      <c r="AB23" s="13">
        <f>COUNTIF(defects!$W:$W,Monthly_FY!$B23&amp;Monthly_FY!$B$2&amp;$B$1&amp;Monthly_FY!AB$2)</f>
        <v>0</v>
      </c>
      <c r="AC23" s="13">
        <f>COUNTIF(defects!$W:$W,Monthly_FY!$B23&amp;Monthly_FY!$B$2&amp;$B$1&amp;Monthly_FY!AC$2)</f>
        <v>0</v>
      </c>
      <c r="AD23" s="13">
        <f>COUNTIF(defects!$W:$W,Monthly_FY!$B23&amp;Monthly_FY!$B$2&amp;$B$1&amp;Monthly_FY!AD$2)</f>
        <v>0</v>
      </c>
      <c r="AE23" s="13">
        <f>COUNTIF(defects!$W:$W,Monthly_FY!$B23&amp;Monthly_FY!$B$2&amp;$B$1&amp;Monthly_FY!AE$2)</f>
        <v>0</v>
      </c>
      <c r="AF23" s="13">
        <f>COUNTIF(defects!$W:$W,Monthly_FY!$B23&amp;Monthly_FY!$B$2&amp;$B$1&amp;Monthly_FY!AF$2)</f>
        <v>0</v>
      </c>
      <c r="AG23" s="13">
        <f>COUNTIF(defects!$W:$W,Monthly_FY!$B23&amp;Monthly_FY!$B$2&amp;$B$1&amp;Monthly_FY!AG$2)</f>
        <v>0</v>
      </c>
      <c r="AH23" s="13">
        <f>COUNTIF(defects!$W:$W,Monthly_FY!$B23&amp;Monthly_FY!$B$2&amp;$B$1&amp;Monthly_FY!AH$2)</f>
        <v>0</v>
      </c>
      <c r="AI23" s="13">
        <f>COUNTIF(defects!$W:$W,Monthly_FY!$B23&amp;Monthly_FY!$B$2&amp;$B$1&amp;Monthly_FY!AI$2)</f>
        <v>0</v>
      </c>
      <c r="AJ23" s="13">
        <f>COUNTIF(defects!$W:$W,Monthly_FY!$B23&amp;Monthly_FY!$B$2&amp;$B$1&amp;Monthly_FY!AJ$2)</f>
        <v>0</v>
      </c>
      <c r="AK23" s="13">
        <f>COUNTIF(defects!$W:$W,Monthly_FY!$B23&amp;Monthly_FY!$B$2&amp;$B$1&amp;Monthly_FY!AK$2)</f>
        <v>0</v>
      </c>
      <c r="AL23" s="13">
        <f>COUNTIF(defects!$W:$W,Monthly_FY!$B23&amp;Monthly_FY!$B$2&amp;$B$1&amp;Monthly_FY!AL$2)</f>
        <v>0</v>
      </c>
      <c r="AM23" s="13">
        <f>COUNTIF(defects!$W:$W,Monthly_FY!$B23&amp;Monthly_FY!$B$2&amp;$B$1&amp;Monthly_FY!AM$2)</f>
        <v>0</v>
      </c>
      <c r="AN23" s="13">
        <f>COUNTIF(defects!$W:$W,Monthly_FY!$B23&amp;Monthly_FY!$B$2&amp;$B$1&amp;Monthly_FY!AN$2)</f>
        <v>0</v>
      </c>
      <c r="AO23" s="13">
        <f>COUNTIF(defects!$W:$W,Monthly_FY!$B23&amp;Monthly_FY!$B$2&amp;$B$1&amp;Monthly_FY!AO$2)</f>
        <v>0</v>
      </c>
      <c r="AP23" s="13">
        <f>COUNTIF(defects!$W:$W,Monthly_FY!$B23&amp;Monthly_FY!$B$2&amp;$B$1&amp;Monthly_FY!AP$2)</f>
        <v>0</v>
      </c>
      <c r="AQ23" s="13"/>
      <c r="AR23" s="13">
        <f>HLOOKUP(AR$2,Weekly!$3:$25,MATCH($B23,Weekly!$B$3:$B$25,0),0)</f>
        <v>0</v>
      </c>
      <c r="AS23" s="13">
        <f>HLOOKUP(AS$2,Weekly!$3:$25,MATCH($B23,Weekly!$B$3:$B$25,0),0)</f>
        <v>0</v>
      </c>
      <c r="AT23" s="13">
        <f>HLOOKUP(AT$2,Weekly!$3:$25,MATCH($B23,Weekly!$B$3:$B$25,0),0)</f>
        <v>0</v>
      </c>
      <c r="AU23" s="13"/>
      <c r="AV23" s="13">
        <f t="shared" si="19"/>
        <v>0</v>
      </c>
    </row>
    <row r="24" spans="2:48" ht="14" customHeight="1" x14ac:dyDescent="0.35"/>
    <row r="25" spans="2:48" x14ac:dyDescent="0.35">
      <c r="B25" s="13"/>
      <c r="C25" s="11" t="str">
        <f t="shared" ref="C25:D25" si="20">C2</f>
        <v>FY21 TTL</v>
      </c>
      <c r="D25" s="11" t="str">
        <f t="shared" si="20"/>
        <v>FY22 TTL</v>
      </c>
      <c r="E25" s="11"/>
      <c r="F25" s="11" t="str">
        <f>F2</f>
        <v>20 Jan</v>
      </c>
      <c r="G25" s="11" t="str">
        <f t="shared" ref="G25:AV25" si="21">G2</f>
        <v>20 Feb</v>
      </c>
      <c r="H25" s="11" t="str">
        <f t="shared" si="21"/>
        <v>20 Mar</v>
      </c>
      <c r="I25" s="11" t="str">
        <f t="shared" si="21"/>
        <v>20 Apr</v>
      </c>
      <c r="J25" s="11" t="str">
        <f t="shared" si="21"/>
        <v>20 May</v>
      </c>
      <c r="K25" s="11" t="str">
        <f t="shared" si="21"/>
        <v>20 Jun</v>
      </c>
      <c r="L25" s="11" t="str">
        <f t="shared" si="21"/>
        <v>20 Jul</v>
      </c>
      <c r="M25" s="11" t="str">
        <f t="shared" si="21"/>
        <v>20 Aug</v>
      </c>
      <c r="N25" s="11" t="str">
        <f t="shared" si="21"/>
        <v>20 Sep</v>
      </c>
      <c r="O25" s="11" t="str">
        <f t="shared" si="21"/>
        <v>20 Oct</v>
      </c>
      <c r="P25" s="11" t="str">
        <f t="shared" si="21"/>
        <v>20 Nov</v>
      </c>
      <c r="Q25" s="11" t="str">
        <f t="shared" si="21"/>
        <v>20 Dec</v>
      </c>
      <c r="R25" s="11" t="str">
        <f t="shared" si="21"/>
        <v>21 Jan</v>
      </c>
      <c r="S25" s="11" t="str">
        <f t="shared" si="21"/>
        <v>21 Feb</v>
      </c>
      <c r="T25" s="11" t="str">
        <f t="shared" si="21"/>
        <v>21 Mar</v>
      </c>
      <c r="U25" s="11" t="str">
        <f t="shared" si="21"/>
        <v>21 Apr</v>
      </c>
      <c r="V25" s="11" t="str">
        <f t="shared" si="21"/>
        <v>21 May</v>
      </c>
      <c r="W25" s="11" t="str">
        <f t="shared" si="21"/>
        <v>21 Jun</v>
      </c>
      <c r="X25" s="11" t="str">
        <f t="shared" si="21"/>
        <v>21 Jul</v>
      </c>
      <c r="Y25" s="11" t="str">
        <f t="shared" si="21"/>
        <v>21 Aug</v>
      </c>
      <c r="Z25" s="11" t="str">
        <f t="shared" si="21"/>
        <v>21 Sep</v>
      </c>
      <c r="AA25" s="11" t="str">
        <f t="shared" si="21"/>
        <v>21 Oct</v>
      </c>
      <c r="AB25" s="11" t="str">
        <f t="shared" si="21"/>
        <v>21 Nov</v>
      </c>
      <c r="AC25" s="11" t="str">
        <f t="shared" si="21"/>
        <v>21 Dec</v>
      </c>
      <c r="AD25" s="11" t="str">
        <f t="shared" si="21"/>
        <v>22 Jan</v>
      </c>
      <c r="AE25" s="11" t="str">
        <f t="shared" si="21"/>
        <v>22 Feb</v>
      </c>
      <c r="AF25" s="11" t="str">
        <f t="shared" si="21"/>
        <v>22 Mar</v>
      </c>
      <c r="AG25" s="11" t="str">
        <f t="shared" si="21"/>
        <v>22 Apr</v>
      </c>
      <c r="AH25" s="11" t="str">
        <f t="shared" si="21"/>
        <v>22 May</v>
      </c>
      <c r="AI25" s="11" t="str">
        <f t="shared" si="21"/>
        <v>22 Jun</v>
      </c>
      <c r="AJ25" s="11" t="str">
        <f t="shared" si="21"/>
        <v>22 Jul</v>
      </c>
      <c r="AK25" s="11" t="str">
        <f t="shared" si="21"/>
        <v>22 Aug</v>
      </c>
      <c r="AL25" s="11" t="str">
        <f t="shared" si="21"/>
        <v>22 Sep</v>
      </c>
      <c r="AM25" s="11" t="str">
        <f t="shared" si="21"/>
        <v>22 Oct</v>
      </c>
      <c r="AN25" s="11" t="str">
        <f t="shared" si="21"/>
        <v>22 Nov</v>
      </c>
      <c r="AO25" s="11" t="str">
        <f t="shared" si="21"/>
        <v>22 Dec</v>
      </c>
      <c r="AP25" s="11" t="str">
        <f t="shared" si="21"/>
        <v>23 Jan</v>
      </c>
      <c r="AQ25" s="11"/>
      <c r="AR25" s="12">
        <f t="shared" si="21"/>
        <v>2131</v>
      </c>
      <c r="AS25" s="12">
        <f t="shared" si="21"/>
        <v>2132</v>
      </c>
      <c r="AT25" s="12">
        <f t="shared" si="21"/>
        <v>2133</v>
      </c>
      <c r="AU25" s="11"/>
      <c r="AV25" s="11" t="str">
        <f t="shared" si="21"/>
        <v>TTL</v>
      </c>
    </row>
    <row r="26" spans="2:48" s="8" customFormat="1" x14ac:dyDescent="0.35">
      <c r="B26" s="14" t="s">
        <v>1402</v>
      </c>
      <c r="C26" s="12">
        <v>800</v>
      </c>
      <c r="D26" s="12">
        <v>800</v>
      </c>
      <c r="E26" s="12">
        <v>800</v>
      </c>
      <c r="F26" s="12">
        <v>800</v>
      </c>
      <c r="G26" s="12">
        <v>800</v>
      </c>
      <c r="H26" s="12">
        <v>800</v>
      </c>
      <c r="I26" s="12">
        <v>800</v>
      </c>
      <c r="J26" s="12">
        <v>800</v>
      </c>
      <c r="K26" s="12">
        <v>800</v>
      </c>
      <c r="L26" s="12">
        <v>800</v>
      </c>
      <c r="M26" s="12">
        <v>800</v>
      </c>
      <c r="N26" s="12">
        <v>800</v>
      </c>
      <c r="O26" s="12">
        <v>800</v>
      </c>
      <c r="P26" s="12">
        <v>800</v>
      </c>
      <c r="Q26" s="12">
        <v>800</v>
      </c>
      <c r="R26" s="12">
        <v>800</v>
      </c>
      <c r="S26" s="12">
        <v>800</v>
      </c>
      <c r="T26" s="12">
        <v>800</v>
      </c>
      <c r="U26" s="12">
        <v>800</v>
      </c>
      <c r="V26" s="12">
        <v>800</v>
      </c>
      <c r="W26" s="12">
        <v>800</v>
      </c>
      <c r="X26" s="12">
        <v>800</v>
      </c>
      <c r="Y26" s="12">
        <v>800</v>
      </c>
      <c r="Z26" s="12">
        <v>800</v>
      </c>
      <c r="AA26" s="12">
        <v>800</v>
      </c>
      <c r="AB26" s="12">
        <v>800</v>
      </c>
      <c r="AC26" s="12">
        <v>800</v>
      </c>
      <c r="AD26" s="12">
        <v>800</v>
      </c>
      <c r="AE26" s="12">
        <v>800</v>
      </c>
      <c r="AF26" s="12">
        <v>800</v>
      </c>
      <c r="AG26" s="12">
        <v>800</v>
      </c>
      <c r="AH26" s="12">
        <v>800</v>
      </c>
      <c r="AI26" s="12">
        <v>800</v>
      </c>
      <c r="AJ26" s="12">
        <v>800</v>
      </c>
      <c r="AK26" s="12">
        <v>800</v>
      </c>
      <c r="AL26" s="12">
        <v>800</v>
      </c>
      <c r="AM26" s="12">
        <v>800</v>
      </c>
      <c r="AN26" s="12">
        <v>800</v>
      </c>
      <c r="AO26" s="12">
        <v>800</v>
      </c>
      <c r="AP26" s="12">
        <v>800</v>
      </c>
      <c r="AQ26" s="12">
        <v>800</v>
      </c>
      <c r="AR26" s="12">
        <v>800</v>
      </c>
      <c r="AS26" s="12">
        <v>800</v>
      </c>
      <c r="AT26" s="12">
        <v>800</v>
      </c>
      <c r="AU26" s="12">
        <v>800</v>
      </c>
      <c r="AV26" s="12">
        <v>800</v>
      </c>
    </row>
    <row r="27" spans="2:48" s="8" customFormat="1" x14ac:dyDescent="0.35">
      <c r="B27" s="14" t="s">
        <v>1376</v>
      </c>
      <c r="C27" s="12">
        <f t="shared" ref="C27:D27" si="22">C3</f>
        <v>111377</v>
      </c>
      <c r="D27" s="12">
        <f t="shared" si="22"/>
        <v>0</v>
      </c>
      <c r="E27" s="12"/>
      <c r="F27" s="12">
        <f t="shared" ref="F27:AP27" si="23">F3</f>
        <v>0</v>
      </c>
      <c r="G27" s="12">
        <f t="shared" si="23"/>
        <v>0</v>
      </c>
      <c r="H27" s="12">
        <f t="shared" si="23"/>
        <v>0</v>
      </c>
      <c r="I27" s="12">
        <f t="shared" si="23"/>
        <v>0</v>
      </c>
      <c r="J27" s="12">
        <f t="shared" si="23"/>
        <v>0</v>
      </c>
      <c r="K27" s="12">
        <f t="shared" si="23"/>
        <v>0</v>
      </c>
      <c r="L27" s="12">
        <f t="shared" si="23"/>
        <v>0</v>
      </c>
      <c r="M27" s="12">
        <f t="shared" si="23"/>
        <v>0</v>
      </c>
      <c r="N27" s="12">
        <f t="shared" si="23"/>
        <v>0</v>
      </c>
      <c r="O27" s="12">
        <f t="shared" si="23"/>
        <v>0</v>
      </c>
      <c r="P27" s="12">
        <f t="shared" si="23"/>
        <v>0</v>
      </c>
      <c r="Q27" s="12">
        <f t="shared" si="23"/>
        <v>0</v>
      </c>
      <c r="R27" s="12">
        <f t="shared" si="23"/>
        <v>0</v>
      </c>
      <c r="S27" s="12">
        <f t="shared" si="23"/>
        <v>2</v>
      </c>
      <c r="T27" s="12">
        <f t="shared" si="23"/>
        <v>2084</v>
      </c>
      <c r="U27" s="12">
        <f t="shared" si="23"/>
        <v>8453</v>
      </c>
      <c r="V27" s="12">
        <f t="shared" si="23"/>
        <v>24701</v>
      </c>
      <c r="W27" s="12">
        <f t="shared" si="23"/>
        <v>26591</v>
      </c>
      <c r="X27" s="12">
        <f t="shared" si="23"/>
        <v>25909</v>
      </c>
      <c r="Y27" s="12">
        <f t="shared" si="23"/>
        <v>23637</v>
      </c>
      <c r="Z27" s="12">
        <f t="shared" si="23"/>
        <v>0</v>
      </c>
      <c r="AA27" s="12">
        <f t="shared" si="23"/>
        <v>0</v>
      </c>
      <c r="AB27" s="12">
        <f t="shared" si="23"/>
        <v>0</v>
      </c>
      <c r="AC27" s="12">
        <f t="shared" si="23"/>
        <v>0</v>
      </c>
      <c r="AD27" s="12">
        <f t="shared" si="23"/>
        <v>0</v>
      </c>
      <c r="AE27" s="12">
        <f t="shared" si="23"/>
        <v>0</v>
      </c>
      <c r="AF27" s="12">
        <f t="shared" si="23"/>
        <v>0</v>
      </c>
      <c r="AG27" s="12">
        <f t="shared" si="23"/>
        <v>0</v>
      </c>
      <c r="AH27" s="12">
        <f t="shared" si="23"/>
        <v>0</v>
      </c>
      <c r="AI27" s="12">
        <f t="shared" si="23"/>
        <v>0</v>
      </c>
      <c r="AJ27" s="12">
        <f t="shared" si="23"/>
        <v>0</v>
      </c>
      <c r="AK27" s="12">
        <f t="shared" si="23"/>
        <v>0</v>
      </c>
      <c r="AL27" s="12">
        <f t="shared" si="23"/>
        <v>0</v>
      </c>
      <c r="AM27" s="12">
        <f t="shared" si="23"/>
        <v>0</v>
      </c>
      <c r="AN27" s="12">
        <f t="shared" si="23"/>
        <v>0</v>
      </c>
      <c r="AO27" s="12">
        <f t="shared" si="23"/>
        <v>0</v>
      </c>
      <c r="AP27" s="12">
        <f t="shared" si="23"/>
        <v>0</v>
      </c>
      <c r="AQ27" s="12"/>
      <c r="AR27" s="12">
        <f>AR3</f>
        <v>3375</v>
      </c>
      <c r="AS27" s="12">
        <f>AS3</f>
        <v>9308</v>
      </c>
      <c r="AT27" s="12">
        <f>AT3</f>
        <v>10954</v>
      </c>
      <c r="AU27" s="12"/>
      <c r="AV27" s="12">
        <f>AV3</f>
        <v>111377</v>
      </c>
    </row>
    <row r="28" spans="2:48" x14ac:dyDescent="0.35">
      <c r="B28" s="13" t="s">
        <v>1406</v>
      </c>
      <c r="C28" s="13">
        <f t="shared" ref="C28:D28" si="24">IFERROR(ROUNDUP(C4/C$3*10^6,0),0)</f>
        <v>1302</v>
      </c>
      <c r="D28" s="13">
        <f t="shared" si="24"/>
        <v>0</v>
      </c>
      <c r="E28" s="13"/>
      <c r="F28" s="13">
        <f t="shared" ref="F28:U29" si="25">IFERROR(ROUNDUP(F4/F$3*10^6,0),0)</f>
        <v>0</v>
      </c>
      <c r="G28" s="13">
        <f t="shared" si="25"/>
        <v>0</v>
      </c>
      <c r="H28" s="13">
        <f t="shared" si="25"/>
        <v>0</v>
      </c>
      <c r="I28" s="13">
        <f t="shared" si="25"/>
        <v>0</v>
      </c>
      <c r="J28" s="13">
        <f t="shared" si="25"/>
        <v>0</v>
      </c>
      <c r="K28" s="13">
        <f t="shared" si="25"/>
        <v>0</v>
      </c>
      <c r="L28" s="13">
        <f t="shared" si="25"/>
        <v>0</v>
      </c>
      <c r="M28" s="13">
        <f t="shared" si="25"/>
        <v>0</v>
      </c>
      <c r="N28" s="13">
        <f t="shared" si="25"/>
        <v>0</v>
      </c>
      <c r="O28" s="13">
        <f t="shared" si="25"/>
        <v>0</v>
      </c>
      <c r="P28" s="13">
        <f t="shared" si="25"/>
        <v>0</v>
      </c>
      <c r="Q28" s="13">
        <f t="shared" si="25"/>
        <v>0</v>
      </c>
      <c r="R28" s="13">
        <f t="shared" si="25"/>
        <v>0</v>
      </c>
      <c r="S28" s="13">
        <f>IFERROR(ROUNDUP(S4/S$3*10^6,0),0)</f>
        <v>0</v>
      </c>
      <c r="T28" s="13">
        <f t="shared" ref="T28:AP29" si="26">IFERROR(ROUNDUP(T4/T$3*10^6,0),0)</f>
        <v>960</v>
      </c>
      <c r="U28" s="13">
        <f t="shared" si="26"/>
        <v>1893</v>
      </c>
      <c r="V28" s="13">
        <f t="shared" si="26"/>
        <v>770</v>
      </c>
      <c r="W28" s="13">
        <f t="shared" si="26"/>
        <v>1091</v>
      </c>
      <c r="X28" s="13">
        <f t="shared" si="26"/>
        <v>1930</v>
      </c>
      <c r="Y28" s="13">
        <f t="shared" si="26"/>
        <v>1227</v>
      </c>
      <c r="Z28" s="13">
        <f t="shared" si="26"/>
        <v>0</v>
      </c>
      <c r="AA28" s="13">
        <f t="shared" si="26"/>
        <v>0</v>
      </c>
      <c r="AB28" s="13">
        <f t="shared" si="26"/>
        <v>0</v>
      </c>
      <c r="AC28" s="13">
        <f t="shared" si="26"/>
        <v>0</v>
      </c>
      <c r="AD28" s="13">
        <f t="shared" si="26"/>
        <v>0</v>
      </c>
      <c r="AE28" s="13">
        <f t="shared" si="26"/>
        <v>0</v>
      </c>
      <c r="AF28" s="13">
        <f t="shared" si="26"/>
        <v>0</v>
      </c>
      <c r="AG28" s="13">
        <f t="shared" si="26"/>
        <v>0</v>
      </c>
      <c r="AH28" s="13">
        <f t="shared" si="26"/>
        <v>0</v>
      </c>
      <c r="AI28" s="13">
        <f t="shared" si="26"/>
        <v>0</v>
      </c>
      <c r="AJ28" s="13">
        <f t="shared" si="26"/>
        <v>0</v>
      </c>
      <c r="AK28" s="13">
        <f t="shared" si="26"/>
        <v>0</v>
      </c>
      <c r="AL28" s="13">
        <f t="shared" si="26"/>
        <v>0</v>
      </c>
      <c r="AM28" s="13">
        <f t="shared" si="26"/>
        <v>0</v>
      </c>
      <c r="AN28" s="13">
        <f t="shared" si="26"/>
        <v>0</v>
      </c>
      <c r="AO28" s="13">
        <f t="shared" si="26"/>
        <v>0</v>
      </c>
      <c r="AP28" s="13">
        <f t="shared" si="26"/>
        <v>0</v>
      </c>
      <c r="AQ28" s="13"/>
      <c r="AR28" s="13">
        <f>IFERROR(ROUNDUP(AR4/AR$3*10^6,0),0)</f>
        <v>1482</v>
      </c>
      <c r="AS28" s="13">
        <f>IFERROR(ROUNDUP(AS4/AS$3*10^6,0),0)</f>
        <v>1290</v>
      </c>
      <c r="AT28" s="13">
        <f>IFERROR(ROUNDUP(AT4/AT$3*10^6,0),0)</f>
        <v>1552</v>
      </c>
      <c r="AU28" s="13"/>
      <c r="AV28" s="13">
        <f>IFERROR(ROUNDUP(AV4/$AV$3*10^6,0),0)</f>
        <v>1302</v>
      </c>
    </row>
    <row r="29" spans="2:48" x14ac:dyDescent="0.35">
      <c r="B29" s="13" t="s">
        <v>1379</v>
      </c>
      <c r="C29" s="13">
        <f t="shared" ref="C29:E29" si="27">IFERROR(ROUNDUP(C5/C$3*10^6,0),0)</f>
        <v>0</v>
      </c>
      <c r="D29" s="13">
        <f t="shared" si="27"/>
        <v>0</v>
      </c>
      <c r="E29" s="13">
        <f t="shared" si="27"/>
        <v>0</v>
      </c>
      <c r="F29" s="13">
        <f>IFERROR(ROUNDUP(F5/F$3*10^6,0),0)</f>
        <v>0</v>
      </c>
      <c r="G29" s="13">
        <f t="shared" si="25"/>
        <v>0</v>
      </c>
      <c r="H29" s="13">
        <f t="shared" si="25"/>
        <v>0</v>
      </c>
      <c r="I29" s="13">
        <f t="shared" si="25"/>
        <v>0</v>
      </c>
      <c r="J29" s="13">
        <f t="shared" si="25"/>
        <v>0</v>
      </c>
      <c r="K29" s="13">
        <f t="shared" si="25"/>
        <v>0</v>
      </c>
      <c r="L29" s="13">
        <f t="shared" si="25"/>
        <v>0</v>
      </c>
      <c r="M29" s="13">
        <f t="shared" si="25"/>
        <v>0</v>
      </c>
      <c r="N29" s="13">
        <f t="shared" si="25"/>
        <v>0</v>
      </c>
      <c r="O29" s="13">
        <f t="shared" si="25"/>
        <v>0</v>
      </c>
      <c r="P29" s="13">
        <f t="shared" si="25"/>
        <v>0</v>
      </c>
      <c r="Q29" s="13">
        <f t="shared" si="25"/>
        <v>0</v>
      </c>
      <c r="R29" s="13">
        <f t="shared" si="25"/>
        <v>0</v>
      </c>
      <c r="S29" s="13">
        <f t="shared" si="25"/>
        <v>0</v>
      </c>
      <c r="T29" s="13">
        <f t="shared" si="25"/>
        <v>0</v>
      </c>
      <c r="U29" s="13">
        <f t="shared" si="25"/>
        <v>0</v>
      </c>
      <c r="V29" s="13">
        <f t="shared" si="26"/>
        <v>0</v>
      </c>
      <c r="W29" s="13">
        <f t="shared" si="26"/>
        <v>0</v>
      </c>
      <c r="X29" s="13">
        <f t="shared" si="26"/>
        <v>0</v>
      </c>
      <c r="Y29" s="13">
        <f t="shared" si="26"/>
        <v>0</v>
      </c>
      <c r="Z29" s="13">
        <f t="shared" si="26"/>
        <v>0</v>
      </c>
      <c r="AA29" s="13">
        <f t="shared" si="26"/>
        <v>0</v>
      </c>
      <c r="AB29" s="13">
        <f t="shared" si="26"/>
        <v>0</v>
      </c>
      <c r="AC29" s="13">
        <f t="shared" si="26"/>
        <v>0</v>
      </c>
      <c r="AD29" s="13">
        <f t="shared" si="26"/>
        <v>0</v>
      </c>
      <c r="AE29" s="13">
        <f t="shared" si="26"/>
        <v>0</v>
      </c>
      <c r="AF29" s="13">
        <f t="shared" si="26"/>
        <v>0</v>
      </c>
      <c r="AG29" s="13">
        <f t="shared" si="26"/>
        <v>0</v>
      </c>
      <c r="AH29" s="13">
        <f t="shared" si="26"/>
        <v>0</v>
      </c>
      <c r="AI29" s="13">
        <f t="shared" si="26"/>
        <v>0</v>
      </c>
      <c r="AJ29" s="13">
        <f t="shared" si="26"/>
        <v>0</v>
      </c>
      <c r="AK29" s="13">
        <f t="shared" si="26"/>
        <v>0</v>
      </c>
      <c r="AL29" s="13">
        <f t="shared" si="26"/>
        <v>0</v>
      </c>
      <c r="AM29" s="13">
        <f t="shared" si="26"/>
        <v>0</v>
      </c>
      <c r="AN29" s="13">
        <f t="shared" si="26"/>
        <v>0</v>
      </c>
      <c r="AO29" s="13">
        <f t="shared" si="26"/>
        <v>0</v>
      </c>
      <c r="AP29" s="13">
        <f t="shared" si="26"/>
        <v>0</v>
      </c>
      <c r="AQ29" s="13">
        <f t="shared" ref="V29:AT40" si="28">IFERROR(ROUNDUP(AQ5/AQ$3*10^6,0),0)</f>
        <v>0</v>
      </c>
      <c r="AR29" s="13">
        <f t="shared" si="28"/>
        <v>0</v>
      </c>
      <c r="AS29" s="13">
        <f t="shared" si="28"/>
        <v>0</v>
      </c>
      <c r="AT29" s="13">
        <f t="shared" si="28"/>
        <v>0</v>
      </c>
      <c r="AU29" s="13"/>
      <c r="AV29" s="13">
        <f t="shared" ref="AV29:AV47" si="29">IFERROR(ROUNDUP(AV5/$AV$3*10^6,0),0)</f>
        <v>0</v>
      </c>
    </row>
    <row r="30" spans="2:48" x14ac:dyDescent="0.35">
      <c r="B30" s="13" t="s">
        <v>1344</v>
      </c>
      <c r="C30" s="13">
        <f t="shared" ref="C30:E30" si="30">IFERROR(ROUNDUP(C6/C$3*10^6,0),0)</f>
        <v>18</v>
      </c>
      <c r="D30" s="13">
        <f t="shared" si="30"/>
        <v>0</v>
      </c>
      <c r="E30" s="13">
        <f t="shared" si="30"/>
        <v>0</v>
      </c>
      <c r="F30" s="13">
        <f t="shared" ref="F30:U45" si="31">IFERROR(ROUNDUP(F6/F$3*10^6,0),0)</f>
        <v>0</v>
      </c>
      <c r="G30" s="13">
        <f t="shared" si="31"/>
        <v>0</v>
      </c>
      <c r="H30" s="13">
        <f t="shared" si="31"/>
        <v>0</v>
      </c>
      <c r="I30" s="13">
        <f t="shared" si="31"/>
        <v>0</v>
      </c>
      <c r="J30" s="13">
        <f t="shared" si="31"/>
        <v>0</v>
      </c>
      <c r="K30" s="13">
        <f t="shared" si="31"/>
        <v>0</v>
      </c>
      <c r="L30" s="13">
        <f t="shared" si="31"/>
        <v>0</v>
      </c>
      <c r="M30" s="13">
        <f t="shared" si="31"/>
        <v>0</v>
      </c>
      <c r="N30" s="13">
        <f t="shared" si="31"/>
        <v>0</v>
      </c>
      <c r="O30" s="13">
        <f t="shared" si="31"/>
        <v>0</v>
      </c>
      <c r="P30" s="13">
        <f t="shared" si="31"/>
        <v>0</v>
      </c>
      <c r="Q30" s="13">
        <f t="shared" si="31"/>
        <v>0</v>
      </c>
      <c r="R30" s="13">
        <f t="shared" si="31"/>
        <v>0</v>
      </c>
      <c r="S30" s="13">
        <f t="shared" si="31"/>
        <v>0</v>
      </c>
      <c r="T30" s="13">
        <f t="shared" si="31"/>
        <v>0</v>
      </c>
      <c r="U30" s="13">
        <f t="shared" si="31"/>
        <v>0</v>
      </c>
      <c r="V30" s="13">
        <f t="shared" si="28"/>
        <v>0</v>
      </c>
      <c r="W30" s="13">
        <f t="shared" si="28"/>
        <v>38</v>
      </c>
      <c r="X30" s="13">
        <f t="shared" si="28"/>
        <v>39</v>
      </c>
      <c r="Y30" s="13">
        <f t="shared" si="28"/>
        <v>0</v>
      </c>
      <c r="Z30" s="13">
        <f t="shared" si="28"/>
        <v>0</v>
      </c>
      <c r="AA30" s="13">
        <f t="shared" si="28"/>
        <v>0</v>
      </c>
      <c r="AB30" s="13">
        <f t="shared" si="28"/>
        <v>0</v>
      </c>
      <c r="AC30" s="13">
        <f t="shared" si="28"/>
        <v>0</v>
      </c>
      <c r="AD30" s="13">
        <f t="shared" si="28"/>
        <v>0</v>
      </c>
      <c r="AE30" s="13">
        <f t="shared" si="28"/>
        <v>0</v>
      </c>
      <c r="AF30" s="13">
        <f t="shared" si="28"/>
        <v>0</v>
      </c>
      <c r="AG30" s="13">
        <f t="shared" si="28"/>
        <v>0</v>
      </c>
      <c r="AH30" s="13">
        <f t="shared" si="28"/>
        <v>0</v>
      </c>
      <c r="AI30" s="13">
        <f t="shared" si="28"/>
        <v>0</v>
      </c>
      <c r="AJ30" s="13">
        <f t="shared" si="28"/>
        <v>0</v>
      </c>
      <c r="AK30" s="13">
        <f t="shared" si="28"/>
        <v>0</v>
      </c>
      <c r="AL30" s="13">
        <f t="shared" si="28"/>
        <v>0</v>
      </c>
      <c r="AM30" s="13">
        <f t="shared" si="28"/>
        <v>0</v>
      </c>
      <c r="AN30" s="13">
        <f t="shared" si="28"/>
        <v>0</v>
      </c>
      <c r="AO30" s="13">
        <f t="shared" si="28"/>
        <v>0</v>
      </c>
      <c r="AP30" s="13">
        <f t="shared" si="28"/>
        <v>0</v>
      </c>
      <c r="AQ30" s="13">
        <f t="shared" si="28"/>
        <v>0</v>
      </c>
      <c r="AR30" s="13">
        <f t="shared" si="28"/>
        <v>0</v>
      </c>
      <c r="AS30" s="13">
        <f t="shared" si="28"/>
        <v>0</v>
      </c>
      <c r="AT30" s="13">
        <f t="shared" si="28"/>
        <v>0</v>
      </c>
      <c r="AU30" s="13"/>
      <c r="AV30" s="13">
        <f t="shared" si="29"/>
        <v>18</v>
      </c>
    </row>
    <row r="31" spans="2:48" x14ac:dyDescent="0.35">
      <c r="B31" s="13" t="s">
        <v>1342</v>
      </c>
      <c r="C31" s="13">
        <f t="shared" ref="C31:E31" si="32">IFERROR(ROUNDUP(C7/C$3*10^6,0),0)</f>
        <v>117</v>
      </c>
      <c r="D31" s="13">
        <f t="shared" si="32"/>
        <v>0</v>
      </c>
      <c r="E31" s="13">
        <f t="shared" si="32"/>
        <v>0</v>
      </c>
      <c r="F31" s="13">
        <f t="shared" si="31"/>
        <v>0</v>
      </c>
      <c r="G31" s="13">
        <f t="shared" si="31"/>
        <v>0</v>
      </c>
      <c r="H31" s="13">
        <f t="shared" si="31"/>
        <v>0</v>
      </c>
      <c r="I31" s="13">
        <f t="shared" si="31"/>
        <v>0</v>
      </c>
      <c r="J31" s="13">
        <f t="shared" si="31"/>
        <v>0</v>
      </c>
      <c r="K31" s="13">
        <f t="shared" si="31"/>
        <v>0</v>
      </c>
      <c r="L31" s="13">
        <f t="shared" si="31"/>
        <v>0</v>
      </c>
      <c r="M31" s="13">
        <f t="shared" si="31"/>
        <v>0</v>
      </c>
      <c r="N31" s="13">
        <f t="shared" si="31"/>
        <v>0</v>
      </c>
      <c r="O31" s="13">
        <f t="shared" si="31"/>
        <v>0</v>
      </c>
      <c r="P31" s="13">
        <f t="shared" si="31"/>
        <v>0</v>
      </c>
      <c r="Q31" s="13">
        <f t="shared" si="31"/>
        <v>0</v>
      </c>
      <c r="R31" s="13">
        <f t="shared" si="31"/>
        <v>0</v>
      </c>
      <c r="S31" s="13">
        <f t="shared" si="31"/>
        <v>0</v>
      </c>
      <c r="T31" s="13">
        <f t="shared" si="31"/>
        <v>480</v>
      </c>
      <c r="U31" s="13">
        <f t="shared" si="31"/>
        <v>237</v>
      </c>
      <c r="V31" s="13">
        <f t="shared" si="28"/>
        <v>41</v>
      </c>
      <c r="W31" s="13">
        <f t="shared" si="28"/>
        <v>113</v>
      </c>
      <c r="X31" s="13">
        <f t="shared" si="28"/>
        <v>155</v>
      </c>
      <c r="Y31" s="13">
        <f t="shared" si="28"/>
        <v>85</v>
      </c>
      <c r="Z31" s="13">
        <f t="shared" si="28"/>
        <v>0</v>
      </c>
      <c r="AA31" s="13">
        <f t="shared" si="28"/>
        <v>0</v>
      </c>
      <c r="AB31" s="13">
        <f t="shared" si="28"/>
        <v>0</v>
      </c>
      <c r="AC31" s="13">
        <f t="shared" si="28"/>
        <v>0</v>
      </c>
      <c r="AD31" s="13">
        <f t="shared" si="28"/>
        <v>0</v>
      </c>
      <c r="AE31" s="13">
        <f t="shared" si="28"/>
        <v>0</v>
      </c>
      <c r="AF31" s="13">
        <f t="shared" si="28"/>
        <v>0</v>
      </c>
      <c r="AG31" s="13">
        <f t="shared" si="28"/>
        <v>0</v>
      </c>
      <c r="AH31" s="13">
        <f t="shared" si="28"/>
        <v>0</v>
      </c>
      <c r="AI31" s="13">
        <f t="shared" si="28"/>
        <v>0</v>
      </c>
      <c r="AJ31" s="13">
        <f t="shared" si="28"/>
        <v>0</v>
      </c>
      <c r="AK31" s="13">
        <f t="shared" si="28"/>
        <v>0</v>
      </c>
      <c r="AL31" s="13">
        <f t="shared" si="28"/>
        <v>0</v>
      </c>
      <c r="AM31" s="13">
        <f t="shared" si="28"/>
        <v>0</v>
      </c>
      <c r="AN31" s="13">
        <f t="shared" si="28"/>
        <v>0</v>
      </c>
      <c r="AO31" s="13">
        <f t="shared" si="28"/>
        <v>0</v>
      </c>
      <c r="AP31" s="13">
        <f t="shared" si="28"/>
        <v>0</v>
      </c>
      <c r="AQ31" s="13">
        <f t="shared" si="28"/>
        <v>0</v>
      </c>
      <c r="AR31" s="13">
        <f t="shared" si="28"/>
        <v>297</v>
      </c>
      <c r="AS31" s="13">
        <f t="shared" si="28"/>
        <v>108</v>
      </c>
      <c r="AT31" s="13">
        <f t="shared" si="28"/>
        <v>92</v>
      </c>
      <c r="AU31" s="13"/>
      <c r="AV31" s="13">
        <f t="shared" si="29"/>
        <v>117</v>
      </c>
    </row>
    <row r="32" spans="2:48" x14ac:dyDescent="0.35">
      <c r="B32" s="13" t="s">
        <v>1340</v>
      </c>
      <c r="C32" s="13">
        <f t="shared" ref="C32:E32" si="33">IFERROR(ROUNDUP(C8/C$3*10^6,0),0)</f>
        <v>18</v>
      </c>
      <c r="D32" s="13">
        <f t="shared" si="33"/>
        <v>0</v>
      </c>
      <c r="E32" s="13">
        <f t="shared" si="33"/>
        <v>0</v>
      </c>
      <c r="F32" s="13">
        <f t="shared" si="31"/>
        <v>0</v>
      </c>
      <c r="G32" s="13">
        <f t="shared" si="31"/>
        <v>0</v>
      </c>
      <c r="H32" s="13">
        <f t="shared" si="31"/>
        <v>0</v>
      </c>
      <c r="I32" s="13">
        <f t="shared" si="31"/>
        <v>0</v>
      </c>
      <c r="J32" s="13">
        <f t="shared" si="31"/>
        <v>0</v>
      </c>
      <c r="K32" s="13">
        <f t="shared" si="31"/>
        <v>0</v>
      </c>
      <c r="L32" s="13">
        <f t="shared" si="31"/>
        <v>0</v>
      </c>
      <c r="M32" s="13">
        <f t="shared" si="31"/>
        <v>0</v>
      </c>
      <c r="N32" s="13">
        <f t="shared" si="31"/>
        <v>0</v>
      </c>
      <c r="O32" s="13">
        <f t="shared" si="31"/>
        <v>0</v>
      </c>
      <c r="P32" s="13">
        <f t="shared" si="31"/>
        <v>0</v>
      </c>
      <c r="Q32" s="13">
        <f t="shared" si="31"/>
        <v>0</v>
      </c>
      <c r="R32" s="13">
        <f t="shared" si="31"/>
        <v>0</v>
      </c>
      <c r="S32" s="13">
        <f t="shared" si="31"/>
        <v>0</v>
      </c>
      <c r="T32" s="13">
        <f t="shared" si="31"/>
        <v>0</v>
      </c>
      <c r="U32" s="13">
        <f t="shared" si="31"/>
        <v>119</v>
      </c>
      <c r="V32" s="13">
        <f t="shared" si="28"/>
        <v>0</v>
      </c>
      <c r="W32" s="13">
        <f t="shared" si="28"/>
        <v>0</v>
      </c>
      <c r="X32" s="13">
        <f t="shared" si="28"/>
        <v>39</v>
      </c>
      <c r="Y32" s="13">
        <f t="shared" si="28"/>
        <v>0</v>
      </c>
      <c r="Z32" s="13">
        <f t="shared" si="28"/>
        <v>0</v>
      </c>
      <c r="AA32" s="13">
        <f t="shared" si="28"/>
        <v>0</v>
      </c>
      <c r="AB32" s="13">
        <f t="shared" si="28"/>
        <v>0</v>
      </c>
      <c r="AC32" s="13">
        <f t="shared" si="28"/>
        <v>0</v>
      </c>
      <c r="AD32" s="13">
        <f t="shared" si="28"/>
        <v>0</v>
      </c>
      <c r="AE32" s="13">
        <f t="shared" si="28"/>
        <v>0</v>
      </c>
      <c r="AF32" s="13">
        <f t="shared" si="28"/>
        <v>0</v>
      </c>
      <c r="AG32" s="13">
        <f t="shared" si="28"/>
        <v>0</v>
      </c>
      <c r="AH32" s="13">
        <f t="shared" si="28"/>
        <v>0</v>
      </c>
      <c r="AI32" s="13">
        <f t="shared" si="28"/>
        <v>0</v>
      </c>
      <c r="AJ32" s="13">
        <f t="shared" si="28"/>
        <v>0</v>
      </c>
      <c r="AK32" s="13">
        <f t="shared" si="28"/>
        <v>0</v>
      </c>
      <c r="AL32" s="13">
        <f t="shared" si="28"/>
        <v>0</v>
      </c>
      <c r="AM32" s="13">
        <f t="shared" si="28"/>
        <v>0</v>
      </c>
      <c r="AN32" s="13">
        <f t="shared" si="28"/>
        <v>0</v>
      </c>
      <c r="AO32" s="13">
        <f t="shared" si="28"/>
        <v>0</v>
      </c>
      <c r="AP32" s="13">
        <f t="shared" si="28"/>
        <v>0</v>
      </c>
      <c r="AQ32" s="13">
        <f t="shared" si="28"/>
        <v>0</v>
      </c>
      <c r="AR32" s="13">
        <f t="shared" si="28"/>
        <v>0</v>
      </c>
      <c r="AS32" s="13">
        <f t="shared" si="28"/>
        <v>0</v>
      </c>
      <c r="AT32" s="13">
        <f t="shared" si="28"/>
        <v>0</v>
      </c>
      <c r="AU32" s="13"/>
      <c r="AV32" s="13">
        <f t="shared" si="29"/>
        <v>18</v>
      </c>
    </row>
    <row r="33" spans="2:48" x14ac:dyDescent="0.35">
      <c r="B33" s="13" t="s">
        <v>1341</v>
      </c>
      <c r="C33" s="13">
        <f t="shared" ref="C33:E33" si="34">IFERROR(ROUNDUP(C9/C$3*10^6,0),0)</f>
        <v>90</v>
      </c>
      <c r="D33" s="13">
        <f t="shared" si="34"/>
        <v>0</v>
      </c>
      <c r="E33" s="13">
        <f t="shared" si="34"/>
        <v>0</v>
      </c>
      <c r="F33" s="13">
        <f t="shared" si="31"/>
        <v>0</v>
      </c>
      <c r="G33" s="13">
        <f t="shared" si="31"/>
        <v>0</v>
      </c>
      <c r="H33" s="13">
        <f t="shared" si="31"/>
        <v>0</v>
      </c>
      <c r="I33" s="13">
        <f t="shared" si="31"/>
        <v>0</v>
      </c>
      <c r="J33" s="13">
        <f t="shared" si="31"/>
        <v>0</v>
      </c>
      <c r="K33" s="13">
        <f t="shared" si="31"/>
        <v>0</v>
      </c>
      <c r="L33" s="13">
        <f t="shared" si="31"/>
        <v>0</v>
      </c>
      <c r="M33" s="13">
        <f t="shared" si="31"/>
        <v>0</v>
      </c>
      <c r="N33" s="13">
        <f t="shared" si="31"/>
        <v>0</v>
      </c>
      <c r="O33" s="13">
        <f t="shared" si="31"/>
        <v>0</v>
      </c>
      <c r="P33" s="13">
        <f t="shared" si="31"/>
        <v>0</v>
      </c>
      <c r="Q33" s="13">
        <f t="shared" si="31"/>
        <v>0</v>
      </c>
      <c r="R33" s="13">
        <f t="shared" si="31"/>
        <v>0</v>
      </c>
      <c r="S33" s="13">
        <f t="shared" si="31"/>
        <v>0</v>
      </c>
      <c r="T33" s="13">
        <f t="shared" si="31"/>
        <v>0</v>
      </c>
      <c r="U33" s="13">
        <f t="shared" si="31"/>
        <v>0</v>
      </c>
      <c r="V33" s="13">
        <f t="shared" si="28"/>
        <v>203</v>
      </c>
      <c r="W33" s="13">
        <f t="shared" si="28"/>
        <v>151</v>
      </c>
      <c r="X33" s="13">
        <f t="shared" si="28"/>
        <v>0</v>
      </c>
      <c r="Y33" s="13">
        <f t="shared" si="28"/>
        <v>43</v>
      </c>
      <c r="Z33" s="13">
        <f t="shared" si="28"/>
        <v>0</v>
      </c>
      <c r="AA33" s="13">
        <f t="shared" si="28"/>
        <v>0</v>
      </c>
      <c r="AB33" s="13">
        <f t="shared" si="28"/>
        <v>0</v>
      </c>
      <c r="AC33" s="13">
        <f t="shared" si="28"/>
        <v>0</v>
      </c>
      <c r="AD33" s="13">
        <f t="shared" si="28"/>
        <v>0</v>
      </c>
      <c r="AE33" s="13">
        <f t="shared" si="28"/>
        <v>0</v>
      </c>
      <c r="AF33" s="13">
        <f t="shared" si="28"/>
        <v>0</v>
      </c>
      <c r="AG33" s="13">
        <f t="shared" si="28"/>
        <v>0</v>
      </c>
      <c r="AH33" s="13">
        <f t="shared" si="28"/>
        <v>0</v>
      </c>
      <c r="AI33" s="13">
        <f t="shared" si="28"/>
        <v>0</v>
      </c>
      <c r="AJ33" s="13">
        <f t="shared" si="28"/>
        <v>0</v>
      </c>
      <c r="AK33" s="13">
        <f t="shared" si="28"/>
        <v>0</v>
      </c>
      <c r="AL33" s="13">
        <f t="shared" si="28"/>
        <v>0</v>
      </c>
      <c r="AM33" s="13">
        <f t="shared" si="28"/>
        <v>0</v>
      </c>
      <c r="AN33" s="13">
        <f t="shared" si="28"/>
        <v>0</v>
      </c>
      <c r="AO33" s="13">
        <f t="shared" si="28"/>
        <v>0</v>
      </c>
      <c r="AP33" s="13">
        <f t="shared" si="28"/>
        <v>0</v>
      </c>
      <c r="AQ33" s="13">
        <f t="shared" si="28"/>
        <v>0</v>
      </c>
      <c r="AR33" s="13">
        <f t="shared" si="28"/>
        <v>0</v>
      </c>
      <c r="AS33" s="13">
        <f t="shared" si="28"/>
        <v>108</v>
      </c>
      <c r="AT33" s="13">
        <f t="shared" si="28"/>
        <v>0</v>
      </c>
      <c r="AU33" s="13"/>
      <c r="AV33" s="13">
        <f t="shared" si="29"/>
        <v>90</v>
      </c>
    </row>
    <row r="34" spans="2:48" x14ac:dyDescent="0.35">
      <c r="B34" s="13" t="s">
        <v>1343</v>
      </c>
      <c r="C34" s="13">
        <f t="shared" ref="C34:E34" si="35">IFERROR(ROUNDUP(C10/C$3*10^6,0),0)</f>
        <v>18</v>
      </c>
      <c r="D34" s="13">
        <f t="shared" si="35"/>
        <v>0</v>
      </c>
      <c r="E34" s="13">
        <f t="shared" si="35"/>
        <v>0</v>
      </c>
      <c r="F34" s="13">
        <f t="shared" si="31"/>
        <v>0</v>
      </c>
      <c r="G34" s="13">
        <f t="shared" si="31"/>
        <v>0</v>
      </c>
      <c r="H34" s="13">
        <f t="shared" si="31"/>
        <v>0</v>
      </c>
      <c r="I34" s="13">
        <f t="shared" si="31"/>
        <v>0</v>
      </c>
      <c r="J34" s="13">
        <f t="shared" si="31"/>
        <v>0</v>
      </c>
      <c r="K34" s="13">
        <f t="shared" si="31"/>
        <v>0</v>
      </c>
      <c r="L34" s="13">
        <f t="shared" si="31"/>
        <v>0</v>
      </c>
      <c r="M34" s="13">
        <f t="shared" si="31"/>
        <v>0</v>
      </c>
      <c r="N34" s="13">
        <f t="shared" si="31"/>
        <v>0</v>
      </c>
      <c r="O34" s="13">
        <f t="shared" si="31"/>
        <v>0</v>
      </c>
      <c r="P34" s="13">
        <f t="shared" si="31"/>
        <v>0</v>
      </c>
      <c r="Q34" s="13">
        <f t="shared" si="31"/>
        <v>0</v>
      </c>
      <c r="R34" s="13">
        <f t="shared" si="31"/>
        <v>0</v>
      </c>
      <c r="S34" s="13">
        <f t="shared" si="31"/>
        <v>0</v>
      </c>
      <c r="T34" s="13">
        <f t="shared" si="31"/>
        <v>0</v>
      </c>
      <c r="U34" s="13">
        <f t="shared" si="31"/>
        <v>0</v>
      </c>
      <c r="V34" s="13">
        <f t="shared" si="28"/>
        <v>0</v>
      </c>
      <c r="W34" s="13">
        <f t="shared" si="28"/>
        <v>38</v>
      </c>
      <c r="X34" s="13">
        <f t="shared" si="28"/>
        <v>0</v>
      </c>
      <c r="Y34" s="13">
        <f t="shared" si="28"/>
        <v>43</v>
      </c>
      <c r="Z34" s="13">
        <f t="shared" si="28"/>
        <v>0</v>
      </c>
      <c r="AA34" s="13">
        <f t="shared" si="28"/>
        <v>0</v>
      </c>
      <c r="AB34" s="13">
        <f t="shared" si="28"/>
        <v>0</v>
      </c>
      <c r="AC34" s="13">
        <f t="shared" si="28"/>
        <v>0</v>
      </c>
      <c r="AD34" s="13">
        <f t="shared" si="28"/>
        <v>0</v>
      </c>
      <c r="AE34" s="13">
        <f t="shared" si="28"/>
        <v>0</v>
      </c>
      <c r="AF34" s="13">
        <f t="shared" si="28"/>
        <v>0</v>
      </c>
      <c r="AG34" s="13">
        <f t="shared" si="28"/>
        <v>0</v>
      </c>
      <c r="AH34" s="13">
        <f t="shared" si="28"/>
        <v>0</v>
      </c>
      <c r="AI34" s="13">
        <f t="shared" si="28"/>
        <v>0</v>
      </c>
      <c r="AJ34" s="13">
        <f t="shared" si="28"/>
        <v>0</v>
      </c>
      <c r="AK34" s="13">
        <f t="shared" si="28"/>
        <v>0</v>
      </c>
      <c r="AL34" s="13">
        <f t="shared" si="28"/>
        <v>0</v>
      </c>
      <c r="AM34" s="13">
        <f t="shared" si="28"/>
        <v>0</v>
      </c>
      <c r="AN34" s="13">
        <f t="shared" si="28"/>
        <v>0</v>
      </c>
      <c r="AO34" s="13">
        <f t="shared" si="28"/>
        <v>0</v>
      </c>
      <c r="AP34" s="13">
        <f t="shared" si="28"/>
        <v>0</v>
      </c>
      <c r="AQ34" s="13">
        <f t="shared" si="28"/>
        <v>0</v>
      </c>
      <c r="AR34" s="13">
        <f t="shared" si="28"/>
        <v>0</v>
      </c>
      <c r="AS34" s="13">
        <f t="shared" si="28"/>
        <v>0</v>
      </c>
      <c r="AT34" s="13">
        <f t="shared" si="28"/>
        <v>92</v>
      </c>
      <c r="AU34" s="13"/>
      <c r="AV34" s="13">
        <f t="shared" si="29"/>
        <v>18</v>
      </c>
    </row>
    <row r="35" spans="2:48" x14ac:dyDescent="0.35">
      <c r="B35" s="13" t="s">
        <v>1380</v>
      </c>
      <c r="C35" s="13">
        <f t="shared" ref="C35:E35" si="36">IFERROR(ROUNDUP(C11/C$3*10^6,0),0)</f>
        <v>0</v>
      </c>
      <c r="D35" s="13">
        <f t="shared" si="36"/>
        <v>0</v>
      </c>
      <c r="E35" s="13">
        <f t="shared" si="36"/>
        <v>0</v>
      </c>
      <c r="F35" s="13">
        <f t="shared" si="31"/>
        <v>0</v>
      </c>
      <c r="G35" s="13">
        <f t="shared" si="31"/>
        <v>0</v>
      </c>
      <c r="H35" s="13">
        <f t="shared" si="31"/>
        <v>0</v>
      </c>
      <c r="I35" s="13">
        <f t="shared" si="31"/>
        <v>0</v>
      </c>
      <c r="J35" s="13">
        <f t="shared" si="31"/>
        <v>0</v>
      </c>
      <c r="K35" s="13">
        <f t="shared" si="31"/>
        <v>0</v>
      </c>
      <c r="L35" s="13">
        <f t="shared" si="31"/>
        <v>0</v>
      </c>
      <c r="M35" s="13">
        <f t="shared" si="31"/>
        <v>0</v>
      </c>
      <c r="N35" s="13">
        <f t="shared" si="31"/>
        <v>0</v>
      </c>
      <c r="O35" s="13">
        <f t="shared" si="31"/>
        <v>0</v>
      </c>
      <c r="P35" s="13">
        <f t="shared" si="31"/>
        <v>0</v>
      </c>
      <c r="Q35" s="13">
        <f t="shared" si="31"/>
        <v>0</v>
      </c>
      <c r="R35" s="13">
        <f t="shared" si="31"/>
        <v>0</v>
      </c>
      <c r="S35" s="13">
        <f t="shared" si="31"/>
        <v>0</v>
      </c>
      <c r="T35" s="13">
        <f t="shared" si="31"/>
        <v>0</v>
      </c>
      <c r="U35" s="13">
        <f t="shared" si="31"/>
        <v>0</v>
      </c>
      <c r="V35" s="13">
        <f t="shared" si="28"/>
        <v>0</v>
      </c>
      <c r="W35" s="13">
        <f t="shared" si="28"/>
        <v>0</v>
      </c>
      <c r="X35" s="13">
        <f t="shared" si="28"/>
        <v>0</v>
      </c>
      <c r="Y35" s="13">
        <f t="shared" si="28"/>
        <v>0</v>
      </c>
      <c r="Z35" s="13">
        <f t="shared" si="28"/>
        <v>0</v>
      </c>
      <c r="AA35" s="13">
        <f t="shared" si="28"/>
        <v>0</v>
      </c>
      <c r="AB35" s="13">
        <f t="shared" si="28"/>
        <v>0</v>
      </c>
      <c r="AC35" s="13">
        <f t="shared" si="28"/>
        <v>0</v>
      </c>
      <c r="AD35" s="13">
        <f t="shared" si="28"/>
        <v>0</v>
      </c>
      <c r="AE35" s="13">
        <f t="shared" si="28"/>
        <v>0</v>
      </c>
      <c r="AF35" s="13">
        <f t="shared" si="28"/>
        <v>0</v>
      </c>
      <c r="AG35" s="13">
        <f t="shared" si="28"/>
        <v>0</v>
      </c>
      <c r="AH35" s="13">
        <f t="shared" si="28"/>
        <v>0</v>
      </c>
      <c r="AI35" s="13">
        <f t="shared" si="28"/>
        <v>0</v>
      </c>
      <c r="AJ35" s="13">
        <f t="shared" si="28"/>
        <v>0</v>
      </c>
      <c r="AK35" s="13">
        <f t="shared" si="28"/>
        <v>0</v>
      </c>
      <c r="AL35" s="13">
        <f t="shared" si="28"/>
        <v>0</v>
      </c>
      <c r="AM35" s="13">
        <f t="shared" si="28"/>
        <v>0</v>
      </c>
      <c r="AN35" s="13">
        <f t="shared" si="28"/>
        <v>0</v>
      </c>
      <c r="AO35" s="13">
        <f t="shared" si="28"/>
        <v>0</v>
      </c>
      <c r="AP35" s="13">
        <f t="shared" si="28"/>
        <v>0</v>
      </c>
      <c r="AQ35" s="13">
        <f t="shared" si="28"/>
        <v>0</v>
      </c>
      <c r="AR35" s="13">
        <f t="shared" si="28"/>
        <v>0</v>
      </c>
      <c r="AS35" s="13">
        <f t="shared" si="28"/>
        <v>0</v>
      </c>
      <c r="AT35" s="13">
        <f t="shared" si="28"/>
        <v>0</v>
      </c>
      <c r="AU35" s="13"/>
      <c r="AV35" s="13">
        <f t="shared" si="29"/>
        <v>0</v>
      </c>
    </row>
    <row r="36" spans="2:48" x14ac:dyDescent="0.35">
      <c r="B36" s="13" t="s">
        <v>1337</v>
      </c>
      <c r="C36" s="13">
        <f t="shared" ref="C36:E36" si="37">IFERROR(ROUNDUP(C12/C$3*10^6,0),0)</f>
        <v>171</v>
      </c>
      <c r="D36" s="13">
        <f t="shared" si="37"/>
        <v>0</v>
      </c>
      <c r="E36" s="13">
        <f t="shared" si="37"/>
        <v>0</v>
      </c>
      <c r="F36" s="13">
        <f t="shared" si="31"/>
        <v>0</v>
      </c>
      <c r="G36" s="13">
        <f t="shared" si="31"/>
        <v>0</v>
      </c>
      <c r="H36" s="13">
        <f t="shared" si="31"/>
        <v>0</v>
      </c>
      <c r="I36" s="13">
        <f t="shared" si="31"/>
        <v>0</v>
      </c>
      <c r="J36" s="13">
        <f t="shared" si="31"/>
        <v>0</v>
      </c>
      <c r="K36" s="13">
        <f t="shared" si="31"/>
        <v>0</v>
      </c>
      <c r="L36" s="13">
        <f t="shared" si="31"/>
        <v>0</v>
      </c>
      <c r="M36" s="13">
        <f t="shared" si="31"/>
        <v>0</v>
      </c>
      <c r="N36" s="13">
        <f t="shared" si="31"/>
        <v>0</v>
      </c>
      <c r="O36" s="13">
        <f t="shared" si="31"/>
        <v>0</v>
      </c>
      <c r="P36" s="13">
        <f t="shared" si="31"/>
        <v>0</v>
      </c>
      <c r="Q36" s="13">
        <f t="shared" si="31"/>
        <v>0</v>
      </c>
      <c r="R36" s="13">
        <f t="shared" si="31"/>
        <v>0</v>
      </c>
      <c r="S36" s="13">
        <f t="shared" si="31"/>
        <v>0</v>
      </c>
      <c r="T36" s="13">
        <f t="shared" si="31"/>
        <v>0</v>
      </c>
      <c r="U36" s="13">
        <f t="shared" si="31"/>
        <v>355</v>
      </c>
      <c r="V36" s="13">
        <f t="shared" si="28"/>
        <v>162</v>
      </c>
      <c r="W36" s="13">
        <f t="shared" si="28"/>
        <v>76</v>
      </c>
      <c r="X36" s="13">
        <f t="shared" si="28"/>
        <v>309</v>
      </c>
      <c r="Y36" s="13">
        <f t="shared" si="28"/>
        <v>85</v>
      </c>
      <c r="Z36" s="13">
        <f t="shared" si="28"/>
        <v>0</v>
      </c>
      <c r="AA36" s="13">
        <f t="shared" si="28"/>
        <v>0</v>
      </c>
      <c r="AB36" s="13">
        <f t="shared" si="28"/>
        <v>0</v>
      </c>
      <c r="AC36" s="13">
        <f t="shared" si="28"/>
        <v>0</v>
      </c>
      <c r="AD36" s="13">
        <f t="shared" si="28"/>
        <v>0</v>
      </c>
      <c r="AE36" s="13">
        <f t="shared" si="28"/>
        <v>0</v>
      </c>
      <c r="AF36" s="13">
        <f t="shared" si="28"/>
        <v>0</v>
      </c>
      <c r="AG36" s="13">
        <f t="shared" si="28"/>
        <v>0</v>
      </c>
      <c r="AH36" s="13">
        <f t="shared" si="28"/>
        <v>0</v>
      </c>
      <c r="AI36" s="13">
        <f t="shared" si="28"/>
        <v>0</v>
      </c>
      <c r="AJ36" s="13">
        <f t="shared" si="28"/>
        <v>0</v>
      </c>
      <c r="AK36" s="13">
        <f t="shared" si="28"/>
        <v>0</v>
      </c>
      <c r="AL36" s="13">
        <f t="shared" si="28"/>
        <v>0</v>
      </c>
      <c r="AM36" s="13">
        <f t="shared" si="28"/>
        <v>0</v>
      </c>
      <c r="AN36" s="13">
        <f t="shared" si="28"/>
        <v>0</v>
      </c>
      <c r="AO36" s="13">
        <f t="shared" si="28"/>
        <v>0</v>
      </c>
      <c r="AP36" s="13">
        <f t="shared" si="28"/>
        <v>0</v>
      </c>
      <c r="AQ36" s="13">
        <f t="shared" si="28"/>
        <v>0</v>
      </c>
      <c r="AR36" s="13">
        <f>IFERROR(ROUNDUP(AR12/AR$3*10^6,0),0)</f>
        <v>297</v>
      </c>
      <c r="AS36" s="13">
        <f t="shared" si="28"/>
        <v>0</v>
      </c>
      <c r="AT36" s="13">
        <f t="shared" si="28"/>
        <v>183</v>
      </c>
      <c r="AU36" s="13"/>
      <c r="AV36" s="13">
        <f t="shared" si="29"/>
        <v>171</v>
      </c>
    </row>
    <row r="37" spans="2:48" x14ac:dyDescent="0.35">
      <c r="B37" s="13" t="s">
        <v>1381</v>
      </c>
      <c r="C37" s="13">
        <f t="shared" ref="C37:E37" si="38">IFERROR(ROUNDUP(C13/C$3*10^6,0),0)</f>
        <v>0</v>
      </c>
      <c r="D37" s="13">
        <f t="shared" si="38"/>
        <v>0</v>
      </c>
      <c r="E37" s="13">
        <f t="shared" si="38"/>
        <v>0</v>
      </c>
      <c r="F37" s="13">
        <f t="shared" si="31"/>
        <v>0</v>
      </c>
      <c r="G37" s="13">
        <f t="shared" si="31"/>
        <v>0</v>
      </c>
      <c r="H37" s="13">
        <f t="shared" si="31"/>
        <v>0</v>
      </c>
      <c r="I37" s="13">
        <f t="shared" si="31"/>
        <v>0</v>
      </c>
      <c r="J37" s="13">
        <f t="shared" si="31"/>
        <v>0</v>
      </c>
      <c r="K37" s="13">
        <f t="shared" si="31"/>
        <v>0</v>
      </c>
      <c r="L37" s="13">
        <f t="shared" si="31"/>
        <v>0</v>
      </c>
      <c r="M37" s="13">
        <f t="shared" si="31"/>
        <v>0</v>
      </c>
      <c r="N37" s="13">
        <f t="shared" si="31"/>
        <v>0</v>
      </c>
      <c r="O37" s="13">
        <f t="shared" si="31"/>
        <v>0</v>
      </c>
      <c r="P37" s="13">
        <f t="shared" si="31"/>
        <v>0</v>
      </c>
      <c r="Q37" s="13">
        <f t="shared" si="31"/>
        <v>0</v>
      </c>
      <c r="R37" s="13">
        <f t="shared" si="31"/>
        <v>0</v>
      </c>
      <c r="S37" s="13">
        <f t="shared" si="31"/>
        <v>0</v>
      </c>
      <c r="T37" s="13">
        <f t="shared" si="31"/>
        <v>0</v>
      </c>
      <c r="U37" s="13">
        <f t="shared" si="31"/>
        <v>0</v>
      </c>
      <c r="V37" s="13">
        <f t="shared" si="28"/>
        <v>0</v>
      </c>
      <c r="W37" s="13">
        <f t="shared" si="28"/>
        <v>0</v>
      </c>
      <c r="X37" s="13">
        <f t="shared" si="28"/>
        <v>0</v>
      </c>
      <c r="Y37" s="13">
        <f t="shared" si="28"/>
        <v>0</v>
      </c>
      <c r="Z37" s="13">
        <f t="shared" si="28"/>
        <v>0</v>
      </c>
      <c r="AA37" s="13">
        <f t="shared" si="28"/>
        <v>0</v>
      </c>
      <c r="AB37" s="13">
        <f t="shared" si="28"/>
        <v>0</v>
      </c>
      <c r="AC37" s="13">
        <f t="shared" si="28"/>
        <v>0</v>
      </c>
      <c r="AD37" s="13">
        <f t="shared" si="28"/>
        <v>0</v>
      </c>
      <c r="AE37" s="13">
        <f t="shared" si="28"/>
        <v>0</v>
      </c>
      <c r="AF37" s="13">
        <f t="shared" si="28"/>
        <v>0</v>
      </c>
      <c r="AG37" s="13">
        <f t="shared" si="28"/>
        <v>0</v>
      </c>
      <c r="AH37" s="13">
        <f t="shared" si="28"/>
        <v>0</v>
      </c>
      <c r="AI37" s="13">
        <f t="shared" si="28"/>
        <v>0</v>
      </c>
      <c r="AJ37" s="13">
        <f t="shared" si="28"/>
        <v>0</v>
      </c>
      <c r="AK37" s="13">
        <f t="shared" si="28"/>
        <v>0</v>
      </c>
      <c r="AL37" s="13">
        <f t="shared" si="28"/>
        <v>0</v>
      </c>
      <c r="AM37" s="13">
        <f t="shared" si="28"/>
        <v>0</v>
      </c>
      <c r="AN37" s="13">
        <f t="shared" si="28"/>
        <v>0</v>
      </c>
      <c r="AO37" s="13">
        <f t="shared" si="28"/>
        <v>0</v>
      </c>
      <c r="AP37" s="13">
        <f t="shared" si="28"/>
        <v>0</v>
      </c>
      <c r="AQ37" s="13">
        <f t="shared" si="28"/>
        <v>0</v>
      </c>
      <c r="AR37" s="13">
        <f t="shared" si="28"/>
        <v>0</v>
      </c>
      <c r="AS37" s="13">
        <f t="shared" si="28"/>
        <v>0</v>
      </c>
      <c r="AT37" s="13">
        <f t="shared" si="28"/>
        <v>0</v>
      </c>
      <c r="AU37" s="13"/>
      <c r="AV37" s="13">
        <f t="shared" si="29"/>
        <v>0</v>
      </c>
    </row>
    <row r="38" spans="2:48" x14ac:dyDescent="0.35">
      <c r="B38" s="13" t="s">
        <v>1336</v>
      </c>
      <c r="C38" s="13">
        <f t="shared" ref="C38:E38" si="39">IFERROR(ROUNDUP(C14/C$3*10^6,0),0)</f>
        <v>189</v>
      </c>
      <c r="D38" s="13">
        <f t="shared" si="39"/>
        <v>0</v>
      </c>
      <c r="E38" s="13">
        <f t="shared" si="39"/>
        <v>0</v>
      </c>
      <c r="F38" s="13">
        <f t="shared" si="31"/>
        <v>0</v>
      </c>
      <c r="G38" s="13">
        <f t="shared" si="31"/>
        <v>0</v>
      </c>
      <c r="H38" s="13">
        <f t="shared" si="31"/>
        <v>0</v>
      </c>
      <c r="I38" s="13">
        <f t="shared" si="31"/>
        <v>0</v>
      </c>
      <c r="J38" s="13">
        <f t="shared" si="31"/>
        <v>0</v>
      </c>
      <c r="K38" s="13">
        <f t="shared" si="31"/>
        <v>0</v>
      </c>
      <c r="L38" s="13">
        <f t="shared" si="31"/>
        <v>0</v>
      </c>
      <c r="M38" s="13">
        <f t="shared" si="31"/>
        <v>0</v>
      </c>
      <c r="N38" s="13">
        <f t="shared" si="31"/>
        <v>0</v>
      </c>
      <c r="O38" s="13">
        <f t="shared" si="31"/>
        <v>0</v>
      </c>
      <c r="P38" s="13">
        <f t="shared" si="31"/>
        <v>0</v>
      </c>
      <c r="Q38" s="13">
        <f t="shared" si="31"/>
        <v>0</v>
      </c>
      <c r="R38" s="13">
        <f t="shared" si="31"/>
        <v>0</v>
      </c>
      <c r="S38" s="13">
        <f t="shared" si="31"/>
        <v>0</v>
      </c>
      <c r="T38" s="13">
        <f t="shared" si="31"/>
        <v>0</v>
      </c>
      <c r="U38" s="13">
        <f t="shared" si="31"/>
        <v>119</v>
      </c>
      <c r="V38" s="13">
        <f t="shared" si="28"/>
        <v>41</v>
      </c>
      <c r="W38" s="13">
        <f t="shared" si="28"/>
        <v>151</v>
      </c>
      <c r="X38" s="13">
        <f t="shared" si="28"/>
        <v>386</v>
      </c>
      <c r="Y38" s="13">
        <f t="shared" si="28"/>
        <v>212</v>
      </c>
      <c r="Z38" s="13">
        <f t="shared" si="28"/>
        <v>0</v>
      </c>
      <c r="AA38" s="13">
        <f t="shared" si="28"/>
        <v>0</v>
      </c>
      <c r="AB38" s="13">
        <f t="shared" si="28"/>
        <v>0</v>
      </c>
      <c r="AC38" s="13">
        <f t="shared" si="28"/>
        <v>0</v>
      </c>
      <c r="AD38" s="13">
        <f t="shared" si="28"/>
        <v>0</v>
      </c>
      <c r="AE38" s="13">
        <f t="shared" si="28"/>
        <v>0</v>
      </c>
      <c r="AF38" s="13">
        <f t="shared" si="28"/>
        <v>0</v>
      </c>
      <c r="AG38" s="13">
        <f t="shared" si="28"/>
        <v>0</v>
      </c>
      <c r="AH38" s="13">
        <f t="shared" si="28"/>
        <v>0</v>
      </c>
      <c r="AI38" s="13">
        <f t="shared" si="28"/>
        <v>0</v>
      </c>
      <c r="AJ38" s="13">
        <f t="shared" si="28"/>
        <v>0</v>
      </c>
      <c r="AK38" s="13">
        <f t="shared" si="28"/>
        <v>0</v>
      </c>
      <c r="AL38" s="13">
        <f t="shared" si="28"/>
        <v>0</v>
      </c>
      <c r="AM38" s="13">
        <f t="shared" si="28"/>
        <v>0</v>
      </c>
      <c r="AN38" s="13">
        <f t="shared" si="28"/>
        <v>0</v>
      </c>
      <c r="AO38" s="13">
        <f t="shared" si="28"/>
        <v>0</v>
      </c>
      <c r="AP38" s="13">
        <f t="shared" si="28"/>
        <v>0</v>
      </c>
      <c r="AQ38" s="13">
        <f t="shared" si="28"/>
        <v>0</v>
      </c>
      <c r="AR38" s="13">
        <f t="shared" si="28"/>
        <v>0</v>
      </c>
      <c r="AS38" s="13">
        <f t="shared" si="28"/>
        <v>430</v>
      </c>
      <c r="AT38" s="13">
        <f t="shared" si="28"/>
        <v>92</v>
      </c>
      <c r="AU38" s="13"/>
      <c r="AV38" s="13">
        <f t="shared" si="29"/>
        <v>189</v>
      </c>
    </row>
    <row r="39" spans="2:48" x14ac:dyDescent="0.35">
      <c r="B39" s="13" t="s">
        <v>410</v>
      </c>
      <c r="C39" s="13">
        <f t="shared" ref="C39:E39" si="40">IFERROR(ROUNDUP(C15/C$3*10^6,0),0)</f>
        <v>333</v>
      </c>
      <c r="D39" s="13">
        <f t="shared" si="40"/>
        <v>0</v>
      </c>
      <c r="E39" s="13">
        <f t="shared" si="40"/>
        <v>0</v>
      </c>
      <c r="F39" s="13">
        <f t="shared" si="31"/>
        <v>0</v>
      </c>
      <c r="G39" s="13">
        <f t="shared" si="31"/>
        <v>0</v>
      </c>
      <c r="H39" s="13">
        <f t="shared" si="31"/>
        <v>0</v>
      </c>
      <c r="I39" s="13">
        <f t="shared" si="31"/>
        <v>0</v>
      </c>
      <c r="J39" s="13">
        <f t="shared" si="31"/>
        <v>0</v>
      </c>
      <c r="K39" s="13">
        <f t="shared" si="31"/>
        <v>0</v>
      </c>
      <c r="L39" s="13">
        <f t="shared" si="31"/>
        <v>0</v>
      </c>
      <c r="M39" s="13">
        <f t="shared" si="31"/>
        <v>0</v>
      </c>
      <c r="N39" s="13">
        <f t="shared" si="31"/>
        <v>0</v>
      </c>
      <c r="O39" s="13">
        <f t="shared" si="31"/>
        <v>0</v>
      </c>
      <c r="P39" s="13">
        <f t="shared" si="31"/>
        <v>0</v>
      </c>
      <c r="Q39" s="13">
        <f t="shared" si="31"/>
        <v>0</v>
      </c>
      <c r="R39" s="13">
        <f t="shared" si="31"/>
        <v>0</v>
      </c>
      <c r="S39" s="13">
        <f t="shared" si="31"/>
        <v>0</v>
      </c>
      <c r="T39" s="13">
        <f t="shared" si="31"/>
        <v>0</v>
      </c>
      <c r="U39" s="13">
        <f t="shared" si="31"/>
        <v>592</v>
      </c>
      <c r="V39" s="13">
        <f t="shared" si="28"/>
        <v>122</v>
      </c>
      <c r="W39" s="13">
        <f t="shared" si="28"/>
        <v>226</v>
      </c>
      <c r="X39" s="13">
        <f t="shared" si="28"/>
        <v>579</v>
      </c>
      <c r="Y39" s="13">
        <f t="shared" si="28"/>
        <v>339</v>
      </c>
      <c r="Z39" s="13">
        <f t="shared" si="28"/>
        <v>0</v>
      </c>
      <c r="AA39" s="13">
        <f t="shared" si="28"/>
        <v>0</v>
      </c>
      <c r="AB39" s="13">
        <f t="shared" si="28"/>
        <v>0</v>
      </c>
      <c r="AC39" s="13">
        <f t="shared" si="28"/>
        <v>0</v>
      </c>
      <c r="AD39" s="13">
        <f t="shared" si="28"/>
        <v>0</v>
      </c>
      <c r="AE39" s="13">
        <f t="shared" si="28"/>
        <v>0</v>
      </c>
      <c r="AF39" s="13">
        <f t="shared" si="28"/>
        <v>0</v>
      </c>
      <c r="AG39" s="13">
        <f t="shared" si="28"/>
        <v>0</v>
      </c>
      <c r="AH39" s="13">
        <f t="shared" si="28"/>
        <v>0</v>
      </c>
      <c r="AI39" s="13">
        <f t="shared" si="28"/>
        <v>0</v>
      </c>
      <c r="AJ39" s="13">
        <f t="shared" si="28"/>
        <v>0</v>
      </c>
      <c r="AK39" s="13">
        <f t="shared" si="28"/>
        <v>0</v>
      </c>
      <c r="AL39" s="13">
        <f t="shared" si="28"/>
        <v>0</v>
      </c>
      <c r="AM39" s="13">
        <f t="shared" si="28"/>
        <v>0</v>
      </c>
      <c r="AN39" s="13">
        <f t="shared" si="28"/>
        <v>0</v>
      </c>
      <c r="AO39" s="13">
        <f t="shared" si="28"/>
        <v>0</v>
      </c>
      <c r="AP39" s="13">
        <f t="shared" si="28"/>
        <v>0</v>
      </c>
      <c r="AQ39" s="13">
        <f t="shared" si="28"/>
        <v>0</v>
      </c>
      <c r="AR39" s="13">
        <f t="shared" si="28"/>
        <v>593</v>
      </c>
      <c r="AS39" s="13">
        <f t="shared" si="28"/>
        <v>323</v>
      </c>
      <c r="AT39" s="13">
        <f t="shared" si="28"/>
        <v>457</v>
      </c>
      <c r="AU39" s="13"/>
      <c r="AV39" s="13">
        <f t="shared" si="29"/>
        <v>333</v>
      </c>
    </row>
    <row r="40" spans="2:48" x14ac:dyDescent="0.35">
      <c r="B40" s="13" t="s">
        <v>1382</v>
      </c>
      <c r="C40" s="13">
        <f t="shared" ref="C40:E40" si="41">IFERROR(ROUNDUP(C16/C$3*10^6,0),0)</f>
        <v>0</v>
      </c>
      <c r="D40" s="13">
        <f t="shared" si="41"/>
        <v>0</v>
      </c>
      <c r="E40" s="13">
        <f t="shared" si="41"/>
        <v>0</v>
      </c>
      <c r="F40" s="13">
        <f t="shared" si="31"/>
        <v>0</v>
      </c>
      <c r="G40" s="13">
        <f t="shared" si="31"/>
        <v>0</v>
      </c>
      <c r="H40" s="13">
        <f t="shared" si="31"/>
        <v>0</v>
      </c>
      <c r="I40" s="13">
        <f t="shared" si="31"/>
        <v>0</v>
      </c>
      <c r="J40" s="13">
        <f t="shared" si="31"/>
        <v>0</v>
      </c>
      <c r="K40" s="13">
        <f t="shared" si="31"/>
        <v>0</v>
      </c>
      <c r="L40" s="13">
        <f t="shared" si="31"/>
        <v>0</v>
      </c>
      <c r="M40" s="13">
        <f t="shared" si="31"/>
        <v>0</v>
      </c>
      <c r="N40" s="13">
        <f t="shared" si="31"/>
        <v>0</v>
      </c>
      <c r="O40" s="13">
        <f t="shared" si="31"/>
        <v>0</v>
      </c>
      <c r="P40" s="13">
        <f t="shared" si="31"/>
        <v>0</v>
      </c>
      <c r="Q40" s="13">
        <f t="shared" si="31"/>
        <v>0</v>
      </c>
      <c r="R40" s="13">
        <f t="shared" si="31"/>
        <v>0</v>
      </c>
      <c r="S40" s="13">
        <f t="shared" si="31"/>
        <v>0</v>
      </c>
      <c r="T40" s="13">
        <f t="shared" si="31"/>
        <v>0</v>
      </c>
      <c r="U40" s="13">
        <f t="shared" si="31"/>
        <v>0</v>
      </c>
      <c r="V40" s="13">
        <f t="shared" si="28"/>
        <v>0</v>
      </c>
      <c r="W40" s="13">
        <f t="shared" si="28"/>
        <v>0</v>
      </c>
      <c r="X40" s="13">
        <f t="shared" ref="G40:AU46" si="42">IFERROR(ROUNDUP(X16/X$3*10^6,0),0)</f>
        <v>0</v>
      </c>
      <c r="Y40" s="13">
        <f t="shared" si="42"/>
        <v>0</v>
      </c>
      <c r="Z40" s="13">
        <f t="shared" si="42"/>
        <v>0</v>
      </c>
      <c r="AA40" s="13">
        <f t="shared" si="42"/>
        <v>0</v>
      </c>
      <c r="AB40" s="13">
        <f t="shared" si="42"/>
        <v>0</v>
      </c>
      <c r="AC40" s="13">
        <f t="shared" si="42"/>
        <v>0</v>
      </c>
      <c r="AD40" s="13">
        <f t="shared" si="42"/>
        <v>0</v>
      </c>
      <c r="AE40" s="13">
        <f t="shared" si="42"/>
        <v>0</v>
      </c>
      <c r="AF40" s="13">
        <f t="shared" si="42"/>
        <v>0</v>
      </c>
      <c r="AG40" s="13">
        <f t="shared" si="42"/>
        <v>0</v>
      </c>
      <c r="AH40" s="13">
        <f t="shared" si="42"/>
        <v>0</v>
      </c>
      <c r="AI40" s="13">
        <f t="shared" si="42"/>
        <v>0</v>
      </c>
      <c r="AJ40" s="13">
        <f t="shared" si="42"/>
        <v>0</v>
      </c>
      <c r="AK40" s="13">
        <f t="shared" si="42"/>
        <v>0</v>
      </c>
      <c r="AL40" s="13">
        <f t="shared" si="42"/>
        <v>0</v>
      </c>
      <c r="AM40" s="13">
        <f t="shared" si="42"/>
        <v>0</v>
      </c>
      <c r="AN40" s="13">
        <f t="shared" si="42"/>
        <v>0</v>
      </c>
      <c r="AO40" s="13">
        <f t="shared" si="42"/>
        <v>0</v>
      </c>
      <c r="AP40" s="13">
        <f t="shared" si="42"/>
        <v>0</v>
      </c>
      <c r="AQ40" s="13">
        <f t="shared" si="42"/>
        <v>0</v>
      </c>
      <c r="AR40" s="13">
        <f t="shared" si="42"/>
        <v>0</v>
      </c>
      <c r="AS40" s="13">
        <f t="shared" si="42"/>
        <v>0</v>
      </c>
      <c r="AT40" s="13">
        <f t="shared" si="42"/>
        <v>0</v>
      </c>
      <c r="AU40" s="13"/>
      <c r="AV40" s="13">
        <f t="shared" si="29"/>
        <v>0</v>
      </c>
    </row>
    <row r="41" spans="2:48" x14ac:dyDescent="0.35">
      <c r="B41" s="13" t="s">
        <v>1278</v>
      </c>
      <c r="C41" s="13">
        <f t="shared" ref="C41:E41" si="43">IFERROR(ROUNDUP(C17/C$3*10^6,0),0)</f>
        <v>90</v>
      </c>
      <c r="D41" s="13">
        <f t="shared" si="43"/>
        <v>0</v>
      </c>
      <c r="E41" s="13">
        <f t="shared" si="43"/>
        <v>0</v>
      </c>
      <c r="F41" s="13">
        <f t="shared" si="31"/>
        <v>0</v>
      </c>
      <c r="G41" s="13">
        <f t="shared" si="42"/>
        <v>0</v>
      </c>
      <c r="H41" s="13">
        <f t="shared" si="42"/>
        <v>0</v>
      </c>
      <c r="I41" s="13">
        <f t="shared" si="42"/>
        <v>0</v>
      </c>
      <c r="J41" s="13">
        <f t="shared" si="42"/>
        <v>0</v>
      </c>
      <c r="K41" s="13">
        <f t="shared" si="42"/>
        <v>0</v>
      </c>
      <c r="L41" s="13">
        <f t="shared" si="42"/>
        <v>0</v>
      </c>
      <c r="M41" s="13">
        <f t="shared" si="42"/>
        <v>0</v>
      </c>
      <c r="N41" s="13">
        <f t="shared" si="42"/>
        <v>0</v>
      </c>
      <c r="O41" s="13">
        <f t="shared" si="42"/>
        <v>0</v>
      </c>
      <c r="P41" s="13">
        <f t="shared" si="42"/>
        <v>0</v>
      </c>
      <c r="Q41" s="13">
        <f t="shared" si="42"/>
        <v>0</v>
      </c>
      <c r="R41" s="13">
        <f t="shared" si="42"/>
        <v>0</v>
      </c>
      <c r="S41" s="13">
        <f t="shared" si="42"/>
        <v>0</v>
      </c>
      <c r="T41" s="13">
        <f t="shared" si="42"/>
        <v>0</v>
      </c>
      <c r="U41" s="13">
        <f t="shared" si="42"/>
        <v>0</v>
      </c>
      <c r="V41" s="13">
        <f t="shared" si="42"/>
        <v>41</v>
      </c>
      <c r="W41" s="13">
        <f t="shared" si="42"/>
        <v>151</v>
      </c>
      <c r="X41" s="13">
        <f t="shared" si="42"/>
        <v>116</v>
      </c>
      <c r="Y41" s="13">
        <f t="shared" si="42"/>
        <v>85</v>
      </c>
      <c r="Z41" s="13">
        <f t="shared" si="42"/>
        <v>0</v>
      </c>
      <c r="AA41" s="13">
        <f t="shared" si="42"/>
        <v>0</v>
      </c>
      <c r="AB41" s="13">
        <f t="shared" si="42"/>
        <v>0</v>
      </c>
      <c r="AC41" s="13">
        <f t="shared" si="42"/>
        <v>0</v>
      </c>
      <c r="AD41" s="13">
        <f t="shared" si="42"/>
        <v>0</v>
      </c>
      <c r="AE41" s="13">
        <f t="shared" si="42"/>
        <v>0</v>
      </c>
      <c r="AF41" s="13">
        <f t="shared" si="42"/>
        <v>0</v>
      </c>
      <c r="AG41" s="13">
        <f t="shared" si="42"/>
        <v>0</v>
      </c>
      <c r="AH41" s="13">
        <f t="shared" si="42"/>
        <v>0</v>
      </c>
      <c r="AI41" s="13">
        <f t="shared" si="42"/>
        <v>0</v>
      </c>
      <c r="AJ41" s="13">
        <f t="shared" si="42"/>
        <v>0</v>
      </c>
      <c r="AK41" s="13">
        <f t="shared" si="42"/>
        <v>0</v>
      </c>
      <c r="AL41" s="13">
        <f t="shared" si="42"/>
        <v>0</v>
      </c>
      <c r="AM41" s="13">
        <f t="shared" si="42"/>
        <v>0</v>
      </c>
      <c r="AN41" s="13">
        <f t="shared" si="42"/>
        <v>0</v>
      </c>
      <c r="AO41" s="13">
        <f t="shared" si="42"/>
        <v>0</v>
      </c>
      <c r="AP41" s="13">
        <f t="shared" si="42"/>
        <v>0</v>
      </c>
      <c r="AQ41" s="13">
        <f t="shared" si="42"/>
        <v>0</v>
      </c>
      <c r="AR41" s="13">
        <f t="shared" si="42"/>
        <v>297</v>
      </c>
      <c r="AS41" s="13">
        <f t="shared" si="42"/>
        <v>108</v>
      </c>
      <c r="AT41" s="13">
        <f t="shared" si="42"/>
        <v>92</v>
      </c>
      <c r="AU41" s="13"/>
      <c r="AV41" s="13">
        <f t="shared" si="29"/>
        <v>90</v>
      </c>
    </row>
    <row r="42" spans="2:48" x14ac:dyDescent="0.35">
      <c r="B42" s="13" t="s">
        <v>1383</v>
      </c>
      <c r="C42" s="13">
        <f t="shared" ref="C42:E42" si="44">IFERROR(ROUNDUP(C18/C$3*10^6,0),0)</f>
        <v>0</v>
      </c>
      <c r="D42" s="13">
        <f t="shared" si="44"/>
        <v>0</v>
      </c>
      <c r="E42" s="13">
        <f t="shared" si="44"/>
        <v>0</v>
      </c>
      <c r="F42" s="13">
        <f t="shared" si="31"/>
        <v>0</v>
      </c>
      <c r="G42" s="13">
        <f t="shared" si="42"/>
        <v>0</v>
      </c>
      <c r="H42" s="13">
        <f t="shared" si="42"/>
        <v>0</v>
      </c>
      <c r="I42" s="13">
        <f t="shared" si="42"/>
        <v>0</v>
      </c>
      <c r="J42" s="13">
        <f t="shared" si="42"/>
        <v>0</v>
      </c>
      <c r="K42" s="13">
        <f t="shared" si="42"/>
        <v>0</v>
      </c>
      <c r="L42" s="13">
        <f t="shared" si="42"/>
        <v>0</v>
      </c>
      <c r="M42" s="13">
        <f t="shared" si="42"/>
        <v>0</v>
      </c>
      <c r="N42" s="13">
        <f t="shared" si="42"/>
        <v>0</v>
      </c>
      <c r="O42" s="13">
        <f t="shared" si="42"/>
        <v>0</v>
      </c>
      <c r="P42" s="13">
        <f t="shared" si="42"/>
        <v>0</v>
      </c>
      <c r="Q42" s="13">
        <f t="shared" si="42"/>
        <v>0</v>
      </c>
      <c r="R42" s="13">
        <f t="shared" si="42"/>
        <v>0</v>
      </c>
      <c r="S42" s="13">
        <f t="shared" si="42"/>
        <v>0</v>
      </c>
      <c r="T42" s="13">
        <f t="shared" si="42"/>
        <v>0</v>
      </c>
      <c r="U42" s="13">
        <f t="shared" si="42"/>
        <v>0</v>
      </c>
      <c r="V42" s="13">
        <f t="shared" si="42"/>
        <v>0</v>
      </c>
      <c r="W42" s="13">
        <f t="shared" si="42"/>
        <v>0</v>
      </c>
      <c r="X42" s="13">
        <f t="shared" si="42"/>
        <v>0</v>
      </c>
      <c r="Y42" s="13">
        <f t="shared" si="42"/>
        <v>0</v>
      </c>
      <c r="Z42" s="13">
        <f t="shared" si="42"/>
        <v>0</v>
      </c>
      <c r="AA42" s="13">
        <f t="shared" si="42"/>
        <v>0</v>
      </c>
      <c r="AB42" s="13">
        <f t="shared" si="42"/>
        <v>0</v>
      </c>
      <c r="AC42" s="13">
        <f t="shared" si="42"/>
        <v>0</v>
      </c>
      <c r="AD42" s="13">
        <f t="shared" si="42"/>
        <v>0</v>
      </c>
      <c r="AE42" s="13">
        <f t="shared" si="42"/>
        <v>0</v>
      </c>
      <c r="AF42" s="13">
        <f t="shared" si="42"/>
        <v>0</v>
      </c>
      <c r="AG42" s="13">
        <f t="shared" si="42"/>
        <v>0</v>
      </c>
      <c r="AH42" s="13">
        <f t="shared" si="42"/>
        <v>0</v>
      </c>
      <c r="AI42" s="13">
        <f t="shared" si="42"/>
        <v>0</v>
      </c>
      <c r="AJ42" s="13">
        <f t="shared" si="42"/>
        <v>0</v>
      </c>
      <c r="AK42" s="13">
        <f t="shared" si="42"/>
        <v>0</v>
      </c>
      <c r="AL42" s="13">
        <f t="shared" si="42"/>
        <v>0</v>
      </c>
      <c r="AM42" s="13">
        <f t="shared" si="42"/>
        <v>0</v>
      </c>
      <c r="AN42" s="13">
        <f t="shared" si="42"/>
        <v>0</v>
      </c>
      <c r="AO42" s="13">
        <f t="shared" si="42"/>
        <v>0</v>
      </c>
      <c r="AP42" s="13">
        <f t="shared" si="42"/>
        <v>0</v>
      </c>
      <c r="AQ42" s="13">
        <f t="shared" si="42"/>
        <v>0</v>
      </c>
      <c r="AR42" s="13">
        <f t="shared" si="42"/>
        <v>0</v>
      </c>
      <c r="AS42" s="13">
        <f t="shared" si="42"/>
        <v>0</v>
      </c>
      <c r="AT42" s="13">
        <f t="shared" si="42"/>
        <v>0</v>
      </c>
      <c r="AU42" s="13"/>
      <c r="AV42" s="13">
        <f t="shared" si="29"/>
        <v>0</v>
      </c>
    </row>
    <row r="43" spans="2:48" x14ac:dyDescent="0.35">
      <c r="B43" s="13" t="s">
        <v>1339</v>
      </c>
      <c r="C43" s="13">
        <f t="shared" ref="C43:E43" si="45">IFERROR(ROUNDUP(C19/C$3*10^6,0),0)</f>
        <v>27</v>
      </c>
      <c r="D43" s="13">
        <f t="shared" si="45"/>
        <v>0</v>
      </c>
      <c r="E43" s="13">
        <f t="shared" si="45"/>
        <v>0</v>
      </c>
      <c r="F43" s="13">
        <f t="shared" si="31"/>
        <v>0</v>
      </c>
      <c r="G43" s="13">
        <f t="shared" si="42"/>
        <v>0</v>
      </c>
      <c r="H43" s="13">
        <f t="shared" si="42"/>
        <v>0</v>
      </c>
      <c r="I43" s="13">
        <f t="shared" si="42"/>
        <v>0</v>
      </c>
      <c r="J43" s="13">
        <f t="shared" si="42"/>
        <v>0</v>
      </c>
      <c r="K43" s="13">
        <f t="shared" si="42"/>
        <v>0</v>
      </c>
      <c r="L43" s="13">
        <f t="shared" si="42"/>
        <v>0</v>
      </c>
      <c r="M43" s="13">
        <f t="shared" si="42"/>
        <v>0</v>
      </c>
      <c r="N43" s="13">
        <f t="shared" si="42"/>
        <v>0</v>
      </c>
      <c r="O43" s="13">
        <f t="shared" si="42"/>
        <v>0</v>
      </c>
      <c r="P43" s="13">
        <f t="shared" si="42"/>
        <v>0</v>
      </c>
      <c r="Q43" s="13">
        <f t="shared" si="42"/>
        <v>0</v>
      </c>
      <c r="R43" s="13">
        <f t="shared" si="42"/>
        <v>0</v>
      </c>
      <c r="S43" s="13">
        <f t="shared" si="42"/>
        <v>0</v>
      </c>
      <c r="T43" s="13">
        <f t="shared" si="42"/>
        <v>0</v>
      </c>
      <c r="U43" s="13">
        <f t="shared" si="42"/>
        <v>0</v>
      </c>
      <c r="V43" s="13">
        <f t="shared" si="42"/>
        <v>41</v>
      </c>
      <c r="W43" s="13">
        <f t="shared" si="42"/>
        <v>0</v>
      </c>
      <c r="X43" s="13">
        <f t="shared" si="42"/>
        <v>39</v>
      </c>
      <c r="Y43" s="13">
        <f t="shared" si="42"/>
        <v>43</v>
      </c>
      <c r="Z43" s="13">
        <f t="shared" si="42"/>
        <v>0</v>
      </c>
      <c r="AA43" s="13">
        <f t="shared" si="42"/>
        <v>0</v>
      </c>
      <c r="AB43" s="13">
        <f t="shared" si="42"/>
        <v>0</v>
      </c>
      <c r="AC43" s="13">
        <f t="shared" si="42"/>
        <v>0</v>
      </c>
      <c r="AD43" s="13">
        <f t="shared" si="42"/>
        <v>0</v>
      </c>
      <c r="AE43" s="13">
        <f t="shared" si="42"/>
        <v>0</v>
      </c>
      <c r="AF43" s="13">
        <f t="shared" si="42"/>
        <v>0</v>
      </c>
      <c r="AG43" s="13">
        <f t="shared" si="42"/>
        <v>0</v>
      </c>
      <c r="AH43" s="13">
        <f t="shared" si="42"/>
        <v>0</v>
      </c>
      <c r="AI43" s="13">
        <f t="shared" si="42"/>
        <v>0</v>
      </c>
      <c r="AJ43" s="13">
        <f t="shared" si="42"/>
        <v>0</v>
      </c>
      <c r="AK43" s="13">
        <f t="shared" si="42"/>
        <v>0</v>
      </c>
      <c r="AL43" s="13">
        <f t="shared" si="42"/>
        <v>0</v>
      </c>
      <c r="AM43" s="13">
        <f t="shared" si="42"/>
        <v>0</v>
      </c>
      <c r="AN43" s="13">
        <f t="shared" si="42"/>
        <v>0</v>
      </c>
      <c r="AO43" s="13">
        <f t="shared" si="42"/>
        <v>0</v>
      </c>
      <c r="AP43" s="13">
        <f t="shared" si="42"/>
        <v>0</v>
      </c>
      <c r="AQ43" s="13">
        <f t="shared" si="42"/>
        <v>0</v>
      </c>
      <c r="AR43" s="13">
        <f t="shared" si="42"/>
        <v>0</v>
      </c>
      <c r="AS43" s="13">
        <f t="shared" si="42"/>
        <v>0</v>
      </c>
      <c r="AT43" s="13">
        <f t="shared" si="42"/>
        <v>92</v>
      </c>
      <c r="AU43" s="13"/>
      <c r="AV43" s="13">
        <f t="shared" si="29"/>
        <v>27</v>
      </c>
    </row>
    <row r="44" spans="2:48" x14ac:dyDescent="0.35">
      <c r="B44" s="13" t="s">
        <v>1335</v>
      </c>
      <c r="C44" s="13">
        <f t="shared" ref="C44:E44" si="46">IFERROR(ROUNDUP(C20/C$3*10^6,0),0)</f>
        <v>63</v>
      </c>
      <c r="D44" s="13">
        <f t="shared" si="46"/>
        <v>0</v>
      </c>
      <c r="E44" s="13">
        <f t="shared" si="46"/>
        <v>0</v>
      </c>
      <c r="F44" s="13">
        <f t="shared" si="31"/>
        <v>0</v>
      </c>
      <c r="G44" s="13">
        <f t="shared" si="42"/>
        <v>0</v>
      </c>
      <c r="H44" s="13">
        <f t="shared" si="42"/>
        <v>0</v>
      </c>
      <c r="I44" s="13">
        <f t="shared" si="42"/>
        <v>0</v>
      </c>
      <c r="J44" s="13">
        <f t="shared" si="42"/>
        <v>0</v>
      </c>
      <c r="K44" s="13">
        <f t="shared" si="42"/>
        <v>0</v>
      </c>
      <c r="L44" s="13">
        <f t="shared" si="42"/>
        <v>0</v>
      </c>
      <c r="M44" s="13">
        <f t="shared" si="42"/>
        <v>0</v>
      </c>
      <c r="N44" s="13">
        <f t="shared" si="42"/>
        <v>0</v>
      </c>
      <c r="O44" s="13">
        <f t="shared" si="42"/>
        <v>0</v>
      </c>
      <c r="P44" s="13">
        <f t="shared" si="42"/>
        <v>0</v>
      </c>
      <c r="Q44" s="13">
        <f t="shared" si="42"/>
        <v>0</v>
      </c>
      <c r="R44" s="13">
        <f t="shared" si="42"/>
        <v>0</v>
      </c>
      <c r="S44" s="13">
        <f t="shared" si="42"/>
        <v>0</v>
      </c>
      <c r="T44" s="13">
        <f t="shared" si="42"/>
        <v>0</v>
      </c>
      <c r="U44" s="13">
        <f t="shared" si="42"/>
        <v>237</v>
      </c>
      <c r="V44" s="13">
        <f t="shared" si="42"/>
        <v>41</v>
      </c>
      <c r="W44" s="13">
        <f t="shared" si="42"/>
        <v>38</v>
      </c>
      <c r="X44" s="13">
        <f t="shared" si="42"/>
        <v>0</v>
      </c>
      <c r="Y44" s="13">
        <f t="shared" si="42"/>
        <v>127</v>
      </c>
      <c r="Z44" s="13">
        <f t="shared" si="42"/>
        <v>0</v>
      </c>
      <c r="AA44" s="13">
        <f t="shared" si="42"/>
        <v>0</v>
      </c>
      <c r="AB44" s="13">
        <f t="shared" si="42"/>
        <v>0</v>
      </c>
      <c r="AC44" s="13">
        <f t="shared" si="42"/>
        <v>0</v>
      </c>
      <c r="AD44" s="13">
        <f t="shared" si="42"/>
        <v>0</v>
      </c>
      <c r="AE44" s="13">
        <f t="shared" si="42"/>
        <v>0</v>
      </c>
      <c r="AF44" s="13">
        <f t="shared" si="42"/>
        <v>0</v>
      </c>
      <c r="AG44" s="13">
        <f t="shared" si="42"/>
        <v>0</v>
      </c>
      <c r="AH44" s="13">
        <f t="shared" si="42"/>
        <v>0</v>
      </c>
      <c r="AI44" s="13">
        <f t="shared" si="42"/>
        <v>0</v>
      </c>
      <c r="AJ44" s="13">
        <f t="shared" si="42"/>
        <v>0</v>
      </c>
      <c r="AK44" s="13">
        <f t="shared" si="42"/>
        <v>0</v>
      </c>
      <c r="AL44" s="13">
        <f t="shared" si="42"/>
        <v>0</v>
      </c>
      <c r="AM44" s="13">
        <f t="shared" si="42"/>
        <v>0</v>
      </c>
      <c r="AN44" s="13">
        <f t="shared" si="42"/>
        <v>0</v>
      </c>
      <c r="AO44" s="13">
        <f t="shared" si="42"/>
        <v>0</v>
      </c>
      <c r="AP44" s="13">
        <f t="shared" si="42"/>
        <v>0</v>
      </c>
      <c r="AQ44" s="13">
        <f t="shared" si="42"/>
        <v>0</v>
      </c>
      <c r="AR44" s="13">
        <f t="shared" si="42"/>
        <v>0</v>
      </c>
      <c r="AS44" s="13">
        <f t="shared" si="42"/>
        <v>0</v>
      </c>
      <c r="AT44" s="13">
        <f t="shared" si="42"/>
        <v>274</v>
      </c>
      <c r="AU44" s="13"/>
      <c r="AV44" s="13">
        <f t="shared" si="29"/>
        <v>63</v>
      </c>
    </row>
    <row r="45" spans="2:48" x14ac:dyDescent="0.35">
      <c r="B45" s="13" t="s">
        <v>1346</v>
      </c>
      <c r="C45" s="13">
        <f t="shared" ref="C45:E45" si="47">IFERROR(ROUNDUP(C21/C$3*10^6,0),0)</f>
        <v>153</v>
      </c>
      <c r="D45" s="13">
        <f t="shared" si="47"/>
        <v>0</v>
      </c>
      <c r="E45" s="13">
        <f t="shared" si="47"/>
        <v>0</v>
      </c>
      <c r="F45" s="13">
        <f t="shared" si="31"/>
        <v>0</v>
      </c>
      <c r="G45" s="13">
        <f t="shared" si="42"/>
        <v>0</v>
      </c>
      <c r="H45" s="13">
        <f t="shared" si="42"/>
        <v>0</v>
      </c>
      <c r="I45" s="13">
        <f t="shared" si="42"/>
        <v>0</v>
      </c>
      <c r="J45" s="13">
        <f t="shared" si="42"/>
        <v>0</v>
      </c>
      <c r="K45" s="13">
        <f t="shared" si="42"/>
        <v>0</v>
      </c>
      <c r="L45" s="13">
        <f t="shared" si="42"/>
        <v>0</v>
      </c>
      <c r="M45" s="13">
        <f t="shared" si="42"/>
        <v>0</v>
      </c>
      <c r="N45" s="13">
        <f t="shared" si="42"/>
        <v>0</v>
      </c>
      <c r="O45" s="13">
        <f t="shared" si="42"/>
        <v>0</v>
      </c>
      <c r="P45" s="13">
        <f t="shared" si="42"/>
        <v>0</v>
      </c>
      <c r="Q45" s="13">
        <f t="shared" si="42"/>
        <v>0</v>
      </c>
      <c r="R45" s="13">
        <f t="shared" si="42"/>
        <v>0</v>
      </c>
      <c r="S45" s="13">
        <f t="shared" si="42"/>
        <v>0</v>
      </c>
      <c r="T45" s="13">
        <f t="shared" si="42"/>
        <v>480</v>
      </c>
      <c r="U45" s="13">
        <f t="shared" si="42"/>
        <v>119</v>
      </c>
      <c r="V45" s="13">
        <f t="shared" si="42"/>
        <v>41</v>
      </c>
      <c r="W45" s="13">
        <f t="shared" si="42"/>
        <v>113</v>
      </c>
      <c r="X45" s="13">
        <f t="shared" si="42"/>
        <v>271</v>
      </c>
      <c r="Y45" s="13">
        <f t="shared" si="42"/>
        <v>170</v>
      </c>
      <c r="Z45" s="13">
        <f t="shared" si="42"/>
        <v>0</v>
      </c>
      <c r="AA45" s="13">
        <f t="shared" si="42"/>
        <v>0</v>
      </c>
      <c r="AB45" s="13">
        <f t="shared" si="42"/>
        <v>0</v>
      </c>
      <c r="AC45" s="13">
        <f t="shared" si="42"/>
        <v>0</v>
      </c>
      <c r="AD45" s="13">
        <f t="shared" si="42"/>
        <v>0</v>
      </c>
      <c r="AE45" s="13">
        <f t="shared" si="42"/>
        <v>0</v>
      </c>
      <c r="AF45" s="13">
        <f t="shared" si="42"/>
        <v>0</v>
      </c>
      <c r="AG45" s="13">
        <f t="shared" si="42"/>
        <v>0</v>
      </c>
      <c r="AH45" s="13">
        <f t="shared" si="42"/>
        <v>0</v>
      </c>
      <c r="AI45" s="13">
        <f t="shared" si="42"/>
        <v>0</v>
      </c>
      <c r="AJ45" s="13">
        <f t="shared" si="42"/>
        <v>0</v>
      </c>
      <c r="AK45" s="13">
        <f t="shared" si="42"/>
        <v>0</v>
      </c>
      <c r="AL45" s="13">
        <f t="shared" si="42"/>
        <v>0</v>
      </c>
      <c r="AM45" s="13">
        <f t="shared" si="42"/>
        <v>0</v>
      </c>
      <c r="AN45" s="13">
        <f t="shared" si="42"/>
        <v>0</v>
      </c>
      <c r="AO45" s="13">
        <f t="shared" si="42"/>
        <v>0</v>
      </c>
      <c r="AP45" s="13">
        <f t="shared" si="42"/>
        <v>0</v>
      </c>
      <c r="AQ45" s="13">
        <f t="shared" si="42"/>
        <v>0</v>
      </c>
      <c r="AR45" s="13">
        <f t="shared" si="42"/>
        <v>0</v>
      </c>
      <c r="AS45" s="13">
        <f t="shared" si="42"/>
        <v>215</v>
      </c>
      <c r="AT45" s="13">
        <f t="shared" si="42"/>
        <v>183</v>
      </c>
      <c r="AU45" s="13">
        <f t="shared" si="42"/>
        <v>0</v>
      </c>
      <c r="AV45" s="13">
        <f t="shared" si="29"/>
        <v>153</v>
      </c>
    </row>
    <row r="46" spans="2:48" x14ac:dyDescent="0.35">
      <c r="B46" s="13" t="s">
        <v>1338</v>
      </c>
      <c r="C46" s="13">
        <f t="shared" ref="C46:E46" si="48">IFERROR(ROUNDUP(C22/C$3*10^6,0),0)</f>
        <v>18</v>
      </c>
      <c r="D46" s="13">
        <f t="shared" si="48"/>
        <v>0</v>
      </c>
      <c r="E46" s="13">
        <f t="shared" si="48"/>
        <v>0</v>
      </c>
      <c r="F46" s="13">
        <f t="shared" ref="F46:U47" si="49">IFERROR(ROUNDUP(F22/F$3*10^6,0),0)</f>
        <v>0</v>
      </c>
      <c r="G46" s="13">
        <f t="shared" si="42"/>
        <v>0</v>
      </c>
      <c r="H46" s="13">
        <f t="shared" si="42"/>
        <v>0</v>
      </c>
      <c r="I46" s="13">
        <f t="shared" si="42"/>
        <v>0</v>
      </c>
      <c r="J46" s="13">
        <f t="shared" si="42"/>
        <v>0</v>
      </c>
      <c r="K46" s="13">
        <f t="shared" si="42"/>
        <v>0</v>
      </c>
      <c r="L46" s="13">
        <f t="shared" si="42"/>
        <v>0</v>
      </c>
      <c r="M46" s="13">
        <f t="shared" si="42"/>
        <v>0</v>
      </c>
      <c r="N46" s="13">
        <f t="shared" si="42"/>
        <v>0</v>
      </c>
      <c r="O46" s="13">
        <f t="shared" si="42"/>
        <v>0</v>
      </c>
      <c r="P46" s="13">
        <f t="shared" si="42"/>
        <v>0</v>
      </c>
      <c r="Q46" s="13">
        <f t="shared" si="42"/>
        <v>0</v>
      </c>
      <c r="R46" s="13">
        <f t="shared" si="42"/>
        <v>0</v>
      </c>
      <c r="S46" s="13">
        <f t="shared" si="42"/>
        <v>0</v>
      </c>
      <c r="T46" s="13">
        <f t="shared" si="42"/>
        <v>0</v>
      </c>
      <c r="U46" s="13">
        <f t="shared" si="42"/>
        <v>119</v>
      </c>
      <c r="V46" s="13">
        <f t="shared" si="42"/>
        <v>41</v>
      </c>
      <c r="W46" s="13">
        <f t="shared" si="42"/>
        <v>0</v>
      </c>
      <c r="X46" s="13">
        <f t="shared" si="42"/>
        <v>0</v>
      </c>
      <c r="Y46" s="13">
        <f t="shared" si="42"/>
        <v>0</v>
      </c>
      <c r="Z46" s="13">
        <f t="shared" si="42"/>
        <v>0</v>
      </c>
      <c r="AA46" s="13">
        <f t="shared" si="42"/>
        <v>0</v>
      </c>
      <c r="AB46" s="13">
        <f t="shared" si="42"/>
        <v>0</v>
      </c>
      <c r="AC46" s="13">
        <f t="shared" si="42"/>
        <v>0</v>
      </c>
      <c r="AD46" s="13">
        <f t="shared" si="42"/>
        <v>0</v>
      </c>
      <c r="AE46" s="13">
        <f t="shared" si="42"/>
        <v>0</v>
      </c>
      <c r="AF46" s="13">
        <f t="shared" si="42"/>
        <v>0</v>
      </c>
      <c r="AG46" s="13">
        <f t="shared" si="42"/>
        <v>0</v>
      </c>
      <c r="AH46" s="13">
        <f t="shared" si="42"/>
        <v>0</v>
      </c>
      <c r="AI46" s="13">
        <f t="shared" si="42"/>
        <v>0</v>
      </c>
      <c r="AJ46" s="13">
        <f t="shared" si="42"/>
        <v>0</v>
      </c>
      <c r="AK46" s="13">
        <f t="shared" ref="AK46:AU47" si="50">IFERROR(ROUNDUP(AK22/AK$3*10^6,0),0)</f>
        <v>0</v>
      </c>
      <c r="AL46" s="13">
        <f t="shared" si="50"/>
        <v>0</v>
      </c>
      <c r="AM46" s="13">
        <f t="shared" si="50"/>
        <v>0</v>
      </c>
      <c r="AN46" s="13">
        <f t="shared" si="50"/>
        <v>0</v>
      </c>
      <c r="AO46" s="13">
        <f t="shared" si="50"/>
        <v>0</v>
      </c>
      <c r="AP46" s="13">
        <f t="shared" si="50"/>
        <v>0</v>
      </c>
      <c r="AQ46" s="13">
        <f t="shared" si="50"/>
        <v>0</v>
      </c>
      <c r="AR46" s="13">
        <f t="shared" si="50"/>
        <v>0</v>
      </c>
      <c r="AS46" s="13">
        <f t="shared" si="50"/>
        <v>0</v>
      </c>
      <c r="AT46" s="13">
        <f t="shared" si="50"/>
        <v>0</v>
      </c>
      <c r="AU46" s="13">
        <f t="shared" si="50"/>
        <v>0</v>
      </c>
      <c r="AV46" s="13">
        <f t="shared" si="29"/>
        <v>18</v>
      </c>
    </row>
    <row r="47" spans="2:48" x14ac:dyDescent="0.35">
      <c r="B47" s="13" t="s">
        <v>1384</v>
      </c>
      <c r="C47" s="13">
        <f t="shared" ref="C47:E47" si="51">IFERROR(ROUNDUP(C23/C$3*10^6,0),0)</f>
        <v>0</v>
      </c>
      <c r="D47" s="13">
        <f t="shared" si="51"/>
        <v>0</v>
      </c>
      <c r="E47" s="13">
        <f t="shared" si="51"/>
        <v>0</v>
      </c>
      <c r="F47" s="13">
        <f t="shared" si="49"/>
        <v>0</v>
      </c>
      <c r="G47" s="13">
        <f t="shared" si="49"/>
        <v>0</v>
      </c>
      <c r="H47" s="13">
        <f t="shared" si="49"/>
        <v>0</v>
      </c>
      <c r="I47" s="13">
        <f t="shared" si="49"/>
        <v>0</v>
      </c>
      <c r="J47" s="13">
        <f t="shared" si="49"/>
        <v>0</v>
      </c>
      <c r="K47" s="13">
        <f t="shared" si="49"/>
        <v>0</v>
      </c>
      <c r="L47" s="13">
        <f t="shared" si="49"/>
        <v>0</v>
      </c>
      <c r="M47" s="13">
        <f t="shared" si="49"/>
        <v>0</v>
      </c>
      <c r="N47" s="13">
        <f t="shared" si="49"/>
        <v>0</v>
      </c>
      <c r="O47" s="13">
        <f t="shared" si="49"/>
        <v>0</v>
      </c>
      <c r="P47" s="13">
        <f t="shared" si="49"/>
        <v>0</v>
      </c>
      <c r="Q47" s="13">
        <f t="shared" si="49"/>
        <v>0</v>
      </c>
      <c r="R47" s="13">
        <f t="shared" si="49"/>
        <v>0</v>
      </c>
      <c r="S47" s="13">
        <f t="shared" si="49"/>
        <v>0</v>
      </c>
      <c r="T47" s="13">
        <f t="shared" si="49"/>
        <v>0</v>
      </c>
      <c r="U47" s="13">
        <f t="shared" si="49"/>
        <v>0</v>
      </c>
      <c r="V47" s="13">
        <f t="shared" ref="V47:AT47" si="52">IFERROR(ROUNDUP(V23/V$3*10^6,0),0)</f>
        <v>0</v>
      </c>
      <c r="W47" s="13">
        <f t="shared" si="52"/>
        <v>0</v>
      </c>
      <c r="X47" s="13">
        <f t="shared" si="52"/>
        <v>0</v>
      </c>
      <c r="Y47" s="13">
        <f t="shared" si="52"/>
        <v>0</v>
      </c>
      <c r="Z47" s="13">
        <f t="shared" si="52"/>
        <v>0</v>
      </c>
      <c r="AA47" s="13">
        <f t="shared" si="52"/>
        <v>0</v>
      </c>
      <c r="AB47" s="13">
        <f t="shared" si="52"/>
        <v>0</v>
      </c>
      <c r="AC47" s="13">
        <f t="shared" si="52"/>
        <v>0</v>
      </c>
      <c r="AD47" s="13">
        <f t="shared" si="52"/>
        <v>0</v>
      </c>
      <c r="AE47" s="13">
        <f t="shared" si="52"/>
        <v>0</v>
      </c>
      <c r="AF47" s="13">
        <f t="shared" si="52"/>
        <v>0</v>
      </c>
      <c r="AG47" s="13">
        <f t="shared" si="52"/>
        <v>0</v>
      </c>
      <c r="AH47" s="13">
        <f t="shared" si="52"/>
        <v>0</v>
      </c>
      <c r="AI47" s="13">
        <f t="shared" si="52"/>
        <v>0</v>
      </c>
      <c r="AJ47" s="13">
        <f t="shared" si="52"/>
        <v>0</v>
      </c>
      <c r="AK47" s="13">
        <f t="shared" si="52"/>
        <v>0</v>
      </c>
      <c r="AL47" s="13">
        <f t="shared" si="52"/>
        <v>0</v>
      </c>
      <c r="AM47" s="13">
        <f t="shared" si="52"/>
        <v>0</v>
      </c>
      <c r="AN47" s="13">
        <f t="shared" si="52"/>
        <v>0</v>
      </c>
      <c r="AO47" s="13">
        <f t="shared" si="52"/>
        <v>0</v>
      </c>
      <c r="AP47" s="13">
        <f t="shared" si="52"/>
        <v>0</v>
      </c>
      <c r="AQ47" s="13">
        <f t="shared" si="52"/>
        <v>0</v>
      </c>
      <c r="AR47" s="13">
        <f t="shared" si="52"/>
        <v>0</v>
      </c>
      <c r="AS47" s="13">
        <f t="shared" si="52"/>
        <v>0</v>
      </c>
      <c r="AT47" s="13">
        <f t="shared" si="52"/>
        <v>0</v>
      </c>
      <c r="AU47" s="13">
        <f t="shared" si="50"/>
        <v>0</v>
      </c>
      <c r="AV47" s="13">
        <f t="shared" si="29"/>
        <v>0</v>
      </c>
    </row>
  </sheetData>
  <conditionalFormatting sqref="C29:E47 C27:E27 B28:E28 F3:AT23">
    <cfRule type="cellIs" dxfId="1" priority="2" operator="equal">
      <formula>0</formula>
    </cfRule>
  </conditionalFormatting>
  <conditionalFormatting sqref="F27:AT47 AU45:AU47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05C7-9978-47AC-9059-7BA36A2FA2B6}">
  <sheetPr codeName="Sheet4"/>
  <dimension ref="A1:C3"/>
  <sheetViews>
    <sheetView tabSelected="1" workbookViewId="0">
      <selection activeCell="M14" sqref="M14"/>
    </sheetView>
  </sheetViews>
  <sheetFormatPr defaultRowHeight="14.5" x14ac:dyDescent="0.35"/>
  <cols>
    <col min="1" max="1" width="2.90625" customWidth="1"/>
    <col min="2" max="2" width="9.6328125" customWidth="1"/>
  </cols>
  <sheetData>
    <row r="1" spans="1:3" x14ac:dyDescent="0.35">
      <c r="A1" s="9" t="str">
        <f>B2&amp; " WW Pmod SMLD"</f>
        <v>FY21 WW Pmod SMLD</v>
      </c>
      <c r="B1" s="20" t="s">
        <v>1407</v>
      </c>
      <c r="C1" s="21" t="s">
        <v>1408</v>
      </c>
    </row>
    <row r="2" spans="1:3" x14ac:dyDescent="0.35">
      <c r="B2" s="22" t="s">
        <v>1347</v>
      </c>
      <c r="C2" s="23">
        <v>2133</v>
      </c>
    </row>
    <row r="3" spans="1:3" x14ac:dyDescent="0.35">
      <c r="B3" s="17"/>
      <c r="C3" s="2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FF73F2-4C77-47A5-9271-32BF6C83194C}">
          <x14:formula1>
            <xm:f>Ref!$A$1:$A$4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3662-D7FA-4ABD-96AF-A03762413961}">
  <sheetPr codeName="Sheet5"/>
  <dimension ref="A1:A4"/>
  <sheetViews>
    <sheetView topLeftCell="A5" workbookViewId="0">
      <selection sqref="A1:A4"/>
    </sheetView>
  </sheetViews>
  <sheetFormatPr defaultRowHeight="14.5" x14ac:dyDescent="0.35"/>
  <sheetData>
    <row r="1" spans="1:1" x14ac:dyDescent="0.35">
      <c r="A1" t="s">
        <v>1407</v>
      </c>
    </row>
    <row r="2" spans="1:1" x14ac:dyDescent="0.35">
      <c r="A2" t="s">
        <v>1348</v>
      </c>
    </row>
    <row r="3" spans="1:1" x14ac:dyDescent="0.35">
      <c r="A3" t="s">
        <v>1347</v>
      </c>
    </row>
    <row r="4" spans="1:1" x14ac:dyDescent="0.35">
      <c r="A4" t="s">
        <v>1413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defects</vt:lpstr>
      <vt:lpstr>inputs</vt:lpstr>
      <vt:lpstr>Weekly</vt:lpstr>
      <vt:lpstr>Monthly_FY</vt:lpstr>
      <vt:lpstr>Report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Zhang, Liang (SSV)</cp:lastModifiedBy>
  <dcterms:created xsi:type="dcterms:W3CDTF">2021-08-24T04:46:18Z</dcterms:created>
  <dcterms:modified xsi:type="dcterms:W3CDTF">2021-08-25T09:54:29Z</dcterms:modified>
</cp:coreProperties>
</file>